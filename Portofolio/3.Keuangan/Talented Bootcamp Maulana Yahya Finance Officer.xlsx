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ground" sheetId="1" r:id="rId4"/>
    <sheet state="visible" name="Study Case 1_20X5 Transaction" sheetId="2" r:id="rId5"/>
    <sheet state="visible" name="Study Case 1_Working Paper" sheetId="3" r:id="rId6"/>
    <sheet state="visible" name="Case Study 2" sheetId="4" r:id="rId7"/>
    <sheet state="visible" name="Case Study 3" sheetId="5" r:id="rId8"/>
  </sheets>
  <definedNames>
    <definedName localSheetId="2" name="BS">'Study Case 1_Working Paper'!$A$5:$G$39</definedName>
    <definedName hidden="1" localSheetId="1" name="_xlnm._FilterDatabase">'Study Case 1_20X5 Transaction'!$F$2:$J$2</definedName>
  </definedNames>
  <calcPr/>
</workbook>
</file>

<file path=xl/sharedStrings.xml><?xml version="1.0" encoding="utf-8"?>
<sst xmlns="http://schemas.openxmlformats.org/spreadsheetml/2006/main" count="620" uniqueCount="348">
  <si>
    <t>Case Study: Talentiv Bootcamp</t>
  </si>
  <si>
    <t>Business Profile:</t>
  </si>
  <si>
    <t xml:space="preserve">Type </t>
  </si>
  <si>
    <t>:</t>
  </si>
  <si>
    <t>Professional Training Bootcamp Provider</t>
  </si>
  <si>
    <t>Focus</t>
  </si>
  <si>
    <t>1-week courses in Data Analytics, Digital Marketing, HR, and Finance &amp; Tax</t>
  </si>
  <si>
    <t>Model</t>
  </si>
  <si>
    <t>Online &amp; Offline (hybrid)</t>
  </si>
  <si>
    <t>Team</t>
  </si>
  <si>
    <t>8 people (Instructors, Ops, Marketing, Finance, Admin)</t>
  </si>
  <si>
    <t>Revenue Model</t>
  </si>
  <si>
    <t>Fixed-price fee per participant (Rp200.000 – Rp500.000)</t>
  </si>
  <si>
    <t>A.</t>
  </si>
  <si>
    <t>Financial Statement 20X3 - 20X4</t>
  </si>
  <si>
    <t>Financial Position</t>
  </si>
  <si>
    <t>20X3</t>
  </si>
  <si>
    <t>20X4</t>
  </si>
  <si>
    <t>Assets</t>
  </si>
  <si>
    <t>Cash &amp; Bank</t>
  </si>
  <si>
    <t>Accounts Receivable</t>
  </si>
  <si>
    <t>Prepaid Rent</t>
  </si>
  <si>
    <t>Fixed Assets (net)</t>
  </si>
  <si>
    <t>Total Assets</t>
  </si>
  <si>
    <t>Liabilities &amp; Equity</t>
  </si>
  <si>
    <t>Liabilities</t>
  </si>
  <si>
    <t>Accounts Payable</t>
  </si>
  <si>
    <t>Bank Loan – Current (ST)</t>
  </si>
  <si>
    <t>Bank Loan – Non-current (LT)</t>
  </si>
  <si>
    <t>Total Liabilities</t>
  </si>
  <si>
    <t>Equity</t>
  </si>
  <si>
    <t>Paid-in Capital</t>
  </si>
  <si>
    <t>Retained Earnings</t>
  </si>
  <si>
    <t>Dividend</t>
  </si>
  <si>
    <t>Total Equity</t>
  </si>
  <si>
    <t>Total Liabilities+Equity</t>
  </si>
  <si>
    <t>Profit &amp; Loss</t>
  </si>
  <si>
    <t>Revenue</t>
  </si>
  <si>
    <t>Cost of Service</t>
  </si>
  <si>
    <t>Gross Profit</t>
  </si>
  <si>
    <t>Operating Expenses</t>
  </si>
  <si>
    <t>Depreciation</t>
  </si>
  <si>
    <t>EBIT</t>
  </si>
  <si>
    <t>Interest Expense</t>
  </si>
  <si>
    <t>Net Profit</t>
  </si>
  <si>
    <t>B.</t>
  </si>
  <si>
    <t>Additional Information</t>
  </si>
  <si>
    <t>Loan schedule</t>
  </si>
  <si>
    <t>Period</t>
  </si>
  <si>
    <t>Beg. Balance</t>
  </si>
  <si>
    <t>Principal</t>
  </si>
  <si>
    <t>Interest</t>
  </si>
  <si>
    <t>Ending Balance</t>
  </si>
  <si>
    <t>Q4 20X3</t>
  </si>
  <si>
    <t>Q1 20X4</t>
  </si>
  <si>
    <t>Q2 20X4</t>
  </si>
  <si>
    <t>Q3 20X4</t>
  </si>
  <si>
    <t>Q4 20X4</t>
  </si>
  <si>
    <t>Q1 20X5</t>
  </si>
  <si>
    <t>Q2 20X5</t>
  </si>
  <si>
    <t>Q3 20X5</t>
  </si>
  <si>
    <t>Q4 20X5</t>
  </si>
  <si>
    <t>Fixed Assets</t>
  </si>
  <si>
    <t>Training equipment (projectors, desks, chairs, computers). Useful life = 5 years</t>
  </si>
  <si>
    <t>a.</t>
  </si>
  <si>
    <t>Acquisition 20X3</t>
  </si>
  <si>
    <t>Depre. Exps</t>
  </si>
  <si>
    <t>Acc. Depre</t>
  </si>
  <si>
    <t>BV</t>
  </si>
  <si>
    <t>20X5</t>
  </si>
  <si>
    <t>20X6</t>
  </si>
  <si>
    <t>20X7</t>
  </si>
  <si>
    <t>b.</t>
  </si>
  <si>
    <t>Acquisition 20X5</t>
  </si>
  <si>
    <t>20X8</t>
  </si>
  <si>
    <t>20X9</t>
  </si>
  <si>
    <t>*in thousand rupiah</t>
  </si>
  <si>
    <t>No</t>
  </si>
  <si>
    <t>Description</t>
  </si>
  <si>
    <t>Amount</t>
  </si>
  <si>
    <t>Periode</t>
  </si>
  <si>
    <t>Akun</t>
  </si>
  <si>
    <t>Dr</t>
  </si>
  <si>
    <t>Cr</t>
  </si>
  <si>
    <t>COA Impact</t>
  </si>
  <si>
    <t>Q1</t>
  </si>
  <si>
    <t>Q2</t>
  </si>
  <si>
    <t>Q3</t>
  </si>
  <si>
    <t>Q4</t>
  </si>
  <si>
    <t>Collected AR from 20X4 corporate clients</t>
  </si>
  <si>
    <t>Cash and cash equivalents</t>
  </si>
  <si>
    <t>Account receivable</t>
  </si>
  <si>
    <t>Received cash from new training participants</t>
  </si>
  <si>
    <t>Sales</t>
  </si>
  <si>
    <t>Paid instructor fees for Q1 programs</t>
  </si>
  <si>
    <t>Instructors</t>
  </si>
  <si>
    <t>Prepaid Expense and advances</t>
  </si>
  <si>
    <t>Paid utilities for office</t>
  </si>
  <si>
    <t>General and Administrative Expenses</t>
  </si>
  <si>
    <t>Fixed assets</t>
  </si>
  <si>
    <t>Paid marketing campaigns</t>
  </si>
  <si>
    <t>Selling &amp; Marketing Expenses</t>
  </si>
  <si>
    <t>Accumulated Depr. - Fixed assets</t>
  </si>
  <si>
    <t>Purchased laptops for training</t>
  </si>
  <si>
    <t>Account payables</t>
  </si>
  <si>
    <t>Paid interest for bank loan</t>
  </si>
  <si>
    <t>Interest expense</t>
  </si>
  <si>
    <t>Unearned revenue</t>
  </si>
  <si>
    <t>Paid AP from 20X4 vendors</t>
  </si>
  <si>
    <t>Short term loan</t>
  </si>
  <si>
    <t>Purchased learning kits for Q1 sessions (COGS)</t>
  </si>
  <si>
    <t>Learning Kits</t>
  </si>
  <si>
    <t>Amortization of 20X4 prepaid expense</t>
  </si>
  <si>
    <t>Amortization expense</t>
  </si>
  <si>
    <t>Depreciation of fixed assets 20X3</t>
  </si>
  <si>
    <t>Depreciation expense</t>
  </si>
  <si>
    <t>Depreciation of fixed assets 20X5</t>
  </si>
  <si>
    <t>Recognized revenue from Q1 advance</t>
  </si>
  <si>
    <t>Received cash from Q2 training participants</t>
  </si>
  <si>
    <t>Collected remaining AR from Q1</t>
  </si>
  <si>
    <t>Paid instructor fees for Q2 programs</t>
  </si>
  <si>
    <t>Paid utilities</t>
  </si>
  <si>
    <t>Paid Loan for Q1+Q2 loan</t>
  </si>
  <si>
    <t>Purchased learning kits for Q2 sessions (COGS)</t>
  </si>
  <si>
    <t>Sold corporate training on credit</t>
  </si>
  <si>
    <t>Received cash from Q3 training participants</t>
  </si>
  <si>
    <t>Collected AR from Q3</t>
  </si>
  <si>
    <t>Paid instructor fees for Q3 programs</t>
  </si>
  <si>
    <t>Paid Loan for Q3</t>
  </si>
  <si>
    <t>Purchased learning kits for Q3 sessions (COGS)</t>
  </si>
  <si>
    <t>Received cash from Q4 training participants</t>
  </si>
  <si>
    <t>Collected AR from Q4</t>
  </si>
  <si>
    <t>Paid instructor fees for Q4 programs</t>
  </si>
  <si>
    <t>Paid Loan for Q4</t>
  </si>
  <si>
    <t>Purchased learning kits for Q4 sessions (COGS)</t>
  </si>
  <si>
    <t>Question</t>
  </si>
  <si>
    <t>1. Prepare Financial Statements</t>
  </si>
  <si>
    <t>2. Calculate Fixed Asset acquisition 20X5</t>
  </si>
  <si>
    <t>3. Calculate Ratios: Net Profit Margin, Current Ratio, Total Asset Turnover, Debt-to-Equity for each quarter</t>
  </si>
  <si>
    <t>Statement of Financial Position</t>
  </si>
  <si>
    <t>Statement of Profit &amp; Loss</t>
  </si>
  <si>
    <t>Statement of Cash Flow</t>
  </si>
  <si>
    <t>Financial Ratio</t>
  </si>
  <si>
    <t>in thousand Rupiah</t>
  </si>
  <si>
    <t>Annual</t>
  </si>
  <si>
    <t>2a</t>
  </si>
  <si>
    <t>Net Profit Margin</t>
  </si>
  <si>
    <t>=</t>
  </si>
  <si>
    <t>ASSETS</t>
  </si>
  <si>
    <t>REVENUES</t>
  </si>
  <si>
    <t>OPERATING ACTIVITIES</t>
  </si>
  <si>
    <t>Current Assets</t>
  </si>
  <si>
    <t>Net Income (loss)</t>
  </si>
  <si>
    <t>COST OF SERVICE</t>
  </si>
  <si>
    <t>2b</t>
  </si>
  <si>
    <t>Current Ratio</t>
  </si>
  <si>
    <t>Current Asset</t>
  </si>
  <si>
    <t>Inventories</t>
  </si>
  <si>
    <t>Current Liabilities</t>
  </si>
  <si>
    <t>Prepaid Tax</t>
  </si>
  <si>
    <t>Gross profit</t>
  </si>
  <si>
    <t>Total Current Assets</t>
  </si>
  <si>
    <t>Non Current Assets</t>
  </si>
  <si>
    <t>2c</t>
  </si>
  <si>
    <t>Total Assets Turnover</t>
  </si>
  <si>
    <t>Net Sales</t>
  </si>
  <si>
    <t>Total Average Assets</t>
  </si>
  <si>
    <t>Total operating expense</t>
  </si>
  <si>
    <t>Accrued expenses</t>
  </si>
  <si>
    <t>Intangible assets</t>
  </si>
  <si>
    <t>Operating Income (Loss)</t>
  </si>
  <si>
    <t>Taxes payables</t>
  </si>
  <si>
    <t>Total Non Current Assets</t>
  </si>
  <si>
    <t>Other income &amp; expense</t>
  </si>
  <si>
    <t>TOTAL ASSETS</t>
  </si>
  <si>
    <t>Cash from Operating Activities</t>
  </si>
  <si>
    <t>2d</t>
  </si>
  <si>
    <t>Debt to Equity</t>
  </si>
  <si>
    <t>LIABILITY AND EQUITY</t>
  </si>
  <si>
    <t>Total other income &amp; expense</t>
  </si>
  <si>
    <t>Current Liability</t>
  </si>
  <si>
    <t>Net Income</t>
  </si>
  <si>
    <t>INVESTING ACTIVITIES</t>
  </si>
  <si>
    <t>Acquisition of fixed assets</t>
  </si>
  <si>
    <t>Cash from Investing Activities</t>
  </si>
  <si>
    <t>FINANCING ACTIVITIES</t>
  </si>
  <si>
    <t>Proceeds from shares subscriptions</t>
  </si>
  <si>
    <t>Total Current Liability</t>
  </si>
  <si>
    <t>Proceeds from loan</t>
  </si>
  <si>
    <t>Non Current Liability</t>
  </si>
  <si>
    <t>Payment loan</t>
  </si>
  <si>
    <t>Long term loan</t>
  </si>
  <si>
    <t>Dividend payment</t>
  </si>
  <si>
    <t>Total non current liability</t>
  </si>
  <si>
    <t>Cash from Financing Activities</t>
  </si>
  <si>
    <t>Total Liability</t>
  </si>
  <si>
    <t>Net increase (decrease)</t>
  </si>
  <si>
    <t>Share capital</t>
  </si>
  <si>
    <t>Beginning Retained Earnings</t>
  </si>
  <si>
    <t>Beginning Cash</t>
  </si>
  <si>
    <t>Profit &amp; Loss Current</t>
  </si>
  <si>
    <t>Ending Cash</t>
  </si>
  <si>
    <t>Ending Retained Earnings</t>
  </si>
  <si>
    <t>Total equity</t>
  </si>
  <si>
    <t>Control</t>
  </si>
  <si>
    <t>Total Liability and Equity</t>
  </si>
  <si>
    <t>PT EduSupplies Nusantara, vendor stationary terkemuka di Jakarta, yang melayani keperluan Bootcamp dan Learning Center daerah Jabodetabek. PT EduSupplies Nusantara juga melakukan penjualan dengan termin sebagai berikut:</t>
  </si>
  <si>
    <t>Swasta</t>
  </si>
  <si>
    <t>Kementerian/Lembaga</t>
  </si>
  <si>
    <t>Nama Pelanggan</t>
  </si>
  <si>
    <t>Jenis Pelanggan</t>
  </si>
  <si>
    <t>Tanggal Invoice</t>
  </si>
  <si>
    <t>No. Invoice</t>
  </si>
  <si>
    <t>Jatuh Tempo</t>
  </si>
  <si>
    <t>Nilai Invoice (Rp)</t>
  </si>
  <si>
    <t>Tanggal Pembayaran</t>
  </si>
  <si>
    <t>Aging Skedul</t>
  </si>
  <si>
    <t>Status / Keterangan</t>
  </si>
  <si>
    <t>PT Andalan Sejahtera</t>
  </si>
  <si>
    <t>INV-001</t>
  </si>
  <si>
    <t>CV Maju Terus</t>
  </si>
  <si>
    <t>INV-002</t>
  </si>
  <si>
    <t>PT Sinar Abadi</t>
  </si>
  <si>
    <t>INV-003</t>
  </si>
  <si>
    <t>PT Mandiri Karya</t>
  </si>
  <si>
    <t>INV-004</t>
  </si>
  <si>
    <t>CV Tunas Harapan</t>
  </si>
  <si>
    <t>INV-005</t>
  </si>
  <si>
    <t>PT Nusantara Jaya</t>
  </si>
  <si>
    <t>INV-006</t>
  </si>
  <si>
    <t>PT Bumi Sentosa</t>
  </si>
  <si>
    <t>INV-007</t>
  </si>
  <si>
    <t>CV Berkah Makmur</t>
  </si>
  <si>
    <t>INV-008</t>
  </si>
  <si>
    <t>PT Globalindo</t>
  </si>
  <si>
    <t>INV-009</t>
  </si>
  <si>
    <t>PT Sejahtera Mandiri</t>
  </si>
  <si>
    <t>INV-010</t>
  </si>
  <si>
    <t>Kementerian Kesehatan RI</t>
  </si>
  <si>
    <t>Kementerian</t>
  </si>
  <si>
    <t>INV-011</t>
  </si>
  <si>
    <t>Lembaga Administrasi Negara (LAN)</t>
  </si>
  <si>
    <t>Lembaga Pemerintah</t>
  </si>
  <si>
    <t>INV-012</t>
  </si>
  <si>
    <t>Kementerian Pendidikan dan Kebudayaan</t>
  </si>
  <si>
    <t>INV-013</t>
  </si>
  <si>
    <t>Badan Riset dan Inovasi Nasional (BRIN)</t>
  </si>
  <si>
    <t>INV-014</t>
  </si>
  <si>
    <t>Kementerian Keuangan RI</t>
  </si>
  <si>
    <t>INV-015</t>
  </si>
  <si>
    <t>Informasi Tambahan:</t>
  </si>
  <si>
    <t>Pada bulan Oktober 2025, Perussahaan melakukan rekonsiliasi piutang dengan Perusahaan Swasta didapati sebagai berikut:</t>
  </si>
  <si>
    <t>-</t>
  </si>
  <si>
    <t>PT Bumi Sentosa sudah melakukan pembayaran penuh pada tanggal 15 Agustus 2025, namun tidak melakukan konfirmasi pembayaran ke Finance</t>
  </si>
  <si>
    <t>PT Sinar Abadi berencana membayar 50% dari piutangnya pada tanggal 22 Oktober 2025</t>
  </si>
  <si>
    <t>CV Tunas Harapan meminta keringanan pembayaran berupa pembayaran dicicil 3 kali pada akhir bulan (Oktober, November, Desember)</t>
  </si>
  <si>
    <t>Pertanyaan:</t>
  </si>
  <si>
    <t>Buatkan tanggal jatuh tempo per masing-masing customer, sesuai informasi tambahan diatas</t>
  </si>
  <si>
    <t>Buatkan aging schedule per 31 Oktober 2025 dengan kriteria sebagai berikut:</t>
  </si>
  <si>
    <t>Belum jatuh tempo</t>
  </si>
  <si>
    <t>0 - 30 hari</t>
  </si>
  <si>
    <t>30 - 45 hari</t>
  </si>
  <si>
    <t>45 - 60 hari</t>
  </si>
  <si>
    <t>60 - 75 hari</t>
  </si>
  <si>
    <t>75 - 90 hari</t>
  </si>
  <si>
    <t>Mana saja piutang yang berisiko tinggi? Dan mengapa?</t>
  </si>
  <si>
    <t>Piutang yang beresiko tinggi ada di PT Sejahtera Mandiri dan PT Tunas Harapan karena lebih dari 90 hari. Sedangkan PT Bumi Sentosa memang lebih dari 90 hari dart tanggal jatuh tempo akan tetapi sudah melakukan pembayaraan. Hal ini juga tetep berisiko jika tidak ditangani akan mengganggu pencatatan rekonsiliasi data, karena tim tidak tahu mana yang sudah dibayar mana yang belum.</t>
  </si>
  <si>
    <t>Buatkan langkah-langkah efektif dalam penagihan piutang perusahaan baik secara administratif, komunikatif, dan preventif</t>
  </si>
  <si>
    <t>A. Administratif</t>
  </si>
  <si>
    <t xml:space="preserve">  1. Catat semua data pelanggan, tanggal invoice, dan jatuh tempo</t>
  </si>
  <si>
    <t xml:space="preserve">  2. Kirim invoice dan buat aging schedule (0-30, 30-45,45-60,60-75,75-90,&gt;90)</t>
  </si>
  <si>
    <t xml:space="preserve">  3. Kirim reminder sebelum dan sesudah jatuh tempo</t>
  </si>
  <si>
    <t xml:space="preserve">  4. Catat hasil penagihan dan pembayaraan yang masuk</t>
  </si>
  <si>
    <t xml:space="preserve">  5. &gt;90 hari belum bayar segeara kirim surat peringatan resmi, lapor ke manajemen dan pertimbangan pembatasan kredit</t>
  </si>
  <si>
    <t xml:space="preserve">  6. &gt;90 hari sudah bayar diam diam segera catat, kirim konfirmasi penerimaan dan rekonsiliasi data</t>
  </si>
  <si>
    <t xml:space="preserve">  7. Untuk yang meminta perpanjangan waktu buat kesepakatan resmi dengan tanggal baru</t>
  </si>
  <si>
    <t xml:space="preserve">  8. Jika diindikasikan keuangannya buruk maka hentikan penjualan kredit, wajib pembayaran tunai atau dp penuh, dan laporkan kebagian resiko</t>
  </si>
  <si>
    <t>B. Komunikatif</t>
  </si>
  <si>
    <t xml:space="preserve">  1. Jaga hubungan baik dan komunikatif</t>
  </si>
  <si>
    <t xml:space="preserve">  2. Gunakan kata yang sopan tapi tegas</t>
  </si>
  <si>
    <t xml:space="preserve">  3. Beri solusi bila ada kendala (cicilan, perpanjangan)</t>
  </si>
  <si>
    <t xml:space="preserve">  4. Jika keuangannya buruk, komunikasikan resiko dengan hati hati dan tawarkan opsi pembayaran bertahap.</t>
  </si>
  <si>
    <t xml:space="preserve">  5. &gt;90 hari tapi sudah bayar diam diam segera ucapkan terima kasi dan minta konfirmasi untuk kedepan</t>
  </si>
  <si>
    <t xml:space="preserve">  6. &gt;90 hari belum bayar maka hubungi langsung, buat komitmen tertulis, dan pertimbangan tindakan lanjutan</t>
  </si>
  <si>
    <t>C. Preventif</t>
  </si>
  <si>
    <t xml:space="preserve">  1. Analisis kelayakan dan riwayat pembayaran pelanggan secara rutin</t>
  </si>
  <si>
    <t xml:space="preserve">  2. Tetapkan batas kredit dan jangka waktu yang jelas</t>
  </si>
  <si>
    <t xml:space="preserve">  3. Gunakan sistem pengingat otomatis.</t>
  </si>
  <si>
    <t xml:space="preserve">  4. Beri potongan untuk pembayaran cepat</t>
  </si>
  <si>
    <t xml:space="preserve">  5. Pelanggan sering telat atau keuangannya buruk maka wajiib DP, denda atau sistem COD</t>
  </si>
  <si>
    <t>Scenario:</t>
  </si>
  <si>
    <t>Talented Bootcamp telah berjalan online selama 3 tahun. Di 20X6, manajemen sedang mempertimbangkan untuk membuka bootcamp offline yang berlokasi di ruko di Jakarta Selatan. Perluasan usaha akan membutuhkan investasi awal untuk renovasi, peralatan, dan perlengkapan pembelajaran.</t>
  </si>
  <si>
    <t>Investment Data:</t>
  </si>
  <si>
    <t>Investasi awal (renovasi, peralatan, furnitur): Rp150.000.000 (awal 20X6).</t>
  </si>
  <si>
    <t>Economic life of project: 4 years (20X6–20X9).</t>
  </si>
  <si>
    <t>Tingkat diskonto (biaya modal): 12% per tahun.</t>
  </si>
  <si>
    <t>Projected Cash Inflows</t>
  </si>
  <si>
    <t>Diskonto</t>
  </si>
  <si>
    <t>Question:</t>
  </si>
  <si>
    <t>Hitung FV, NPV, IRR, PI</t>
  </si>
  <si>
    <t>Berdasarkan perhitungan Anda, apakah proyek tersebut layak atau tidak layak?</t>
  </si>
  <si>
    <t>Criteria</t>
  </si>
  <si>
    <t>Feasible</t>
  </si>
  <si>
    <t>Not Feasible</t>
  </si>
  <si>
    <t>FV</t>
  </si>
  <si>
    <t>FV &gt; Investment</t>
  </si>
  <si>
    <t>FV ≤ Investment</t>
  </si>
  <si>
    <t>NPV</t>
  </si>
  <si>
    <t>NPV &gt; 0</t>
  </si>
  <si>
    <t>NPV ≤ 0</t>
  </si>
  <si>
    <t>IRR</t>
  </si>
  <si>
    <t>IRR &gt; r</t>
  </si>
  <si>
    <t>IRR ≤ r</t>
  </si>
  <si>
    <t>PI</t>
  </si>
  <si>
    <t>PI &gt; 1</t>
  </si>
  <si>
    <t>PI ≤ 1</t>
  </si>
  <si>
    <t>Formula</t>
  </si>
  <si>
    <t>Result</t>
  </si>
  <si>
    <t>Feasible?</t>
  </si>
  <si>
    <t>=FV('rate';'period';'payment each period';'investment';0)</t>
  </si>
  <si>
    <t>=NPV('rate';'cf1';'cf2';'cf3';…)</t>
  </si>
  <si>
    <t>=IRR('-investment + projected cf')</t>
  </si>
  <si>
    <t>=NPV / Investment</t>
  </si>
  <si>
    <t>Analysis:</t>
  </si>
  <si>
    <t>I</t>
  </si>
  <si>
    <t>Executive Summary</t>
  </si>
  <si>
    <r>
      <rPr>
        <rFont val="Calibri"/>
        <color/>
        <sz val="11.0"/>
      </rPr>
      <t>Berdasarkan evaluasi finansial komprehensif terhadap proposal investasi Proyek Offline Talented Bootcamp, tim telah melakukan penghitungan atas empat parameter kelayakan investasi utama. Hasil analisis menunjukkan</t>
    </r>
    <r>
      <rPr>
        <rFont val="Calibri"/>
        <b/>
        <color/>
        <sz val="13.0"/>
      </rPr>
      <t xml:space="preserve"> Fesiable</t>
    </r>
    <r>
      <rPr>
        <rFont val="Calibri"/>
        <color/>
        <sz val="11.0"/>
      </rPr>
      <t xml:space="preserve">, dimana setiap indikator secara jelas menunjukan </t>
    </r>
    <r>
      <rPr>
        <rFont val="Calibri"/>
        <b/>
        <color/>
        <sz val="11.0"/>
      </rPr>
      <t>projek ini layak dijalankan</t>
    </r>
    <r>
      <rPr>
        <rFont val="Calibri"/>
        <color/>
        <sz val="11.0"/>
      </rPr>
      <t xml:space="preserve"> Oleh karena itu, dengan ini kami </t>
    </r>
    <r>
      <rPr>
        <rFont val="Calibri"/>
        <b/>
        <color/>
        <sz val="11.0"/>
      </rPr>
      <t>merekomendasikan projek ini agar segera diesekus</t>
    </r>
    <r>
      <rPr>
        <rFont val="Calibri"/>
        <color/>
        <sz val="11.0"/>
      </rPr>
      <t>i.</t>
    </r>
  </si>
  <si>
    <t>II</t>
  </si>
  <si>
    <t>Analisa Metrik dan Interpretasi</t>
  </si>
  <si>
    <t>Kriteria</t>
  </si>
  <si>
    <t>Hasil</t>
  </si>
  <si>
    <t>Interpretasi dan Implikasi Strategis</t>
  </si>
  <si>
    <t>Net Present Value (NPV)</t>
  </si>
  <si>
    <t>Proyek layak dijalankan karena menambah kekayaan pemilik modal</t>
  </si>
  <si>
    <t>Internal Rate of Return (IRR)</t>
  </si>
  <si>
    <t>Proyek meningkatkan investasi seiring waktu</t>
  </si>
  <si>
    <t>Profitability Index (PI)</t>
  </si>
  <si>
    <t>Karena lebih besar dari diskonto 12%, proyek memberikan return jauh di atas ekspetasi minimum</t>
  </si>
  <si>
    <t>Future Value (FV)</t>
  </si>
  <si>
    <t>Proyek sangat efisien karena nilai pi&gt;1 menandakan investasi memberikan keuntungan yang tinggi</t>
  </si>
  <si>
    <t>III</t>
  </si>
  <si>
    <t>Kesimpulan dan Rekomendasi</t>
  </si>
  <si>
    <r>
      <rPr>
        <rFont val="Calibri"/>
        <color/>
        <sz val="11.0"/>
      </rPr>
      <t xml:space="preserve">Proyek dinyatakan </t>
    </r>
    <r>
      <rPr>
        <rFont val="Calibri"/>
        <b/>
        <color/>
        <sz val="11.0"/>
      </rPr>
      <t>LAYAK/</t>
    </r>
    <r>
      <rPr>
        <rFont val="Calibri"/>
        <b/>
        <strike/>
        <color/>
        <sz val="11.0"/>
      </rPr>
      <t>TIDAK LAYAK</t>
    </r>
    <r>
      <rPr>
        <rFont val="Calibri"/>
        <color/>
        <sz val="11.0"/>
      </rPr>
      <t xml:space="preserve"> secara finansial berdasarkan konsensus empat kriteria investasi (NPV, IRR, PI, FV). Proyeksi finansial menunjukkan </t>
    </r>
    <r>
      <rPr>
        <rFont val="Calibri"/>
        <b/>
        <color/>
        <sz val="11.0"/>
      </rPr>
      <t>bahwa proyek ini layak dijalankan</t>
    </r>
  </si>
  <si>
    <r>
      <rPr>
        <rFont val="Calibri"/>
        <color/>
        <sz val="11.0"/>
      </rPr>
      <t xml:space="preserve">Kami merekomendasikan agar Direksi </t>
    </r>
    <r>
      <rPr>
        <rFont val="Calibri"/>
        <b/>
        <color/>
        <sz val="11.0"/>
      </rPr>
      <t>MENYETUJUI/</t>
    </r>
    <r>
      <rPr>
        <rFont val="Calibri"/>
        <b/>
        <strike/>
        <color/>
        <sz val="11.0"/>
      </rPr>
      <t>TIDAK MENYETUJUI</t>
    </r>
    <r>
      <rPr>
        <rFont val="Calibri"/>
        <strike/>
        <color/>
        <sz val="11.0"/>
      </rPr>
      <t xml:space="preserve"> </t>
    </r>
    <r>
      <rPr>
        <rFont val="Calibri"/>
        <color/>
        <sz val="11.0"/>
      </rPr>
      <t xml:space="preserve">dan </t>
    </r>
    <r>
      <rPr>
        <rFont val="Calibri"/>
        <b/>
        <color/>
        <sz val="11.0"/>
      </rPr>
      <t>MENGALOKASIKAN/</t>
    </r>
    <r>
      <rPr>
        <rFont val="Calibri"/>
        <b/>
        <strike/>
        <color/>
        <sz val="11.0"/>
      </rPr>
      <t>TIDAK MENGALOKASIKAN</t>
    </r>
    <r>
      <rPr>
        <rFont val="Calibri"/>
        <strike/>
        <color/>
        <sz val="11.0"/>
      </rPr>
      <t xml:space="preserve"> </t>
    </r>
    <r>
      <rPr>
        <rFont val="Calibri"/>
        <color/>
        <sz val="11.0"/>
      </rPr>
      <t xml:space="preserve">anggaran </t>
    </r>
    <r>
      <rPr>
        <rFont val="Calibri"/>
        <b/>
        <color/>
        <sz val="11.0"/>
      </rPr>
      <t>untuk diimplementasikan ke proyek offline Talented Bootcamp</t>
    </r>
  </si>
  <si>
    <t>Meskipun indikator finansial sangat kuat/tIdak kuat, keberhasilan proyek juga bergantung pada faktor-faktor non-kuantitatif. Kami menyarankan untuk:</t>
  </si>
  <si>
    <t>a. Rekrut instrukttur profesional yang sudah kredibel dibidangnya</t>
  </si>
  <si>
    <t>b. Kurikulum harus menyesuiakan tren industri</t>
  </si>
  <si>
    <t>c. Pastikan ruangan kelas nyaman,interaktif dan berfasilitas lengkap</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</si>
</sst>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_(* #,##0_);_(* \(#,##0\);_(* &quot;-&quot;_);_(@_)"/>
    <numFmt numFmtId="165" formatCode="mmm"/>
    <numFmt numFmtId="166" formatCode="#,##0;\(#,##0\)"/>
    <numFmt numFmtId="167" formatCode="0.0%"/>
    <numFmt numFmtId="168" formatCode="_(* #,##0_);_(* \(#,##0\);_(* &quot;-&quot;??_);_(@_)"/>
    <numFmt numFmtId="169" formatCode="[$-409]d\-mmm\-yy"/>
    <numFmt numFmtId="170" formatCode="#,##0\ &quot;Hari&quot;"/>
    <numFmt numFmtId="171" formatCode="_-* #,##0_-;\-* #,##0_-;_-* &quot;-&quot;_-;_-@"/>
    <numFmt numFmtId="172" formatCode="&quot;Rp&quot;#,##0.00;[Red]\-&quot;Rp&quot;#,##0.00"/>
    <numFmt numFmtId="173" formatCode="_-* #,##0.00_-;\-* #,##0.00_-;_-* &quot;-&quot;??_-;_-@"/>
  </numFmts>
  <fonts count="18">
    <font>
      <sz val="10.0"/>
      <color rgb="FF000000"/>
      <name val="Arial"/>
      <scheme val="minor"/>
    </font>
    <font>
      <b/>
      <sz val="12.0"/>
      <color rgb="FF000000"/>
      <name val="Arial"/>
    </font>
    <font>
      <sz val="11.0"/>
      <color rgb="FF000000"/>
      <name val="Arial"/>
    </font>
    <font>
      <sz val="12.0"/>
      <color rgb="FF000000"/>
      <name val="Arial"/>
    </font>
    <font>
      <b/>
      <sz val="11.0"/>
      <color/>
      <name val="Arial"/>
    </font>
    <font>
      <sz val="11.0"/>
      <color/>
      <name val="Arial"/>
    </font>
    <font/>
    <font>
      <sz val="10.0"/>
      <color/>
      <name val="Arial"/>
    </font>
    <font>
      <sz val="11.0"/>
      <color/>
      <name val="Quattrocento Sans"/>
    </font>
    <font>
      <u/>
      <sz val="12.0"/>
      <color rgb="FF000000"/>
      <name val="Arial"/>
    </font>
    <font>
      <b/>
      <sz val="24.0"/>
      <color/>
      <name val="Arial"/>
    </font>
    <font>
      <sz val="18.0"/>
      <color/>
      <name val="Arial"/>
    </font>
    <font>
      <sz val="12.0"/>
      <color/>
      <name val="Arial"/>
    </font>
    <font>
      <sz val="9.0"/>
      <color rgb="FF7E3794"/>
      <name val="Arial"/>
    </font>
    <font>
      <sz val="12.0"/>
      <color/>
      <name val="Calibri"/>
    </font>
    <font>
      <b/>
      <sz val="12.0"/>
      <color/>
      <name val="Calibri"/>
    </font>
    <font>
      <sz val="11.0"/>
      <color/>
      <name val="Calibri"/>
    </font>
    <font>
      <b/>
      <sz val="11.0"/>
      <color/>
      <name val="Calibri"/>
    </font>
  </fonts>
  <fills count="7">
    <fill>
      <patternFill patternType="none"/>
    </fill>
    <fill>
      <patternFill patternType="lightGray"/>
    </fill>
    <fill>
      <patternFill patternType="solid">
        <fgColor rgb="FFF4B083"/>
        <bgColor rgb="FFF4B083"/>
      </patternFill>
    </fill>
    <fill>
      <patternFill patternType="solid">
        <fgColor rgb="FFFFFFFF"/>
        <bgColor rgb="FFFFFFFF"/>
      </patternFill>
    </fill>
    <fill>
      <patternFill patternType="solid">
        <fgColor rgb="FFFFFF00"/>
        <bgColor rgb="FFFFFF00"/>
      </patternFill>
    </fill>
    <fill>
      <patternFill patternType="solid">
        <fgColor rgb="FFB4C6E7"/>
        <bgColor rgb="FFB4C6E7"/>
      </patternFill>
    </fill>
    <fill>
      <patternFill patternType="solid">
        <fgColor rgb="FFD8D8D8"/>
        <bgColor rgb="FFD8D8D8"/>
      </patternFill>
    </fill>
  </fills>
  <borders count="24">
    <border/>
    <border>
      <bottom style="thin">
        <color rgb="FF000000"/>
      </bottom>
    </border>
    <border>
      <top style="thin">
        <color rgb="FF000000"/>
      </top>
      <bottom style="double">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top/>
    </border>
    <border>
      <right/>
      <top/>
    </border>
    <border>
      <left/>
      <right/>
      <top/>
    </border>
    <border>
      <left/>
      <top/>
      <bottom/>
    </border>
    <border>
      <top/>
      <bottom/>
    </border>
    <border>
      <right/>
      <top/>
      <bottom/>
    </border>
    <border>
      <left/>
      <bottom/>
    </border>
    <border>
      <right/>
      <bottom/>
    </border>
    <border>
      <left/>
      <right/>
      <bottom/>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Font="1"/>
    <xf borderId="0" fillId="0" fontId="3" numFmtId="0" xfId="0" applyAlignment="1" applyFont="1">
      <alignment vertical="center"/>
    </xf>
    <xf borderId="0" fillId="0" fontId="3" numFmtId="0" xfId="0" applyAlignment="1" applyFont="1">
      <alignment horizontal="center" vertical="center"/>
    </xf>
    <xf borderId="0" fillId="0" fontId="3" numFmtId="0" xfId="0" applyAlignment="1" applyFont="1">
      <alignment vertical="top"/>
    </xf>
    <xf borderId="0" fillId="0" fontId="3" numFmtId="0" xfId="0" applyAlignment="1" applyFont="1">
      <alignment horizontal="center" vertical="top"/>
    </xf>
    <xf borderId="0" fillId="0" fontId="3" numFmtId="0" xfId="0" applyAlignment="1" applyFont="1">
      <alignment horizontal="left" shrinkToFit="0" vertical="center" wrapText="1"/>
    </xf>
    <xf borderId="0" fillId="0" fontId="4" numFmtId="0" xfId="0" applyAlignment="1" applyFont="1">
      <alignment horizontal="center"/>
    </xf>
    <xf borderId="0" fillId="0" fontId="4" numFmtId="0" xfId="0" applyFont="1"/>
    <xf borderId="0" fillId="0" fontId="5" numFmtId="0" xfId="0" applyFont="1"/>
    <xf borderId="0" fillId="0" fontId="5" numFmtId="164" xfId="0" applyFont="1" applyNumberFormat="1"/>
    <xf borderId="1" fillId="0" fontId="5" numFmtId="164" xfId="0" applyBorder="1" applyFont="1" applyNumberFormat="1"/>
    <xf borderId="0" fillId="0" fontId="4" numFmtId="0" xfId="0" applyAlignment="1" applyFont="1">
      <alignment horizontal="left"/>
    </xf>
    <xf borderId="2" fillId="0" fontId="4" numFmtId="164" xfId="0" applyBorder="1" applyFont="1" applyNumberFormat="1"/>
    <xf borderId="0" fillId="0" fontId="4" numFmtId="164" xfId="0" applyFont="1" applyNumberFormat="1"/>
    <xf borderId="3" fillId="0" fontId="4" numFmtId="164" xfId="0" applyBorder="1" applyFont="1" applyNumberFormat="1"/>
    <xf borderId="4" fillId="0" fontId="4" numFmtId="0" xfId="0" applyAlignment="1" applyBorder="1" applyFont="1">
      <alignment horizontal="center" shrinkToFit="0" vertical="center" wrapText="1"/>
    </xf>
    <xf borderId="5" fillId="0" fontId="6" numFmtId="0" xfId="0" applyBorder="1" applyFont="1"/>
    <xf borderId="6" fillId="0" fontId="4" numFmtId="0" xfId="0" applyAlignment="1" applyBorder="1" applyFont="1">
      <alignment horizontal="center" shrinkToFit="0" vertical="center" wrapText="1"/>
    </xf>
    <xf borderId="4" fillId="0" fontId="5" numFmtId="0" xfId="0" applyAlignment="1" applyBorder="1" applyFont="1">
      <alignment horizontal="center"/>
    </xf>
    <xf borderId="6" fillId="0" fontId="5" numFmtId="3" xfId="0" applyBorder="1" applyFont="1" applyNumberFormat="1"/>
    <xf borderId="6" fillId="0" fontId="5" numFmtId="0" xfId="0" applyBorder="1" applyFont="1"/>
    <xf borderId="0" fillId="0" fontId="5" numFmtId="0" xfId="0" applyAlignment="1" applyFont="1">
      <alignment horizontal="right"/>
    </xf>
    <xf borderId="0" fillId="0" fontId="7" numFmtId="0" xfId="0" applyFont="1"/>
    <xf borderId="6" fillId="0" fontId="5" numFmtId="0" xfId="0" applyAlignment="1" applyBorder="1" applyFont="1">
      <alignment horizontal="center"/>
    </xf>
    <xf borderId="6" fillId="0" fontId="5" numFmtId="164" xfId="0" applyAlignment="1" applyBorder="1" applyFont="1" applyNumberFormat="1">
      <alignment horizontal="center"/>
    </xf>
    <xf borderId="6" fillId="0" fontId="5" numFmtId="164" xfId="0" applyBorder="1" applyFont="1" applyNumberFormat="1"/>
    <xf borderId="0" fillId="0" fontId="7" numFmtId="164" xfId="0" applyFont="1" applyNumberFormat="1"/>
    <xf borderId="0" fillId="0" fontId="7" numFmtId="0" xfId="0" applyFont="1"/>
    <xf borderId="7" fillId="2" fontId="5" numFmtId="164" xfId="0" applyBorder="1" applyFill="1" applyFont="1" applyNumberFormat="1"/>
    <xf borderId="6" fillId="0" fontId="4" numFmtId="0" xfId="0" applyAlignment="1" applyBorder="1" applyFont="1">
      <alignment horizontal="center" vertical="center"/>
    </xf>
    <xf borderId="8" fillId="0" fontId="4" numFmtId="0" xfId="0" applyAlignment="1" applyBorder="1" applyFont="1">
      <alignment horizontal="center" vertical="center"/>
    </xf>
    <xf borderId="4" fillId="0" fontId="4" numFmtId="0" xfId="0" applyAlignment="1" applyBorder="1" applyFont="1">
      <alignment horizontal="center" vertical="center"/>
    </xf>
    <xf borderId="0" fillId="0" fontId="4" numFmtId="0" xfId="0" applyAlignment="1" applyFont="1">
      <alignment horizontal="center" vertical="center"/>
    </xf>
    <xf borderId="9" fillId="0" fontId="5" numFmtId="0" xfId="0" applyAlignment="1" applyBorder="1" applyFont="1">
      <alignment horizontal="center" vertical="center"/>
    </xf>
    <xf borderId="6" fillId="0" fontId="5" numFmtId="0" xfId="0" applyAlignment="1" applyBorder="1" applyFont="1">
      <alignment horizontal="center" vertical="center"/>
    </xf>
    <xf borderId="6" fillId="0" fontId="5" numFmtId="0" xfId="0" applyAlignment="1" applyBorder="1" applyFont="1">
      <alignment horizontal="left" vertical="center"/>
    </xf>
    <xf borderId="6" fillId="0" fontId="5" numFmtId="3" xfId="0" applyAlignment="1" applyBorder="1" applyFont="1" applyNumberFormat="1">
      <alignment horizontal="right" vertical="center"/>
    </xf>
    <xf borderId="0" fillId="0" fontId="5" numFmtId="3" xfId="0" applyAlignment="1" applyFont="1" applyNumberFormat="1">
      <alignment horizontal="right" vertical="center"/>
    </xf>
    <xf borderId="6" fillId="0" fontId="5" numFmtId="3" xfId="0" applyAlignment="1" applyBorder="1" applyFont="1" applyNumberFormat="1">
      <alignment horizontal="center" vertical="center"/>
    </xf>
    <xf borderId="6" fillId="0" fontId="5" numFmtId="3" xfId="0" applyAlignment="1" applyBorder="1" applyFont="1" applyNumberFormat="1">
      <alignment horizontal="left" vertical="center"/>
    </xf>
    <xf borderId="6" fillId="0" fontId="5" numFmtId="164" xfId="0" applyAlignment="1" applyBorder="1" applyFont="1" applyNumberFormat="1">
      <alignment horizontal="right" vertical="center"/>
    </xf>
    <xf borderId="10" fillId="0" fontId="5" numFmtId="164" xfId="0" applyAlignment="1" applyBorder="1" applyFont="1" applyNumberFormat="1">
      <alignment horizontal="right" vertical="center"/>
    </xf>
    <xf borderId="6" fillId="3" fontId="8" numFmtId="0" xfId="0" applyAlignment="1" applyBorder="1" applyFill="1" applyFont="1">
      <alignment horizontal="left" vertical="center"/>
    </xf>
    <xf borderId="11" fillId="0" fontId="6" numFmtId="0" xfId="0" applyBorder="1" applyFont="1"/>
    <xf borderId="6" fillId="0" fontId="8" numFmtId="0" xfId="0" applyAlignment="1" applyBorder="1" applyFont="1">
      <alignment horizontal="left"/>
    </xf>
    <xf borderId="6" fillId="2" fontId="5" numFmtId="3" xfId="0" applyBorder="1" applyFont="1" applyNumberFormat="1"/>
    <xf borderId="0" fillId="0" fontId="5" numFmtId="3" xfId="0" applyFont="1" applyNumberFormat="1"/>
    <xf borderId="6" fillId="2" fontId="5" numFmtId="164" xfId="0" applyAlignment="1" applyBorder="1" applyFont="1" applyNumberFormat="1">
      <alignment horizontal="right" vertical="center"/>
    </xf>
    <xf borderId="12" fillId="0" fontId="6" numFmtId="0" xfId="0" applyBorder="1" applyFont="1"/>
    <xf borderId="13" fillId="0" fontId="5" numFmtId="0" xfId="0" applyAlignment="1" applyBorder="1" applyFont="1">
      <alignment horizontal="center" vertical="center"/>
    </xf>
    <xf borderId="14" fillId="0" fontId="6" numFmtId="0" xfId="0" applyBorder="1" applyFont="1"/>
    <xf borderId="6" fillId="0" fontId="2" numFmtId="3" xfId="0" applyAlignment="1" applyBorder="1" applyFont="1" applyNumberFormat="1">
      <alignment horizontal="center"/>
    </xf>
    <xf borderId="13" fillId="0" fontId="2" numFmtId="3" xfId="0" applyAlignment="1" applyBorder="1" applyFont="1" applyNumberFormat="1">
      <alignment horizontal="center"/>
    </xf>
    <xf borderId="6" fillId="0" fontId="9" numFmtId="0" xfId="0" applyAlignment="1" applyBorder="1" applyFont="1">
      <alignment horizontal="center"/>
    </xf>
    <xf borderId="5" fillId="0" fontId="5" numFmtId="3" xfId="0" applyAlignment="1" applyBorder="1" applyFont="1" applyNumberFormat="1">
      <alignment horizontal="left" vertical="center"/>
    </xf>
    <xf borderId="6" fillId="4" fontId="5" numFmtId="3" xfId="0" applyBorder="1" applyFill="1" applyFont="1" applyNumberFormat="1"/>
    <xf borderId="10" fillId="0" fontId="2" numFmtId="3" xfId="0" applyAlignment="1" applyBorder="1" applyFont="1" applyNumberFormat="1">
      <alignment horizontal="center"/>
    </xf>
    <xf borderId="6" fillId="4" fontId="5" numFmtId="164" xfId="0" applyAlignment="1" applyBorder="1" applyFont="1" applyNumberFormat="1">
      <alignment horizontal="right" vertical="center"/>
    </xf>
    <xf borderId="10" fillId="0" fontId="6" numFmtId="0" xfId="0" applyBorder="1" applyFont="1"/>
    <xf borderId="0" fillId="0" fontId="5" numFmtId="0" xfId="0" applyAlignment="1" applyFont="1">
      <alignment readingOrder="0"/>
    </xf>
    <xf borderId="0" fillId="0" fontId="5" numFmtId="20" xfId="0" applyFont="1" applyNumberFormat="1"/>
    <xf borderId="0" fillId="0" fontId="10" numFmtId="0" xfId="0" applyAlignment="1" applyFont="1">
      <alignment horizontal="left"/>
    </xf>
    <xf borderId="7" fillId="0" fontId="5" numFmtId="0" xfId="0" applyBorder="1" applyFont="1"/>
    <xf borderId="0" fillId="0" fontId="11" numFmtId="0" xfId="0" applyAlignment="1" applyFont="1">
      <alignment horizontal="left" shrinkToFit="0" vertical="center" wrapText="1"/>
    </xf>
    <xf borderId="0" fillId="0" fontId="5" numFmtId="0" xfId="0" applyAlignment="1" applyFont="1">
      <alignment horizontal="left"/>
    </xf>
    <xf borderId="15" fillId="0" fontId="4" numFmtId="0" xfId="0" applyAlignment="1" applyBorder="1" applyFont="1">
      <alignment horizontal="center" vertical="center"/>
    </xf>
    <xf borderId="16" fillId="0" fontId="6" numFmtId="0" xfId="0" applyBorder="1" applyFont="1"/>
    <xf borderId="17" fillId="0" fontId="4" numFmtId="0" xfId="0" applyAlignment="1" applyBorder="1" applyFont="1">
      <alignment horizontal="center" vertical="center"/>
    </xf>
    <xf borderId="18" fillId="0" fontId="4" numFmtId="165" xfId="0" applyAlignment="1" applyBorder="1" applyFont="1" applyNumberFormat="1">
      <alignment horizontal="center"/>
    </xf>
    <xf borderId="19" fillId="0" fontId="6" numFmtId="0" xfId="0" applyBorder="1" applyFont="1"/>
    <xf borderId="20" fillId="0" fontId="6" numFmtId="0" xfId="0" applyBorder="1" applyFont="1"/>
    <xf borderId="17" fillId="0" fontId="4" numFmtId="165" xfId="0" applyAlignment="1" applyBorder="1" applyFont="1" applyNumberFormat="1">
      <alignment horizontal="center" vertical="center"/>
    </xf>
    <xf borderId="0" fillId="0" fontId="5" numFmtId="0" xfId="0" applyAlignment="1" applyFont="1">
      <alignment horizontal="center" vertical="center"/>
    </xf>
    <xf borderId="0" fillId="0" fontId="5" numFmtId="0" xfId="0" applyAlignment="1" applyFont="1">
      <alignment horizontal="left" vertical="center"/>
    </xf>
    <xf borderId="1" fillId="0" fontId="5" numFmtId="0" xfId="0" applyAlignment="1" applyBorder="1" applyFont="1">
      <alignment horizontal="center"/>
    </xf>
    <xf borderId="1" fillId="0" fontId="5" numFmtId="166" xfId="0" applyAlignment="1" applyBorder="1" applyFont="1" applyNumberFormat="1">
      <alignment horizontal="center"/>
    </xf>
    <xf borderId="0" fillId="0" fontId="5" numFmtId="167" xfId="0" applyAlignment="1" applyFont="1" applyNumberFormat="1">
      <alignment horizontal="center" vertical="center"/>
    </xf>
    <xf borderId="21" fillId="0" fontId="6" numFmtId="0" xfId="0" applyBorder="1" applyFont="1"/>
    <xf borderId="22" fillId="0" fontId="6" numFmtId="0" xfId="0" applyBorder="1" applyFont="1"/>
    <xf borderId="23" fillId="0" fontId="6" numFmtId="0" xfId="0" applyBorder="1" applyFont="1"/>
    <xf borderId="7" fillId="0" fontId="4" numFmtId="165" xfId="0" applyAlignment="1" applyBorder="1" applyFont="1" applyNumberFormat="1">
      <alignment horizontal="center"/>
    </xf>
    <xf borderId="7" fillId="0" fontId="4" numFmtId="0" xfId="0" applyAlignment="1" applyBorder="1" applyFont="1">
      <alignment horizontal="center" shrinkToFit="0" vertical="center" wrapText="1"/>
    </xf>
    <xf borderId="0" fillId="0" fontId="5" numFmtId="0" xfId="0" applyAlignment="1" applyFont="1">
      <alignment horizontal="center"/>
    </xf>
    <xf borderId="0" fillId="0" fontId="5" numFmtId="166" xfId="0" applyAlignment="1" applyFont="1" applyNumberFormat="1">
      <alignment horizontal="center"/>
    </xf>
    <xf borderId="7" fillId="3" fontId="4" numFmtId="0" xfId="0" applyAlignment="1" applyBorder="1" applyFont="1">
      <alignment vertical="center"/>
    </xf>
    <xf borderId="0" fillId="0" fontId="5" numFmtId="166" xfId="0" applyFont="1" applyNumberFormat="1"/>
    <xf borderId="0" fillId="0" fontId="5" numFmtId="0" xfId="0" applyAlignment="1" applyFont="1">
      <alignment vertical="center"/>
    </xf>
    <xf borderId="0" fillId="0" fontId="12" numFmtId="0" xfId="0" applyAlignment="1" applyFont="1">
      <alignment horizontal="right" shrinkToFit="0" vertical="center" wrapText="1"/>
    </xf>
    <xf borderId="7" fillId="3" fontId="5" numFmtId="0" xfId="0" applyAlignment="1" applyBorder="1" applyFont="1">
      <alignment horizontal="left" vertical="center"/>
    </xf>
    <xf borderId="0" fillId="0" fontId="5" numFmtId="2" xfId="0" applyAlignment="1" applyFont="1" applyNumberFormat="1">
      <alignment horizontal="center" vertical="center"/>
    </xf>
    <xf borderId="7" fillId="3" fontId="5" numFmtId="164" xfId="0" applyAlignment="1" applyBorder="1" applyFont="1" applyNumberFormat="1">
      <alignment horizontal="left" vertical="center"/>
    </xf>
    <xf borderId="7" fillId="5" fontId="4" numFmtId="0" xfId="0" applyAlignment="1" applyBorder="1" applyFill="1" applyFont="1">
      <alignment horizontal="center" vertical="center"/>
    </xf>
    <xf borderId="7" fillId="5" fontId="4" numFmtId="164" xfId="0" applyAlignment="1" applyBorder="1" applyFont="1" applyNumberFormat="1">
      <alignment horizontal="center" vertical="center"/>
    </xf>
    <xf borderId="7" fillId="3" fontId="5" numFmtId="0" xfId="0" applyAlignment="1" applyBorder="1" applyFont="1">
      <alignment vertical="center"/>
    </xf>
    <xf borderId="7" fillId="6" fontId="4" numFmtId="0" xfId="0" applyAlignment="1" applyBorder="1" applyFill="1" applyFont="1">
      <alignment horizontal="center" vertical="center"/>
    </xf>
    <xf borderId="7" fillId="6" fontId="4" numFmtId="166" xfId="0" applyBorder="1" applyFont="1" applyNumberFormat="1"/>
    <xf borderId="0" fillId="0" fontId="5" numFmtId="0" xfId="0" applyAlignment="1" applyFont="1">
      <alignment horizontal="left" shrinkToFit="0" vertical="center" wrapText="1"/>
    </xf>
    <xf borderId="7" fillId="6" fontId="4" numFmtId="164" xfId="0" applyAlignment="1" applyBorder="1" applyFont="1" applyNumberFormat="1">
      <alignment vertical="center"/>
    </xf>
    <xf borderId="7" fillId="5" fontId="4" numFmtId="164" xfId="0" applyAlignment="1" applyBorder="1" applyFont="1" applyNumberFormat="1">
      <alignment vertical="center"/>
    </xf>
    <xf borderId="7" fillId="3" fontId="4" numFmtId="164" xfId="0" applyAlignment="1" applyBorder="1" applyFont="1" applyNumberFormat="1">
      <alignment vertical="center"/>
    </xf>
    <xf borderId="7" fillId="5" fontId="4" numFmtId="166" xfId="0" applyBorder="1" applyFont="1" applyNumberFormat="1"/>
    <xf borderId="7" fillId="6" fontId="4" numFmtId="0" xfId="0" applyAlignment="1" applyBorder="1" applyFont="1">
      <alignment horizontal="left"/>
    </xf>
    <xf borderId="7" fillId="6" fontId="4" numFmtId="164" xfId="0" applyBorder="1" applyFont="1" applyNumberFormat="1"/>
    <xf borderId="7" fillId="6" fontId="4" numFmtId="0" xfId="0" applyAlignment="1" applyBorder="1" applyFont="1">
      <alignment horizontal="left" vertical="center"/>
    </xf>
    <xf borderId="7" fillId="6" fontId="4" numFmtId="164" xfId="0" applyAlignment="1" applyBorder="1" applyFont="1" applyNumberFormat="1">
      <alignment horizontal="right" vertical="center"/>
    </xf>
    <xf borderId="7" fillId="5" fontId="4" numFmtId="0" xfId="0" applyAlignment="1" applyBorder="1" applyFont="1">
      <alignment horizontal="left" vertical="center"/>
    </xf>
    <xf borderId="0" fillId="0" fontId="4" numFmtId="168" xfId="0" applyAlignment="1" applyFont="1" applyNumberFormat="1">
      <alignment vertical="center"/>
    </xf>
    <xf borderId="7" fillId="6" fontId="5" numFmtId="164" xfId="0" applyBorder="1" applyFont="1" applyNumberFormat="1"/>
    <xf borderId="0" fillId="0" fontId="5" numFmtId="9" xfId="0" applyFont="1" applyNumberFormat="1"/>
    <xf borderId="7" fillId="5" fontId="5" numFmtId="0" xfId="0" applyBorder="1" applyFont="1"/>
    <xf borderId="7" fillId="5" fontId="4" numFmtId="164" xfId="0" applyBorder="1" applyFont="1" applyNumberFormat="1"/>
    <xf borderId="0" fillId="0" fontId="5" numFmtId="164" xfId="0" applyAlignment="1" applyFont="1" applyNumberFormat="1">
      <alignment vertical="center"/>
    </xf>
    <xf borderId="7" fillId="3" fontId="13" numFmtId="164" xfId="0" applyAlignment="1" applyBorder="1" applyFont="1" applyNumberFormat="1">
      <alignment horizontal="center"/>
    </xf>
    <xf borderId="0" fillId="0" fontId="14" numFmtId="0" xfId="0" applyFont="1"/>
    <xf borderId="0" fillId="0" fontId="14" numFmtId="0" xfId="0" applyAlignment="1" applyFont="1">
      <alignment horizontal="left" shrinkToFit="0" wrapText="1"/>
    </xf>
    <xf borderId="6" fillId="0" fontId="15" numFmtId="0" xfId="0" applyAlignment="1" applyBorder="1" applyFont="1">
      <alignment horizontal="center" vertical="top"/>
    </xf>
    <xf borderId="6" fillId="0" fontId="14" numFmtId="0" xfId="0" applyBorder="1" applyFont="1"/>
    <xf borderId="6" fillId="0" fontId="14" numFmtId="169" xfId="0" applyBorder="1" applyFont="1" applyNumberFormat="1"/>
    <xf borderId="6" fillId="0" fontId="14" numFmtId="170" xfId="0" applyBorder="1" applyFont="1" applyNumberFormat="1"/>
    <xf borderId="6" fillId="0" fontId="14" numFmtId="164" xfId="0" applyBorder="1" applyFont="1" applyNumberFormat="1"/>
    <xf borderId="6" fillId="0" fontId="14" numFmtId="170" xfId="0" applyBorder="1" applyFont="1" applyNumberFormat="1"/>
    <xf borderId="6" fillId="0" fontId="14" numFmtId="169" xfId="0" applyBorder="1" applyFont="1" applyNumberFormat="1"/>
    <xf borderId="0" fillId="0" fontId="15" numFmtId="0" xfId="0" applyFont="1"/>
    <xf quotePrefix="1" borderId="0" fillId="0" fontId="14" numFmtId="0" xfId="0" applyFont="1"/>
    <xf borderId="18" fillId="0" fontId="14" numFmtId="0" xfId="0" applyAlignment="1" applyBorder="1" applyFont="1">
      <alignment shrinkToFit="0" vertical="center" wrapText="1"/>
    </xf>
    <xf borderId="0" fillId="0" fontId="16" numFmtId="0" xfId="0" applyFont="1"/>
    <xf borderId="0" fillId="0" fontId="17" numFmtId="0" xfId="0" applyFont="1"/>
    <xf borderId="0" fillId="0" fontId="16" numFmtId="0" xfId="0" applyAlignment="1" applyFont="1">
      <alignment horizontal="left" shrinkToFit="0" vertical="top" wrapText="1"/>
    </xf>
    <xf borderId="0" fillId="0" fontId="17" numFmtId="171" xfId="0" applyFont="1" applyNumberFormat="1"/>
    <xf borderId="0" fillId="0" fontId="16" numFmtId="0" xfId="0" applyFont="1"/>
    <xf borderId="0" fillId="0" fontId="16" numFmtId="171" xfId="0" applyFont="1" applyNumberFormat="1"/>
    <xf borderId="0" fillId="0" fontId="16" numFmtId="9" xfId="0" applyFont="1" applyNumberFormat="1"/>
    <xf borderId="0" fillId="0" fontId="16" numFmtId="9" xfId="0" applyFont="1" applyNumberFormat="1"/>
    <xf borderId="6" fillId="0" fontId="17" numFmtId="0" xfId="0" applyAlignment="1" applyBorder="1" applyFont="1">
      <alignment horizontal="center"/>
    </xf>
    <xf borderId="6" fillId="0" fontId="16" numFmtId="0" xfId="0" applyBorder="1" applyFont="1"/>
    <xf borderId="0" fillId="0" fontId="16" numFmtId="172" xfId="0" applyFont="1" applyNumberFormat="1"/>
    <xf borderId="6" fillId="0" fontId="16" numFmtId="0" xfId="0" applyAlignment="1" applyBorder="1" applyFont="1">
      <alignment vertical="top"/>
    </xf>
    <xf borderId="6" fillId="0" fontId="16" numFmtId="0" xfId="0" applyAlignment="1" applyBorder="1" applyFont="1">
      <alignment shrinkToFit="0" vertical="top" wrapText="1"/>
    </xf>
    <xf borderId="6" fillId="0" fontId="16" numFmtId="38" xfId="0" applyBorder="1" applyFont="1" applyNumberFormat="1"/>
    <xf borderId="6" fillId="0" fontId="16" numFmtId="40" xfId="0" applyBorder="1" applyFont="1" applyNumberFormat="1"/>
    <xf borderId="6" fillId="0" fontId="16" numFmtId="9" xfId="0" applyBorder="1" applyFont="1" applyNumberFormat="1"/>
    <xf quotePrefix="1" borderId="6" fillId="0" fontId="16" numFmtId="0" xfId="0" applyAlignment="1" applyBorder="1" applyFont="1">
      <alignment shrinkToFit="0" vertical="top" wrapText="1"/>
    </xf>
    <xf borderId="6" fillId="0" fontId="16" numFmtId="173" xfId="0" applyBorder="1" applyFont="1" applyNumberFormat="1"/>
    <xf borderId="6" fillId="0" fontId="17" numFmtId="0" xfId="0" applyAlignment="1" applyBorder="1" applyFont="1">
      <alignment horizontal="center" vertical="center"/>
    </xf>
    <xf borderId="4" fillId="0" fontId="17" numFmtId="0" xfId="0" applyAlignment="1" applyBorder="1" applyFont="1">
      <alignment horizontal="center" vertical="center"/>
    </xf>
    <xf borderId="3" fillId="0" fontId="6" numFmtId="0" xfId="0" applyBorder="1" applyFont="1"/>
    <xf borderId="6" fillId="0" fontId="16" numFmtId="0" xfId="0" applyAlignment="1" applyBorder="1" applyFont="1">
      <alignment horizontal="center" vertical="center"/>
    </xf>
    <xf borderId="4" fillId="0" fontId="16" numFmtId="0" xfId="0" applyAlignment="1" applyBorder="1" applyFont="1">
      <alignment horizontal="left" vertical="center"/>
    </xf>
    <xf borderId="4" fillId="0" fontId="16" numFmtId="0" xfId="0" applyAlignment="1" applyBorder="1" applyFont="1">
      <alignment horizontal="left" shrinkToFit="0" vertical="center" wrapText="1"/>
    </xf>
    <xf borderId="0" fillId="0" fontId="16" numFmtId="1" xfId="0" applyAlignment="1" applyFont="1" applyNumberFormat="1">
      <alignment vertical="top"/>
    </xf>
    <xf quotePrefix="1"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219075</xdr:colOff>
      <xdr:row>0</xdr:row>
      <xdr:rowOff>95250</xdr:rowOff>
    </xdr:from>
    <xdr:ext cx="628650" cy="619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238125</xdr:colOff>
      <xdr:row>0</xdr:row>
      <xdr:rowOff>104775</xdr:rowOff>
    </xdr:from>
    <xdr:ext cx="561975" cy="561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257175</xdr:colOff>
      <xdr:row>0</xdr:row>
      <xdr:rowOff>123825</xdr:rowOff>
    </xdr:from>
    <xdr:ext cx="638175" cy="6191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14"/>
    <col customWidth="1" min="2" max="2" width="13.86"/>
    <col customWidth="1" min="3" max="3" width="2.43"/>
    <col customWidth="1" min="4" max="4" width="11.57"/>
    <col customWidth="1" min="5" max="5" width="12.57"/>
    <col customWidth="1" min="6" max="6" width="10.57"/>
    <col customWidth="1" min="7" max="7" width="8.71"/>
    <col customWidth="1" min="8" max="8" width="10.57"/>
    <col customWidth="1" min="9" max="11" width="12.57"/>
  </cols>
  <sheetData>
    <row r="1" ht="13.5" customHeight="1"/>
    <row r="2" ht="13.5" customHeight="1">
      <c r="B2" s="1" t="s">
        <v>0</v>
      </c>
      <c r="C2" s="1"/>
      <c r="D2" s="1"/>
      <c r="E2" s="1"/>
      <c r="F2" s="1"/>
    </row>
    <row r="3" ht="13.5" customHeight="1">
      <c r="B3" s="1" t="s">
        <v>1</v>
      </c>
      <c r="C3" s="1"/>
      <c r="D3" s="1"/>
      <c r="E3" s="2"/>
      <c r="F3" s="2"/>
    </row>
    <row r="4" ht="13.5" customHeight="1">
      <c r="B4" s="3" t="s">
        <v>2</v>
      </c>
      <c r="C4" s="4" t="s">
        <v>3</v>
      </c>
      <c r="D4" s="3" t="s">
        <v>4</v>
      </c>
      <c r="F4" s="3"/>
    </row>
    <row r="5" ht="34.5" customHeight="1">
      <c r="B5" s="5" t="s">
        <v>5</v>
      </c>
      <c r="C5" s="6" t="s">
        <v>3</v>
      </c>
      <c r="D5" s="7" t="s">
        <v>6</v>
      </c>
    </row>
    <row r="6" ht="13.5" customHeight="1">
      <c r="B6" s="3" t="s">
        <v>7</v>
      </c>
      <c r="C6" s="4" t="s">
        <v>3</v>
      </c>
      <c r="D6" s="3" t="s">
        <v>8</v>
      </c>
      <c r="F6" s="3"/>
    </row>
    <row r="7" ht="13.5" customHeight="1">
      <c r="B7" s="3" t="s">
        <v>9</v>
      </c>
      <c r="C7" s="4" t="s">
        <v>3</v>
      </c>
      <c r="D7" s="3" t="s">
        <v>10</v>
      </c>
      <c r="F7" s="3"/>
    </row>
    <row r="8" ht="13.5" customHeight="1">
      <c r="B8" s="3" t="s">
        <v>11</v>
      </c>
      <c r="C8" s="4" t="s">
        <v>3</v>
      </c>
      <c r="D8" s="3" t="s">
        <v>12</v>
      </c>
      <c r="F8" s="3"/>
    </row>
    <row r="9" ht="13.5" customHeight="1"/>
    <row r="10" ht="13.5" customHeight="1">
      <c r="A10" s="8" t="s">
        <v>13</v>
      </c>
      <c r="B10" s="9" t="s">
        <v>14</v>
      </c>
      <c r="C10" s="9"/>
      <c r="D10" s="9"/>
    </row>
    <row r="11" ht="13.5" customHeight="1">
      <c r="A11" s="8"/>
      <c r="B11" s="9"/>
      <c r="C11" s="9"/>
      <c r="D11" s="9"/>
    </row>
    <row r="12" ht="13.5" customHeight="1">
      <c r="A12" s="9">
        <v>1.0</v>
      </c>
      <c r="B12" s="9" t="s">
        <v>15</v>
      </c>
      <c r="C12" s="9"/>
      <c r="D12" s="9"/>
    </row>
    <row r="13" ht="13.5" customHeight="1">
      <c r="B13" s="9"/>
      <c r="C13" s="9"/>
      <c r="D13" s="9"/>
      <c r="E13" s="8" t="s">
        <v>16</v>
      </c>
      <c r="F13" s="8" t="s">
        <v>17</v>
      </c>
    </row>
    <row r="14" ht="13.5" customHeight="1">
      <c r="B14" s="9" t="s">
        <v>18</v>
      </c>
      <c r="C14" s="9"/>
      <c r="D14" s="9"/>
    </row>
    <row r="15" ht="13.5" customHeight="1">
      <c r="B15" s="10" t="s">
        <v>19</v>
      </c>
      <c r="C15" s="10"/>
      <c r="D15" s="10"/>
      <c r="E15" s="11">
        <v>150000.0</v>
      </c>
      <c r="F15" s="11">
        <v>245000.0</v>
      </c>
    </row>
    <row r="16" ht="13.5" customHeight="1">
      <c r="B16" s="10" t="s">
        <v>20</v>
      </c>
      <c r="C16" s="10"/>
      <c r="D16" s="10"/>
      <c r="E16" s="11">
        <v>40000.0</v>
      </c>
      <c r="F16" s="11">
        <v>55000.0</v>
      </c>
    </row>
    <row r="17" ht="13.5" customHeight="1">
      <c r="B17" s="10" t="s">
        <v>21</v>
      </c>
      <c r="C17" s="10"/>
      <c r="D17" s="10"/>
      <c r="E17" s="11">
        <v>20000.0</v>
      </c>
      <c r="F17" s="11">
        <v>15000.0</v>
      </c>
    </row>
    <row r="18" ht="13.5" customHeight="1">
      <c r="B18" s="10" t="s">
        <v>22</v>
      </c>
      <c r="C18" s="10"/>
      <c r="D18" s="10"/>
      <c r="E18" s="12">
        <v>80000.0</v>
      </c>
      <c r="F18" s="12">
        <v>60000.0</v>
      </c>
    </row>
    <row r="19" ht="13.5" customHeight="1">
      <c r="B19" s="13" t="s">
        <v>23</v>
      </c>
      <c r="C19" s="13"/>
      <c r="D19" s="13"/>
      <c r="E19" s="14" t="str">
        <f t="shared" ref="E19:F19" si="1">SUM(E15:E18)</f>
        <v>  290,000 </v>
      </c>
      <c r="F19" s="14" t="str">
        <f t="shared" si="1"/>
        <v>  375,000 </v>
      </c>
    </row>
    <row r="20" ht="13.5" customHeight="1">
      <c r="B20" s="9"/>
      <c r="C20" s="9"/>
      <c r="D20" s="9"/>
      <c r="E20" s="15"/>
      <c r="F20" s="15"/>
    </row>
    <row r="21" ht="13.5" customHeight="1">
      <c r="B21" s="9" t="s">
        <v>24</v>
      </c>
      <c r="C21" s="9"/>
      <c r="D21" s="9"/>
      <c r="E21" s="11"/>
      <c r="F21" s="11"/>
    </row>
    <row r="22" ht="13.5" customHeight="1">
      <c r="B22" s="9" t="s">
        <v>25</v>
      </c>
      <c r="C22" s="9"/>
      <c r="D22" s="9"/>
      <c r="E22" s="11"/>
      <c r="F22" s="11"/>
    </row>
    <row r="23" ht="13.5" customHeight="1">
      <c r="B23" s="10" t="s">
        <v>26</v>
      </c>
      <c r="C23" s="10"/>
      <c r="D23" s="10"/>
      <c r="E23" s="11">
        <v>25000.0</v>
      </c>
      <c r="F23" s="11">
        <v>8000.0</v>
      </c>
    </row>
    <row r="24" ht="13.5" customHeight="1">
      <c r="B24" s="10" t="s">
        <v>27</v>
      </c>
      <c r="C24" s="10"/>
      <c r="D24" s="10"/>
      <c r="E24" s="11">
        <v>0.0</v>
      </c>
      <c r="F24" s="11">
        <v>30000.0</v>
      </c>
    </row>
    <row r="25" ht="13.5" customHeight="1">
      <c r="B25" s="10" t="s">
        <v>28</v>
      </c>
      <c r="C25" s="10"/>
      <c r="D25" s="10"/>
      <c r="E25" s="12">
        <v>60000.0</v>
      </c>
      <c r="F25" s="12">
        <v>0.0</v>
      </c>
    </row>
    <row r="26" ht="13.5" customHeight="1">
      <c r="B26" s="13" t="s">
        <v>29</v>
      </c>
      <c r="C26" s="13"/>
      <c r="D26" s="13"/>
      <c r="E26" s="15" t="str">
        <f t="shared" ref="E26:F26" si="2">SUM(E23:E25)</f>
        <v>  85,000 </v>
      </c>
      <c r="F26" s="15" t="str">
        <f t="shared" si="2"/>
        <v>  38,000 </v>
      </c>
    </row>
    <row r="27" ht="13.5" customHeight="1">
      <c r="B27" s="9" t="s">
        <v>30</v>
      </c>
      <c r="C27" s="9"/>
      <c r="D27" s="9"/>
      <c r="E27" s="11"/>
      <c r="F27" s="11"/>
    </row>
    <row r="28" ht="13.5" customHeight="1">
      <c r="B28" s="10" t="s">
        <v>31</v>
      </c>
      <c r="C28" s="10"/>
      <c r="D28" s="10"/>
      <c r="E28" s="11">
        <v>97000.0</v>
      </c>
      <c r="F28" s="11">
        <v>97000.0</v>
      </c>
    </row>
    <row r="29" ht="13.5" customHeight="1">
      <c r="B29" s="10" t="s">
        <v>32</v>
      </c>
      <c r="C29" s="10"/>
      <c r="D29" s="10"/>
      <c r="E29" s="11" t="str">
        <f>E45</f>
        <v>  108,000 </v>
      </c>
      <c r="F29" s="11" t="str">
        <f>E29+F45</f>
        <v>  260,000 </v>
      </c>
      <c r="G29" s="11"/>
    </row>
    <row r="30" ht="13.5" customHeight="1">
      <c r="B30" s="10" t="s">
        <v>33</v>
      </c>
      <c r="C30" s="10"/>
      <c r="D30" s="10"/>
      <c r="E30" s="12">
        <v>0.0</v>
      </c>
      <c r="F30" s="12">
        <v>-20000.0</v>
      </c>
    </row>
    <row r="31" ht="13.5" customHeight="1">
      <c r="B31" s="13" t="s">
        <v>34</v>
      </c>
      <c r="C31" s="13"/>
      <c r="D31" s="13"/>
      <c r="E31" s="16" t="str">
        <f>SUM(E28:E29)</f>
        <v>  205,000 </v>
      </c>
      <c r="F31" s="16" t="str">
        <f>SUM(F28:F30)</f>
        <v>  337,000 </v>
      </c>
    </row>
    <row r="32" ht="13.5" customHeight="1">
      <c r="B32" s="13" t="s">
        <v>35</v>
      </c>
      <c r="C32" s="13"/>
      <c r="D32" s="13"/>
      <c r="E32" s="14" t="str">
        <f t="shared" ref="E32:F32" si="3">E26+E31</f>
        <v>  290,000 </v>
      </c>
      <c r="F32" s="14" t="str">
        <f t="shared" si="3"/>
        <v>  375,000 </v>
      </c>
    </row>
    <row r="33" ht="13.5" customHeight="1"/>
    <row r="34" ht="13.5" customHeight="1">
      <c r="A34" s="9">
        <v>2.0</v>
      </c>
      <c r="B34" s="9" t="s">
        <v>36</v>
      </c>
      <c r="C34" s="9"/>
      <c r="D34" s="9"/>
    </row>
    <row r="35" ht="13.5" customHeight="1">
      <c r="B35" s="9"/>
      <c r="C35" s="9"/>
      <c r="D35" s="9"/>
      <c r="E35" s="8" t="s">
        <v>16</v>
      </c>
      <c r="F35" s="8" t="s">
        <v>17</v>
      </c>
    </row>
    <row r="36" ht="13.5" customHeight="1">
      <c r="B36" s="10" t="s">
        <v>37</v>
      </c>
      <c r="C36" s="10"/>
      <c r="D36" s="10"/>
      <c r="E36" s="11">
        <v>400000.0</v>
      </c>
      <c r="F36" s="11">
        <v>520000.0</v>
      </c>
    </row>
    <row r="37" ht="13.5" customHeight="1">
      <c r="B37" s="10" t="s">
        <v>38</v>
      </c>
      <c r="C37" s="10"/>
      <c r="D37" s="10"/>
      <c r="E37" s="12">
        <v>120000.0</v>
      </c>
      <c r="F37" s="12">
        <v>150000.0</v>
      </c>
    </row>
    <row r="38" ht="13.5" customHeight="1">
      <c r="B38" s="9" t="s">
        <v>39</v>
      </c>
      <c r="C38" s="9"/>
      <c r="D38" s="9"/>
      <c r="E38" s="15" t="str">
        <f t="shared" ref="E38:F38" si="4">E36-E37</f>
        <v>  280,000 </v>
      </c>
      <c r="F38" s="15" t="str">
        <f t="shared" si="4"/>
        <v>  370,000 </v>
      </c>
    </row>
    <row r="39" ht="13.5" customHeight="1">
      <c r="B39" s="9"/>
      <c r="C39" s="9"/>
      <c r="D39" s="9"/>
      <c r="E39" s="15"/>
      <c r="F39" s="15"/>
    </row>
    <row r="40" ht="13.5" customHeight="1">
      <c r="B40" s="10" t="s">
        <v>40</v>
      </c>
      <c r="C40" s="10"/>
      <c r="D40" s="10"/>
      <c r="E40" s="11">
        <v>150000.0</v>
      </c>
      <c r="F40" s="11">
        <v>190000.0</v>
      </c>
    </row>
    <row r="41" ht="13.5" customHeight="1">
      <c r="B41" s="10" t="s">
        <v>41</v>
      </c>
      <c r="C41" s="10"/>
      <c r="D41" s="10"/>
      <c r="E41" s="12">
        <v>20000.0</v>
      </c>
      <c r="F41" s="12">
        <v>20000.0</v>
      </c>
    </row>
    <row r="42" ht="13.5" customHeight="1">
      <c r="B42" s="9" t="s">
        <v>42</v>
      </c>
      <c r="C42" s="9"/>
      <c r="D42" s="9"/>
      <c r="E42" s="15" t="str">
        <f t="shared" ref="E42:F42" si="5">E38-SUM(E40:E41)</f>
        <v>  110,000 </v>
      </c>
      <c r="F42" s="15" t="str">
        <f t="shared" si="5"/>
        <v>  160,000 </v>
      </c>
    </row>
    <row r="43" ht="13.5" customHeight="1">
      <c r="B43" s="9"/>
      <c r="C43" s="9"/>
      <c r="D43" s="9"/>
      <c r="E43" s="15"/>
      <c r="F43" s="15"/>
    </row>
    <row r="44" ht="13.5" customHeight="1">
      <c r="B44" s="10" t="s">
        <v>43</v>
      </c>
      <c r="C44" s="10"/>
      <c r="D44" s="10"/>
      <c r="E44" s="12">
        <v>2000.0</v>
      </c>
      <c r="F44" s="12">
        <v>8000.0</v>
      </c>
    </row>
    <row r="45" ht="13.5" customHeight="1">
      <c r="B45" s="9" t="s">
        <v>44</v>
      </c>
      <c r="C45" s="9"/>
      <c r="D45" s="9"/>
      <c r="E45" s="14">
        <v>108000.0</v>
      </c>
      <c r="F45" s="14">
        <v>152000.0</v>
      </c>
    </row>
    <row r="46" ht="13.5" customHeight="1"/>
    <row r="47" ht="13.5" customHeight="1"/>
    <row r="48" ht="13.5" customHeight="1"/>
    <row r="49" ht="13.5" customHeight="1"/>
    <row r="50" ht="13.5" customHeight="1">
      <c r="A50" s="8" t="s">
        <v>45</v>
      </c>
      <c r="B50" s="9" t="s">
        <v>46</v>
      </c>
    </row>
    <row r="51" ht="13.5" customHeight="1">
      <c r="A51" s="9">
        <v>1.0</v>
      </c>
      <c r="B51" s="9" t="s">
        <v>47</v>
      </c>
      <c r="C51" s="9"/>
      <c r="D51" s="9"/>
    </row>
    <row r="52" ht="13.5" customHeight="1">
      <c r="B52" s="17" t="s">
        <v>48</v>
      </c>
      <c r="C52" s="18"/>
      <c r="D52" s="19" t="s">
        <v>49</v>
      </c>
      <c r="E52" s="19" t="s">
        <v>50</v>
      </c>
      <c r="F52" s="19" t="s">
        <v>51</v>
      </c>
      <c r="G52" s="19" t="s">
        <v>52</v>
      </c>
    </row>
    <row r="53" ht="13.5" customHeight="1">
      <c r="B53" s="20" t="s">
        <v>53</v>
      </c>
      <c r="C53" s="18"/>
      <c r="D53" s="21">
        <v>60000.0</v>
      </c>
      <c r="E53" s="22">
        <v>0.0</v>
      </c>
      <c r="F53" s="21">
        <v>2000.0</v>
      </c>
      <c r="G53" s="21">
        <v>60000.0</v>
      </c>
    </row>
    <row r="54" ht="13.5" customHeight="1">
      <c r="B54" s="20" t="s">
        <v>54</v>
      </c>
      <c r="C54" s="18"/>
      <c r="D54" s="21">
        <v>60000.0</v>
      </c>
      <c r="E54" s="21">
        <v>7500.0</v>
      </c>
      <c r="F54" s="21">
        <v>2000.0</v>
      </c>
      <c r="G54" s="21">
        <v>52500.0</v>
      </c>
    </row>
    <row r="55" ht="13.5" customHeight="1">
      <c r="B55" s="20" t="s">
        <v>55</v>
      </c>
      <c r="C55" s="18"/>
      <c r="D55" s="21">
        <v>52500.0</v>
      </c>
      <c r="E55" s="21">
        <v>7500.0</v>
      </c>
      <c r="F55" s="21">
        <v>2000.0</v>
      </c>
      <c r="G55" s="21">
        <v>45000.0</v>
      </c>
    </row>
    <row r="56" ht="13.5" customHeight="1">
      <c r="B56" s="20" t="s">
        <v>56</v>
      </c>
      <c r="C56" s="18"/>
      <c r="D56" s="21">
        <v>45000.0</v>
      </c>
      <c r="E56" s="21">
        <v>7500.0</v>
      </c>
      <c r="F56" s="21">
        <v>2000.0</v>
      </c>
      <c r="G56" s="21">
        <v>37500.0</v>
      </c>
    </row>
    <row r="57" ht="13.5" customHeight="1">
      <c r="B57" s="20" t="s">
        <v>57</v>
      </c>
      <c r="C57" s="18"/>
      <c r="D57" s="21">
        <v>37500.0</v>
      </c>
      <c r="E57" s="21">
        <v>7500.0</v>
      </c>
      <c r="F57" s="21">
        <v>2000.0</v>
      </c>
      <c r="G57" s="21">
        <v>30000.0</v>
      </c>
    </row>
    <row r="58" ht="13.5" customHeight="1">
      <c r="B58" s="20" t="s">
        <v>58</v>
      </c>
      <c r="C58" s="18"/>
      <c r="D58" s="21">
        <v>30000.0</v>
      </c>
      <c r="E58" s="21">
        <v>7500.0</v>
      </c>
      <c r="F58" s="21">
        <v>2000.0</v>
      </c>
      <c r="G58" s="21">
        <v>22500.0</v>
      </c>
    </row>
    <row r="59" ht="13.5" customHeight="1">
      <c r="B59" s="20" t="s">
        <v>59</v>
      </c>
      <c r="C59" s="18"/>
      <c r="D59" s="21">
        <v>22500.0</v>
      </c>
      <c r="E59" s="21">
        <v>7500.0</v>
      </c>
      <c r="F59" s="21">
        <v>2000.0</v>
      </c>
      <c r="G59" s="21">
        <v>15000.0</v>
      </c>
    </row>
    <row r="60" ht="13.5" customHeight="1">
      <c r="B60" s="20" t="s">
        <v>60</v>
      </c>
      <c r="C60" s="18"/>
      <c r="D60" s="21">
        <v>15000.0</v>
      </c>
      <c r="E60" s="21">
        <v>7500.0</v>
      </c>
      <c r="F60" s="21">
        <v>2000.0</v>
      </c>
      <c r="G60" s="21">
        <v>7500.0</v>
      </c>
    </row>
    <row r="61" ht="13.5" customHeight="1">
      <c r="B61" s="20" t="s">
        <v>61</v>
      </c>
      <c r="C61" s="18"/>
      <c r="D61" s="21">
        <v>7500.0</v>
      </c>
      <c r="E61" s="21">
        <v>7500.0</v>
      </c>
      <c r="F61" s="21">
        <v>2000.0</v>
      </c>
      <c r="G61" s="22">
        <v>0.0</v>
      </c>
    </row>
    <row r="62" ht="13.5" customHeight="1"/>
    <row r="63" ht="13.5" customHeight="1">
      <c r="A63" s="9">
        <v>2.0</v>
      </c>
      <c r="B63" s="13" t="s">
        <v>62</v>
      </c>
    </row>
    <row r="64" ht="13.5" customHeight="1">
      <c r="B64" s="10" t="s">
        <v>63</v>
      </c>
    </row>
    <row r="65" ht="13.5" customHeight="1">
      <c r="A65" s="23" t="s">
        <v>64</v>
      </c>
      <c r="B65" s="10" t="s">
        <v>65</v>
      </c>
      <c r="D65" s="11">
        <v>100000.0</v>
      </c>
      <c r="H65" s="24"/>
    </row>
    <row r="66" ht="13.5" customHeight="1">
      <c r="D66" s="25" t="s">
        <v>48</v>
      </c>
      <c r="E66" s="25" t="s">
        <v>66</v>
      </c>
      <c r="F66" s="25" t="s">
        <v>67</v>
      </c>
      <c r="G66" s="25" t="s">
        <v>68</v>
      </c>
      <c r="H66" s="24"/>
    </row>
    <row r="67" ht="13.5" customHeight="1">
      <c r="D67" s="25" t="s">
        <v>16</v>
      </c>
      <c r="E67" s="26" t="str">
        <f t="shared" ref="E67:E71" si="6">100000/5</f>
        <v>  20,000 </v>
      </c>
      <c r="F67" s="26" t="str">
        <f>E67</f>
        <v>  20,000 </v>
      </c>
      <c r="G67" s="27" t="str">
        <f>D65-F67</f>
        <v>  80,000 </v>
      </c>
      <c r="H67" s="28" t="str">
        <f>E67/4</f>
        <v>  5,000 </v>
      </c>
    </row>
    <row r="68" ht="13.5" customHeight="1">
      <c r="D68" s="25" t="s">
        <v>17</v>
      </c>
      <c r="E68" s="26" t="str">
        <f t="shared" si="6"/>
        <v>  20,000 </v>
      </c>
      <c r="F68" s="26" t="str">
        <f t="shared" ref="F68:F71" si="7">F67+E68</f>
        <v>  40,000 </v>
      </c>
      <c r="G68" s="27" t="str">
        <f t="shared" ref="G68:G71" si="8">G67-E68</f>
        <v>  60,000 </v>
      </c>
      <c r="H68" s="28" t="str">
        <f>E67/4</f>
        <v>  5,000 </v>
      </c>
    </row>
    <row r="69" ht="13.5" customHeight="1">
      <c r="D69" s="25" t="s">
        <v>69</v>
      </c>
      <c r="E69" s="26" t="str">
        <f t="shared" si="6"/>
        <v>  20,000 </v>
      </c>
      <c r="F69" s="26" t="str">
        <f t="shared" si="7"/>
        <v>  60,000 </v>
      </c>
      <c r="G69" s="27" t="str">
        <f t="shared" si="8"/>
        <v>  40,000 </v>
      </c>
      <c r="H69" s="28" t="str">
        <f>E75/4</f>
        <v>  1,250 </v>
      </c>
    </row>
    <row r="70" ht="13.5" customHeight="1">
      <c r="D70" s="25" t="s">
        <v>70</v>
      </c>
      <c r="E70" s="26" t="str">
        <f t="shared" si="6"/>
        <v>  20,000 </v>
      </c>
      <c r="F70" s="26" t="str">
        <f t="shared" si="7"/>
        <v>  80,000 </v>
      </c>
      <c r="G70" s="27" t="str">
        <f t="shared" si="8"/>
        <v>  20,000 </v>
      </c>
      <c r="H70" s="28" t="str">
        <f>H68+H69</f>
        <v>  6,250 </v>
      </c>
    </row>
    <row r="71" ht="13.5" customHeight="1">
      <c r="D71" s="25" t="s">
        <v>71</v>
      </c>
      <c r="E71" s="26" t="str">
        <f t="shared" si="6"/>
        <v>  20,000 </v>
      </c>
      <c r="F71" s="26" t="str">
        <f t="shared" si="7"/>
        <v>  100,000 </v>
      </c>
      <c r="G71" s="27" t="str">
        <f t="shared" si="8"/>
        <v>  - </v>
      </c>
      <c r="H71" s="28" t="str">
        <f>(E69+E75)/4</f>
        <v>  6,250 </v>
      </c>
    </row>
    <row r="72" ht="13.5" customHeight="1">
      <c r="H72" s="29"/>
    </row>
    <row r="73" ht="13.5" customHeight="1">
      <c r="A73" s="23" t="s">
        <v>72</v>
      </c>
      <c r="B73" s="10" t="s">
        <v>73</v>
      </c>
      <c r="D73" s="30" t="str">
        <f>'Study Case 1_20X5 Transaction'!D8</f>
        <v>  25,000 </v>
      </c>
      <c r="H73" s="24"/>
    </row>
    <row r="74" ht="13.5" customHeight="1">
      <c r="D74" s="25" t="s">
        <v>48</v>
      </c>
      <c r="E74" s="22" t="s">
        <v>66</v>
      </c>
      <c r="F74" s="22" t="s">
        <v>67</v>
      </c>
      <c r="G74" s="25" t="s">
        <v>68</v>
      </c>
      <c r="H74" s="24"/>
    </row>
    <row r="75" ht="13.5" customHeight="1">
      <c r="D75" s="22" t="s">
        <v>69</v>
      </c>
      <c r="E75" s="27" t="str">
        <f t="shared" ref="E75:E79" si="9">$D$73/5</f>
        <v>  5,000 </v>
      </c>
      <c r="F75" s="27" t="str">
        <f>E75</f>
        <v>  5,000 </v>
      </c>
      <c r="G75" s="27" t="str">
        <f>D73-F75</f>
        <v>  20,000 </v>
      </c>
    </row>
    <row r="76" ht="13.5" customHeight="1">
      <c r="D76" s="22" t="s">
        <v>70</v>
      </c>
      <c r="E76" s="27" t="str">
        <f t="shared" si="9"/>
        <v>  5,000 </v>
      </c>
      <c r="F76" s="27" t="str">
        <f t="shared" ref="F76:F79" si="10">F75+E76</f>
        <v>  10,000 </v>
      </c>
      <c r="G76" s="27" t="str">
        <f t="shared" ref="G76:G79" si="11">G75-E76</f>
        <v>  15,000 </v>
      </c>
    </row>
    <row r="77" ht="13.5" customHeight="1">
      <c r="D77" s="22" t="s">
        <v>71</v>
      </c>
      <c r="E77" s="27" t="str">
        <f t="shared" si="9"/>
        <v>  5,000 </v>
      </c>
      <c r="F77" s="27" t="str">
        <f t="shared" si="10"/>
        <v>  15,000 </v>
      </c>
      <c r="G77" s="27" t="str">
        <f t="shared" si="11"/>
        <v>  10,000 </v>
      </c>
    </row>
    <row r="78" ht="13.5" customHeight="1">
      <c r="D78" s="22" t="s">
        <v>74</v>
      </c>
      <c r="E78" s="27" t="str">
        <f t="shared" si="9"/>
        <v>  5,000 </v>
      </c>
      <c r="F78" s="27" t="str">
        <f t="shared" si="10"/>
        <v>  20,000 </v>
      </c>
      <c r="G78" s="27" t="str">
        <f t="shared" si="11"/>
        <v>  5,000 </v>
      </c>
    </row>
    <row r="79" ht="13.5" customHeight="1">
      <c r="D79" s="22" t="s">
        <v>75</v>
      </c>
      <c r="E79" s="27" t="str">
        <f t="shared" si="9"/>
        <v>  5,000 </v>
      </c>
      <c r="F79" s="27" t="str">
        <f t="shared" si="10"/>
        <v>  25,000 </v>
      </c>
      <c r="G79" s="27" t="str">
        <f t="shared" si="11"/>
        <v>  - </v>
      </c>
    </row>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sheetData>
  <mergeCells count="11">
    <mergeCell ref="B54:C54"/>
    <mergeCell ref="B55:C55"/>
    <mergeCell ref="B56:C56"/>
    <mergeCell ref="B57:C57"/>
    <mergeCell ref="B58:C58"/>
    <mergeCell ref="B59:C59"/>
    <mergeCell ref="B60:C60"/>
    <mergeCell ref="B61:C61"/>
    <mergeCell ref="D5:H5"/>
    <mergeCell ref="B52:C52"/>
    <mergeCell ref="B53:C53"/>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43"/>
    <col customWidth="1" min="2" max="2" width="3.57"/>
    <col customWidth="1" min="3" max="3" width="60.14"/>
    <col customWidth="1" min="4" max="4" width="13.0"/>
    <col customWidth="1" min="5" max="6" width="8.43"/>
    <col customWidth="1" min="7" max="7" width="38.29"/>
    <col customWidth="1" min="8" max="8" width="11.43"/>
    <col customWidth="1" min="9" max="9" width="34.43"/>
    <col customWidth="1" min="10" max="10" width="11.43"/>
    <col customWidth="1" min="11" max="12" width="8.43"/>
    <col customWidth="1" min="13" max="13" width="33.57"/>
    <col customWidth="1" min="14" max="14" width="14.0"/>
    <col customWidth="1" min="15" max="15" width="14.43"/>
    <col customWidth="1" min="16" max="16" width="11.29"/>
    <col customWidth="1" min="17" max="17" width="10.86"/>
    <col customWidth="1" min="18" max="26" width="10.57"/>
  </cols>
  <sheetData>
    <row r="1" ht="13.5" customHeight="1">
      <c r="A1" s="10" t="s">
        <v>76</v>
      </c>
      <c r="B1" s="10"/>
      <c r="C1" s="10"/>
      <c r="D1" s="10"/>
      <c r="E1" s="10"/>
      <c r="F1" s="10"/>
      <c r="G1" s="10"/>
      <c r="H1" s="10"/>
      <c r="I1" s="10"/>
      <c r="J1" s="10"/>
      <c r="K1" s="10"/>
      <c r="L1" s="10"/>
      <c r="M1" s="10"/>
      <c r="N1" s="10"/>
      <c r="O1" s="10"/>
      <c r="P1" s="10"/>
      <c r="Q1" s="10"/>
      <c r="R1" s="10"/>
      <c r="S1" s="10"/>
      <c r="T1" s="10"/>
      <c r="U1" s="10"/>
      <c r="V1" s="10"/>
      <c r="W1" s="10"/>
      <c r="X1" s="10"/>
      <c r="Y1" s="10"/>
      <c r="Z1" s="10"/>
    </row>
    <row r="2" ht="13.5" customHeight="1">
      <c r="A2" s="31" t="s">
        <v>48</v>
      </c>
      <c r="B2" s="31" t="s">
        <v>77</v>
      </c>
      <c r="C2" s="31" t="s">
        <v>78</v>
      </c>
      <c r="D2" s="31" t="s">
        <v>79</v>
      </c>
      <c r="E2" s="32"/>
      <c r="F2" s="31" t="s">
        <v>80</v>
      </c>
      <c r="G2" s="31" t="s">
        <v>81</v>
      </c>
      <c r="H2" s="31" t="s">
        <v>82</v>
      </c>
      <c r="I2" s="33" t="s">
        <v>81</v>
      </c>
      <c r="J2" s="31" t="s">
        <v>83</v>
      </c>
      <c r="K2" s="34"/>
      <c r="L2" s="34"/>
      <c r="M2" s="31" t="s">
        <v>84</v>
      </c>
      <c r="N2" s="31" t="s">
        <v>85</v>
      </c>
      <c r="O2" s="31" t="s">
        <v>86</v>
      </c>
      <c r="P2" s="31" t="s">
        <v>87</v>
      </c>
      <c r="Q2" s="31" t="s">
        <v>88</v>
      </c>
      <c r="R2" s="10"/>
      <c r="S2" s="10"/>
      <c r="T2" s="10"/>
      <c r="U2" s="10"/>
      <c r="V2" s="10"/>
      <c r="W2" s="10"/>
      <c r="X2" s="10"/>
      <c r="Y2" s="10"/>
      <c r="Z2" s="10"/>
    </row>
    <row r="3" ht="13.5" customHeight="1">
      <c r="A3" s="35" t="s">
        <v>85</v>
      </c>
      <c r="B3" s="36">
        <v>1.0</v>
      </c>
      <c r="C3" s="37" t="s">
        <v>89</v>
      </c>
      <c r="D3" s="38">
        <v>40000.0</v>
      </c>
      <c r="E3" s="39"/>
      <c r="F3" s="40" t="s">
        <v>85</v>
      </c>
      <c r="G3" s="41" t="s">
        <v>90</v>
      </c>
      <c r="H3" s="42" t="str">
        <f t="shared" ref="H3:H50" si="2">D3</f>
        <v>  40,000 </v>
      </c>
      <c r="I3" s="41" t="s">
        <v>91</v>
      </c>
      <c r="J3" s="43" t="str">
        <f t="shared" ref="J3:J14" si="3">-H3</f>
        <v>  (40,000)</v>
      </c>
      <c r="K3" s="39"/>
      <c r="L3" s="39"/>
      <c r="M3" s="44" t="s">
        <v>90</v>
      </c>
      <c r="N3" s="27" t="str">
        <f t="shared" ref="N3:Q3" si="1">SUMIFS($H:$H,$G:$G,$M3,$F:$F,N$2)+SUMIFS($J:$J,$I:$I,$M3,$F:$F,N$2)</f>
        <v>  95,000 </v>
      </c>
      <c r="O3" s="27" t="str">
        <f t="shared" si="1"/>
        <v>  111,000 </v>
      </c>
      <c r="P3" s="27" t="str">
        <f t="shared" si="1"/>
        <v>  93,000 </v>
      </c>
      <c r="Q3" s="27" t="str">
        <f t="shared" si="1"/>
        <v>  (31,500)</v>
      </c>
      <c r="R3" s="10"/>
      <c r="S3" s="10"/>
      <c r="T3" s="10"/>
      <c r="U3" s="10"/>
      <c r="V3" s="10"/>
      <c r="W3" s="10"/>
      <c r="X3" s="10"/>
      <c r="Y3" s="10"/>
      <c r="Z3" s="10"/>
    </row>
    <row r="4" ht="13.5" customHeight="1">
      <c r="A4" s="45"/>
      <c r="B4" s="36">
        <v>2.0</v>
      </c>
      <c r="C4" s="37" t="s">
        <v>92</v>
      </c>
      <c r="D4" s="38">
        <v>150000.0</v>
      </c>
      <c r="E4" s="39"/>
      <c r="F4" s="40" t="s">
        <v>85</v>
      </c>
      <c r="G4" s="41" t="s">
        <v>90</v>
      </c>
      <c r="H4" s="42" t="str">
        <f t="shared" si="2"/>
        <v>  150,000 </v>
      </c>
      <c r="I4" s="41" t="s">
        <v>93</v>
      </c>
      <c r="J4" s="42" t="str">
        <f t="shared" si="3"/>
        <v>  (150,000)</v>
      </c>
      <c r="K4" s="39"/>
      <c r="L4" s="39"/>
      <c r="M4" s="44" t="s">
        <v>91</v>
      </c>
      <c r="N4" s="27" t="str">
        <f t="shared" ref="N4:Q4" si="4">SUMIFS($H:$H,$G:$G,$M4,$F:$F,N$2)+SUMIFS($J:$J,$I:$I,$M4,$F:$F,N$2)</f>
        <v>  (40,000)</v>
      </c>
      <c r="O4" s="27" t="str">
        <f t="shared" si="4"/>
        <v>  (15,000)</v>
      </c>
      <c r="P4" s="27" t="str">
        <f t="shared" si="4"/>
        <v>  35,000 </v>
      </c>
      <c r="Q4" s="27" t="str">
        <f t="shared" si="4"/>
        <v>  105,000 </v>
      </c>
      <c r="R4" s="10"/>
      <c r="S4" s="10"/>
      <c r="T4" s="10"/>
      <c r="U4" s="10"/>
      <c r="V4" s="10"/>
      <c r="W4" s="10"/>
      <c r="X4" s="10"/>
      <c r="Y4" s="10"/>
      <c r="Z4" s="10"/>
    </row>
    <row r="5" ht="13.5" customHeight="1">
      <c r="A5" s="45"/>
      <c r="B5" s="36">
        <v>3.0</v>
      </c>
      <c r="C5" s="37" t="s">
        <v>94</v>
      </c>
      <c r="D5" s="38">
        <v>40000.0</v>
      </c>
      <c r="E5" s="39"/>
      <c r="F5" s="40" t="s">
        <v>85</v>
      </c>
      <c r="G5" s="41" t="s">
        <v>95</v>
      </c>
      <c r="H5" s="42" t="str">
        <f t="shared" si="2"/>
        <v>  40,000 </v>
      </c>
      <c r="I5" s="41" t="s">
        <v>90</v>
      </c>
      <c r="J5" s="42" t="str">
        <f t="shared" si="3"/>
        <v>  (40,000)</v>
      </c>
      <c r="K5" s="39"/>
      <c r="L5" s="39"/>
      <c r="M5" s="44" t="s">
        <v>96</v>
      </c>
      <c r="N5" s="27" t="str">
        <f t="shared" ref="N5:Q5" si="5">SUMIFS($H:$H,$G:$G,$M5,$F:$F,N$2)+SUMIFS($J:$J,$I:$I,$M5,$F:$F,N$2)</f>
        <v>  (3,750)</v>
      </c>
      <c r="O5" s="27" t="str">
        <f t="shared" si="5"/>
        <v>  (3,750)</v>
      </c>
      <c r="P5" s="27" t="str">
        <f t="shared" si="5"/>
        <v>  (3,750)</v>
      </c>
      <c r="Q5" s="27" t="str">
        <f t="shared" si="5"/>
        <v>  (3,750)</v>
      </c>
      <c r="R5" s="10"/>
      <c r="S5" s="10"/>
      <c r="T5" s="10"/>
      <c r="U5" s="10"/>
      <c r="V5" s="10"/>
      <c r="W5" s="10"/>
      <c r="X5" s="10"/>
      <c r="Y5" s="10"/>
      <c r="Z5" s="10"/>
    </row>
    <row r="6" ht="13.5" customHeight="1">
      <c r="A6" s="45"/>
      <c r="B6" s="36">
        <v>4.0</v>
      </c>
      <c r="C6" s="37" t="s">
        <v>97</v>
      </c>
      <c r="D6" s="38">
        <v>5000.0</v>
      </c>
      <c r="E6" s="39"/>
      <c r="F6" s="40" t="s">
        <v>85</v>
      </c>
      <c r="G6" s="41" t="s">
        <v>98</v>
      </c>
      <c r="H6" s="42" t="str">
        <f t="shared" si="2"/>
        <v>  5,000 </v>
      </c>
      <c r="I6" s="41" t="s">
        <v>90</v>
      </c>
      <c r="J6" s="42" t="str">
        <f t="shared" si="3"/>
        <v>  (5,000)</v>
      </c>
      <c r="K6" s="39"/>
      <c r="L6" s="39"/>
      <c r="M6" s="44" t="s">
        <v>99</v>
      </c>
      <c r="N6" s="27" t="str">
        <f t="shared" ref="N6:Q6" si="6">SUMIFS($H:$H,$G:$G,$M6,$F:$F,N$2)+SUMIFS($J:$J,$I:$I,$M6,$F:$F,N$2)</f>
        <v>  25,000 </v>
      </c>
      <c r="O6" s="27" t="str">
        <f t="shared" si="6"/>
        <v>  - </v>
      </c>
      <c r="P6" s="27" t="str">
        <f t="shared" si="6"/>
        <v>  - </v>
      </c>
      <c r="Q6" s="27" t="str">
        <f t="shared" si="6"/>
        <v>  - </v>
      </c>
      <c r="R6" s="10"/>
      <c r="S6" s="10"/>
      <c r="T6" s="10"/>
      <c r="U6" s="10"/>
      <c r="V6" s="10"/>
      <c r="W6" s="10"/>
      <c r="X6" s="10"/>
      <c r="Y6" s="10"/>
      <c r="Z6" s="10"/>
    </row>
    <row r="7" ht="13.5" customHeight="1">
      <c r="A7" s="45"/>
      <c r="B7" s="36">
        <v>5.0</v>
      </c>
      <c r="C7" s="37" t="s">
        <v>100</v>
      </c>
      <c r="D7" s="38">
        <v>10000.0</v>
      </c>
      <c r="E7" s="39"/>
      <c r="F7" s="40" t="s">
        <v>85</v>
      </c>
      <c r="G7" s="41" t="s">
        <v>101</v>
      </c>
      <c r="H7" s="42" t="str">
        <f t="shared" si="2"/>
        <v>  10,000 </v>
      </c>
      <c r="I7" s="41" t="s">
        <v>90</v>
      </c>
      <c r="J7" s="42" t="str">
        <f t="shared" si="3"/>
        <v>  (10,000)</v>
      </c>
      <c r="K7" s="39"/>
      <c r="L7" s="39"/>
      <c r="M7" s="44" t="s">
        <v>102</v>
      </c>
      <c r="N7" s="27" t="str">
        <f t="shared" ref="N7:Q7" si="7">SUMIFS($H:$H,$G:$G,$M7,$F:$F,N$2)+SUMIFS($J:$J,$I:$I,$M7,$F:$F,N$2)</f>
        <v>  (11,250)</v>
      </c>
      <c r="O7" s="27" t="str">
        <f t="shared" si="7"/>
        <v>  (11,250)</v>
      </c>
      <c r="P7" s="27" t="str">
        <f t="shared" si="7"/>
        <v>  (11,250)</v>
      </c>
      <c r="Q7" s="27" t="str">
        <f t="shared" si="7"/>
        <v>  (11,250)</v>
      </c>
      <c r="R7" s="10"/>
      <c r="S7" s="10"/>
      <c r="T7" s="10"/>
      <c r="U7" s="10"/>
      <c r="V7" s="10"/>
      <c r="W7" s="10"/>
      <c r="X7" s="10"/>
      <c r="Y7" s="10"/>
      <c r="Z7" s="10"/>
    </row>
    <row r="8" ht="13.5" customHeight="1">
      <c r="A8" s="45"/>
      <c r="B8" s="36">
        <v>6.0</v>
      </c>
      <c r="C8" s="37" t="s">
        <v>103</v>
      </c>
      <c r="D8" s="38">
        <v>25000.0</v>
      </c>
      <c r="E8" s="39"/>
      <c r="F8" s="40" t="s">
        <v>85</v>
      </c>
      <c r="G8" s="41" t="s">
        <v>99</v>
      </c>
      <c r="H8" s="42" t="str">
        <f t="shared" si="2"/>
        <v>  25,000 </v>
      </c>
      <c r="I8" s="41" t="s">
        <v>90</v>
      </c>
      <c r="J8" s="42" t="str">
        <f t="shared" si="3"/>
        <v>  (25,000)</v>
      </c>
      <c r="K8" s="39"/>
      <c r="L8" s="39"/>
      <c r="M8" s="44" t="s">
        <v>104</v>
      </c>
      <c r="N8" s="27" t="str">
        <f>-SUMIFS($H:$H,$G:$G,$M8,$F:$F,N$2)+SUMIFS($J:$J,$I:$I,$M8,$F:$F,N$2)</f>
        <v>  (8,000)</v>
      </c>
      <c r="O8" s="27" t="str">
        <f t="shared" ref="O8:Q8" si="8">SUMIFS($H:$H,$G:$G,$M8,$F:$F,O$2)+SUMIFS($J:$J,$I:$I,$M8,$F:$F,O$2)</f>
        <v>  - </v>
      </c>
      <c r="P8" s="27" t="str">
        <f t="shared" si="8"/>
        <v>  - </v>
      </c>
      <c r="Q8" s="27" t="str">
        <f t="shared" si="8"/>
        <v>  - </v>
      </c>
      <c r="R8" s="10"/>
      <c r="S8" s="10"/>
      <c r="T8" s="10"/>
      <c r="U8" s="10"/>
      <c r="V8" s="10"/>
      <c r="W8" s="10"/>
      <c r="X8" s="10"/>
      <c r="Y8" s="10"/>
      <c r="Z8" s="10"/>
    </row>
    <row r="9" ht="13.5" customHeight="1">
      <c r="A9" s="45"/>
      <c r="B9" s="36">
        <v>7.0</v>
      </c>
      <c r="C9" s="37" t="s">
        <v>105</v>
      </c>
      <c r="D9" s="38">
        <v>2000.0</v>
      </c>
      <c r="E9" s="39"/>
      <c r="F9" s="40" t="s">
        <v>85</v>
      </c>
      <c r="G9" s="41" t="s">
        <v>106</v>
      </c>
      <c r="H9" s="42" t="str">
        <f t="shared" si="2"/>
        <v>  2,000 </v>
      </c>
      <c r="I9" s="41" t="s">
        <v>90</v>
      </c>
      <c r="J9" s="42" t="str">
        <f t="shared" si="3"/>
        <v>  (2,000)</v>
      </c>
      <c r="K9" s="39"/>
      <c r="L9" s="39"/>
      <c r="M9" s="44" t="s">
        <v>107</v>
      </c>
      <c r="N9" s="27" t="str">
        <f t="shared" ref="N9:N18" si="10">SUMIFS($H:$H,$G:$G,$M9,$F:$F,N$2)+SUMIFS($J:$J,$I:$I,$M9,$F:$F,N$2)</f>
        <v>  - </v>
      </c>
      <c r="O9" s="27" t="str">
        <f>-SUMIFS($H:$H,$G:$G,$M9,$F:$F,O$2)+SUMIFS($J:$J,$I:$I,$M9,$F:$F,O$2)</f>
        <v>  (50,000)</v>
      </c>
      <c r="P9" s="27" t="str">
        <f t="shared" ref="P9:Q9" si="9">SUMIFS($H:$H,$G:$G,$M9,$F:$F,P$2)+SUMIFS($J:$J,$I:$I,$M9,$F:$F,P$2)</f>
        <v>  - </v>
      </c>
      <c r="Q9" s="27" t="str">
        <f t="shared" si="9"/>
        <v>  - </v>
      </c>
      <c r="R9" s="10"/>
      <c r="S9" s="10"/>
      <c r="T9" s="10"/>
      <c r="U9" s="10"/>
      <c r="V9" s="10"/>
      <c r="W9" s="10"/>
      <c r="X9" s="10"/>
      <c r="Y9" s="10"/>
      <c r="Z9" s="10"/>
    </row>
    <row r="10" ht="13.5" customHeight="1">
      <c r="A10" s="45"/>
      <c r="B10" s="36">
        <v>8.0</v>
      </c>
      <c r="C10" s="37" t="s">
        <v>108</v>
      </c>
      <c r="D10" s="38">
        <v>8000.0</v>
      </c>
      <c r="E10" s="39"/>
      <c r="F10" s="40" t="s">
        <v>85</v>
      </c>
      <c r="G10" s="41" t="s">
        <v>104</v>
      </c>
      <c r="H10" s="42" t="str">
        <f t="shared" si="2"/>
        <v>  8,000 </v>
      </c>
      <c r="I10" s="41" t="s">
        <v>90</v>
      </c>
      <c r="J10" s="42" t="str">
        <f t="shared" si="3"/>
        <v>  (8,000)</v>
      </c>
      <c r="K10" s="39"/>
      <c r="L10" s="39"/>
      <c r="M10" s="44" t="s">
        <v>109</v>
      </c>
      <c r="N10" s="27" t="str">
        <f t="shared" si="10"/>
        <v>  - </v>
      </c>
      <c r="O10" s="27" t="str">
        <f t="shared" ref="O10:Q10" si="11">SUMIFS($H:$H,$G:$G,$M10,$F:$F,O$2)+SUMIFS($J:$J,$I:$I,$M10,$F:$F,O$2)</f>
        <v>  15,000 </v>
      </c>
      <c r="P10" s="27" t="str">
        <f t="shared" si="11"/>
        <v>  7,500 </v>
      </c>
      <c r="Q10" s="27" t="str">
        <f t="shared" si="11"/>
        <v>  7,500 </v>
      </c>
      <c r="R10" s="10"/>
      <c r="S10" s="10"/>
      <c r="T10" s="10"/>
      <c r="U10" s="10"/>
      <c r="V10" s="10"/>
      <c r="W10" s="10"/>
      <c r="X10" s="10"/>
      <c r="Y10" s="10"/>
      <c r="Z10" s="10"/>
    </row>
    <row r="11" ht="13.5" customHeight="1">
      <c r="A11" s="45"/>
      <c r="B11" s="36">
        <v>9.0</v>
      </c>
      <c r="C11" s="37" t="s">
        <v>110</v>
      </c>
      <c r="D11" s="38">
        <v>5000.0</v>
      </c>
      <c r="E11" s="39"/>
      <c r="F11" s="40" t="s">
        <v>85</v>
      </c>
      <c r="G11" s="41" t="s">
        <v>111</v>
      </c>
      <c r="H11" s="42" t="str">
        <f t="shared" si="2"/>
        <v>  5,000 </v>
      </c>
      <c r="I11" s="41" t="s">
        <v>90</v>
      </c>
      <c r="J11" s="42" t="str">
        <f t="shared" si="3"/>
        <v>  (5,000)</v>
      </c>
      <c r="K11" s="39"/>
      <c r="L11" s="39"/>
      <c r="M11" s="46" t="s">
        <v>93</v>
      </c>
      <c r="N11" s="27" t="str">
        <f t="shared" si="10"/>
        <v>  (150,000)</v>
      </c>
      <c r="O11" s="27" t="str">
        <f t="shared" ref="O11:Q11" si="12">SUMIFS($H:$H,$G:$G,$M11,$F:$F,O$2)+SUMIFS($J:$J,$I:$I,$M11,$F:$F,O$2)</f>
        <v>  (250,000)</v>
      </c>
      <c r="P11" s="27" t="str">
        <f t="shared" si="12"/>
        <v>  (215,000)</v>
      </c>
      <c r="Q11" s="27" t="str">
        <f t="shared" si="12"/>
        <v>  (185,000)</v>
      </c>
      <c r="R11" s="10"/>
      <c r="S11" s="10"/>
      <c r="T11" s="10"/>
      <c r="U11" s="10"/>
      <c r="V11" s="10"/>
      <c r="W11" s="10"/>
      <c r="X11" s="10"/>
      <c r="Y11" s="10"/>
      <c r="Z11" s="10"/>
    </row>
    <row r="12" ht="13.5" customHeight="1">
      <c r="A12" s="45"/>
      <c r="B12" s="36">
        <v>10.0</v>
      </c>
      <c r="C12" s="37" t="s">
        <v>112</v>
      </c>
      <c r="D12" s="38">
        <v>3750.0</v>
      </c>
      <c r="E12" s="39"/>
      <c r="F12" s="40" t="s">
        <v>85</v>
      </c>
      <c r="G12" s="41" t="s">
        <v>113</v>
      </c>
      <c r="H12" s="42" t="str">
        <f t="shared" si="2"/>
        <v>  3,750 </v>
      </c>
      <c r="I12" s="41" t="s">
        <v>96</v>
      </c>
      <c r="J12" s="42" t="str">
        <f t="shared" si="3"/>
        <v>  (3,750)</v>
      </c>
      <c r="K12" s="39"/>
      <c r="L12" s="39"/>
      <c r="M12" s="44" t="s">
        <v>95</v>
      </c>
      <c r="N12" s="27" t="str">
        <f t="shared" si="10"/>
        <v>  40,000 </v>
      </c>
      <c r="O12" s="27" t="str">
        <f t="shared" ref="O12:Q12" si="13">SUMIFS($H:$H,$G:$G,$M12,$F:$F,O$2)+SUMIFS($J:$J,$I:$I,$M12,$F:$F,O$2)</f>
        <v>  60,000 </v>
      </c>
      <c r="P12" s="27" t="str">
        <f t="shared" si="13"/>
        <v>  55,000 </v>
      </c>
      <c r="Q12" s="27" t="str">
        <f t="shared" si="13"/>
        <v>  70,000 </v>
      </c>
      <c r="R12" s="10"/>
      <c r="S12" s="10"/>
      <c r="T12" s="10"/>
      <c r="U12" s="10"/>
      <c r="V12" s="10"/>
      <c r="W12" s="10"/>
      <c r="X12" s="10"/>
      <c r="Y12" s="10"/>
      <c r="Z12" s="10"/>
    </row>
    <row r="13" ht="13.5" customHeight="1">
      <c r="A13" s="45"/>
      <c r="B13" s="36">
        <v>11.0</v>
      </c>
      <c r="C13" s="37" t="s">
        <v>114</v>
      </c>
      <c r="D13" s="47" t="str">
        <f>Background!H68</f>
        <v>5,000</v>
      </c>
      <c r="E13" s="48"/>
      <c r="F13" s="40" t="s">
        <v>85</v>
      </c>
      <c r="G13" s="41" t="s">
        <v>115</v>
      </c>
      <c r="H13" s="49" t="str">
        <f t="shared" si="2"/>
        <v>  5,000 </v>
      </c>
      <c r="I13" s="41" t="s">
        <v>102</v>
      </c>
      <c r="J13" s="49" t="str">
        <f t="shared" si="3"/>
        <v>  (5,000)</v>
      </c>
      <c r="K13" s="48"/>
      <c r="L13" s="48"/>
      <c r="M13" s="46" t="s">
        <v>111</v>
      </c>
      <c r="N13" s="27" t="str">
        <f t="shared" si="10"/>
        <v>  5,000 </v>
      </c>
      <c r="O13" s="27" t="str">
        <f t="shared" ref="O13:Q13" si="14">SUMIFS($H:$H,$G:$G,$M13,$F:$F,O$2)+SUMIFS($J:$J,$I:$I,$M13,$F:$F,O$2)</f>
        <v>  6,000 </v>
      </c>
      <c r="P13" s="27" t="str">
        <f t="shared" si="14"/>
        <v>  4,000 </v>
      </c>
      <c r="Q13" s="27" t="str">
        <f t="shared" si="14"/>
        <v>  5,000 </v>
      </c>
      <c r="R13" s="10"/>
      <c r="S13" s="10"/>
      <c r="T13" s="10"/>
      <c r="U13" s="10"/>
      <c r="V13" s="10"/>
      <c r="W13" s="10"/>
      <c r="X13" s="10"/>
      <c r="Y13" s="10"/>
      <c r="Z13" s="10"/>
    </row>
    <row r="14" ht="13.5" customHeight="1">
      <c r="A14" s="50"/>
      <c r="B14" s="36">
        <v>12.0</v>
      </c>
      <c r="C14" s="37" t="s">
        <v>116</v>
      </c>
      <c r="D14" s="47" t="str">
        <f>Background!H70</f>
        <v>6,250</v>
      </c>
      <c r="E14" s="48"/>
      <c r="F14" s="40" t="s">
        <v>85</v>
      </c>
      <c r="G14" s="41" t="s">
        <v>115</v>
      </c>
      <c r="H14" s="49" t="str">
        <f t="shared" si="2"/>
        <v>  6,250 </v>
      </c>
      <c r="I14" s="41" t="s">
        <v>102</v>
      </c>
      <c r="J14" s="49" t="str">
        <f t="shared" si="3"/>
        <v>  (6,250)</v>
      </c>
      <c r="K14" s="48"/>
      <c r="L14" s="48"/>
      <c r="M14" s="44" t="s">
        <v>101</v>
      </c>
      <c r="N14" s="27" t="str">
        <f t="shared" si="10"/>
        <v>  10,000 </v>
      </c>
      <c r="O14" s="27" t="str">
        <f t="shared" ref="O14:Q14" si="15">SUMIFS($H:$H,$G:$G,$M14,$F:$F,O$2)+SUMIFS($J:$J,$I:$I,$M14,$F:$F,O$2)</f>
        <v>  15,000 </v>
      </c>
      <c r="P14" s="27" t="str">
        <f t="shared" si="15"/>
        <v>  12,000 </v>
      </c>
      <c r="Q14" s="27" t="str">
        <f t="shared" si="15"/>
        <v>  20,000 </v>
      </c>
      <c r="R14" s="10"/>
      <c r="S14" s="10"/>
      <c r="T14" s="10"/>
      <c r="U14" s="10"/>
      <c r="V14" s="10"/>
      <c r="W14" s="10"/>
      <c r="X14" s="10"/>
      <c r="Y14" s="10"/>
      <c r="Z14" s="10"/>
    </row>
    <row r="15" ht="13.5" customHeight="1">
      <c r="A15" s="51" t="s">
        <v>86</v>
      </c>
      <c r="B15" s="25">
        <v>1.0</v>
      </c>
      <c r="C15" s="22" t="s">
        <v>117</v>
      </c>
      <c r="D15" s="21">
        <v>50000.0</v>
      </c>
      <c r="E15" s="48"/>
      <c r="F15" s="40" t="s">
        <v>86</v>
      </c>
      <c r="G15" s="41" t="s">
        <v>107</v>
      </c>
      <c r="H15" s="42" t="str">
        <f t="shared" si="2"/>
        <v>  50,000 </v>
      </c>
      <c r="I15" s="41" t="s">
        <v>93</v>
      </c>
      <c r="J15" s="42" t="str">
        <f t="shared" ref="J15:J24" si="17">-D15</f>
        <v>  (50,000)</v>
      </c>
      <c r="K15" s="48"/>
      <c r="L15" s="48"/>
      <c r="M15" s="44" t="s">
        <v>98</v>
      </c>
      <c r="N15" s="27" t="str">
        <f t="shared" si="10"/>
        <v>  5,000 </v>
      </c>
      <c r="O15" s="27" t="str">
        <f t="shared" ref="O15:Q15" si="16">SUMIFS($H:$H,$G:$G,$M15,$F:$F,O$2)+SUMIFS($J:$J,$I:$I,$M15,$F:$F,O$2)</f>
        <v>  6,000 </v>
      </c>
      <c r="P15" s="27" t="str">
        <f t="shared" si="16"/>
        <v>  6,500 </v>
      </c>
      <c r="Q15" s="27" t="str">
        <f t="shared" si="16"/>
        <v>  7,000 </v>
      </c>
      <c r="R15" s="10"/>
      <c r="S15" s="10"/>
      <c r="T15" s="10"/>
      <c r="U15" s="10"/>
      <c r="V15" s="10"/>
      <c r="W15" s="10"/>
      <c r="X15" s="10"/>
      <c r="Y15" s="10"/>
      <c r="Z15" s="10"/>
    </row>
    <row r="16" ht="13.5" customHeight="1">
      <c r="A16" s="52"/>
      <c r="B16" s="25">
        <v>2.0</v>
      </c>
      <c r="C16" s="22" t="s">
        <v>118</v>
      </c>
      <c r="D16" s="21">
        <v>200000.0</v>
      </c>
      <c r="E16" s="48"/>
      <c r="F16" s="53" t="s">
        <v>86</v>
      </c>
      <c r="G16" s="41" t="s">
        <v>90</v>
      </c>
      <c r="H16" s="42" t="str">
        <f t="shared" si="2"/>
        <v>  200,000 </v>
      </c>
      <c r="I16" s="41" t="s">
        <v>93</v>
      </c>
      <c r="J16" s="42" t="str">
        <f t="shared" si="17"/>
        <v>  (200,000)</v>
      </c>
      <c r="K16" s="48"/>
      <c r="L16" s="48"/>
      <c r="M16" s="46" t="s">
        <v>115</v>
      </c>
      <c r="N16" s="27" t="str">
        <f t="shared" si="10"/>
        <v>  11,250 </v>
      </c>
      <c r="O16" s="27" t="str">
        <f t="shared" ref="O16:Q16" si="18">SUMIFS($H:$H,$G:$G,$M16,$F:$F,O$2)+SUMIFS($J:$J,$I:$I,$M16,$F:$F,O$2)</f>
        <v>  11,250 </v>
      </c>
      <c r="P16" s="27" t="str">
        <f t="shared" si="18"/>
        <v>  11,250 </v>
      </c>
      <c r="Q16" s="27" t="str">
        <f t="shared" si="18"/>
        <v>  11,250 </v>
      </c>
      <c r="R16" s="10"/>
      <c r="S16" s="10"/>
      <c r="T16" s="10"/>
      <c r="U16" s="10"/>
      <c r="V16" s="10"/>
      <c r="W16" s="10"/>
      <c r="X16" s="10"/>
      <c r="Y16" s="10"/>
      <c r="Z16" s="10"/>
    </row>
    <row r="17" ht="13.5" customHeight="1">
      <c r="A17" s="52"/>
      <c r="B17" s="25">
        <v>3.0</v>
      </c>
      <c r="C17" s="22" t="s">
        <v>119</v>
      </c>
      <c r="D17" s="21">
        <v>15000.0</v>
      </c>
      <c r="E17" s="48"/>
      <c r="F17" s="53" t="s">
        <v>86</v>
      </c>
      <c r="G17" s="41" t="s">
        <v>90</v>
      </c>
      <c r="H17" s="42" t="str">
        <f t="shared" si="2"/>
        <v>  15,000 </v>
      </c>
      <c r="I17" s="41" t="s">
        <v>91</v>
      </c>
      <c r="J17" s="42" t="str">
        <f t="shared" si="17"/>
        <v>  (15,000)</v>
      </c>
      <c r="K17" s="48"/>
      <c r="L17" s="48"/>
      <c r="M17" s="46" t="s">
        <v>113</v>
      </c>
      <c r="N17" s="27" t="str">
        <f t="shared" si="10"/>
        <v>  3,750 </v>
      </c>
      <c r="O17" s="27" t="str">
        <f t="shared" ref="O17:Q17" si="19">SUMIFS($H:$H,$G:$G,$M17,$F:$F,O$2)+SUMIFS($J:$J,$I:$I,$M17,$F:$F,O$2)</f>
        <v>  3,750 </v>
      </c>
      <c r="P17" s="27" t="str">
        <f t="shared" si="19"/>
        <v>  3,750 </v>
      </c>
      <c r="Q17" s="27" t="str">
        <f t="shared" si="19"/>
        <v>  3,750 </v>
      </c>
      <c r="R17" s="10"/>
      <c r="S17" s="10"/>
      <c r="T17" s="10"/>
      <c r="U17" s="10"/>
      <c r="V17" s="10"/>
      <c r="W17" s="10"/>
      <c r="X17" s="10"/>
      <c r="Y17" s="10"/>
      <c r="Z17" s="10"/>
    </row>
    <row r="18" ht="13.5" customHeight="1">
      <c r="A18" s="52"/>
      <c r="B18" s="25">
        <v>4.0</v>
      </c>
      <c r="C18" s="22" t="s">
        <v>120</v>
      </c>
      <c r="D18" s="21">
        <v>60000.0</v>
      </c>
      <c r="E18" s="48"/>
      <c r="F18" s="53" t="s">
        <v>86</v>
      </c>
      <c r="G18" s="41" t="s">
        <v>95</v>
      </c>
      <c r="H18" s="42" t="str">
        <f t="shared" si="2"/>
        <v>  60,000 </v>
      </c>
      <c r="I18" s="41" t="s">
        <v>90</v>
      </c>
      <c r="J18" s="42" t="str">
        <f t="shared" si="17"/>
        <v>  (60,000)</v>
      </c>
      <c r="K18" s="48"/>
      <c r="L18" s="48"/>
      <c r="M18" s="44" t="s">
        <v>106</v>
      </c>
      <c r="N18" s="27" t="str">
        <f t="shared" si="10"/>
        <v>  2,000 </v>
      </c>
      <c r="O18" s="27" t="str">
        <f t="shared" ref="O18:Q18" si="20">SUMIFS($H:$H,$G:$G,$M18,$F:$F,O$2)+SUMIFS($J:$J,$I:$I,$M18,$F:$F,O$2)</f>
        <v>  2,000 </v>
      </c>
      <c r="P18" s="27" t="str">
        <f t="shared" si="20"/>
        <v>  2,000 </v>
      </c>
      <c r="Q18" s="27" t="str">
        <f t="shared" si="20"/>
        <v>  2,000 </v>
      </c>
      <c r="R18" s="10"/>
      <c r="S18" s="10"/>
      <c r="T18" s="10"/>
      <c r="U18" s="10"/>
      <c r="V18" s="10"/>
      <c r="W18" s="10"/>
      <c r="X18" s="10"/>
      <c r="Y18" s="10"/>
      <c r="Z18" s="10"/>
    </row>
    <row r="19" ht="13.5" customHeight="1">
      <c r="A19" s="52"/>
      <c r="B19" s="25">
        <v>5.0</v>
      </c>
      <c r="C19" s="22" t="s">
        <v>121</v>
      </c>
      <c r="D19" s="21">
        <v>6000.0</v>
      </c>
      <c r="E19" s="48"/>
      <c r="F19" s="53" t="s">
        <v>86</v>
      </c>
      <c r="G19" s="41" t="s">
        <v>98</v>
      </c>
      <c r="H19" s="42" t="str">
        <f t="shared" si="2"/>
        <v>  6,000 </v>
      </c>
      <c r="I19" s="41" t="s">
        <v>90</v>
      </c>
      <c r="J19" s="42" t="str">
        <f t="shared" si="17"/>
        <v>  (6,000)</v>
      </c>
      <c r="K19" s="48"/>
      <c r="L19" s="48"/>
      <c r="M19" s="10"/>
      <c r="N19" s="10"/>
      <c r="O19" s="10"/>
      <c r="P19" s="10"/>
      <c r="Q19" s="10"/>
      <c r="R19" s="10"/>
      <c r="S19" s="10"/>
      <c r="T19" s="10"/>
      <c r="U19" s="10"/>
      <c r="V19" s="10"/>
      <c r="W19" s="10"/>
      <c r="X19" s="10"/>
      <c r="Y19" s="10"/>
      <c r="Z19" s="10"/>
    </row>
    <row r="20" ht="13.5" customHeight="1">
      <c r="A20" s="52"/>
      <c r="B20" s="25">
        <v>6.0</v>
      </c>
      <c r="C20" s="22" t="s">
        <v>100</v>
      </c>
      <c r="D20" s="21">
        <v>15000.0</v>
      </c>
      <c r="E20" s="48"/>
      <c r="F20" s="54" t="s">
        <v>86</v>
      </c>
      <c r="G20" s="41" t="s">
        <v>101</v>
      </c>
      <c r="H20" s="42" t="str">
        <f t="shared" si="2"/>
        <v>  15,000 </v>
      </c>
      <c r="I20" s="41" t="s">
        <v>90</v>
      </c>
      <c r="J20" s="42" t="str">
        <f t="shared" si="17"/>
        <v>  (15,000)</v>
      </c>
      <c r="K20" s="48"/>
      <c r="L20" s="48"/>
      <c r="M20" s="11"/>
      <c r="N20" s="10"/>
      <c r="O20" s="10"/>
      <c r="P20" s="10"/>
      <c r="Q20" s="10"/>
      <c r="R20" s="10"/>
      <c r="S20" s="10"/>
      <c r="T20" s="10"/>
      <c r="U20" s="10"/>
      <c r="V20" s="10"/>
      <c r="W20" s="10"/>
      <c r="X20" s="10"/>
      <c r="Y20" s="10"/>
      <c r="Z20" s="10"/>
    </row>
    <row r="21" ht="13.5" customHeight="1">
      <c r="A21" s="52"/>
      <c r="B21" s="25">
        <v>7.0</v>
      </c>
      <c r="C21" s="22" t="s">
        <v>105</v>
      </c>
      <c r="D21" s="21">
        <v>2000.0</v>
      </c>
      <c r="E21" s="48"/>
      <c r="F21" s="55" t="s">
        <v>86</v>
      </c>
      <c r="G21" s="56" t="s">
        <v>106</v>
      </c>
      <c r="H21" s="42" t="str">
        <f t="shared" si="2"/>
        <v>  2,000 </v>
      </c>
      <c r="I21" s="41" t="s">
        <v>90</v>
      </c>
      <c r="J21" s="42" t="str">
        <f t="shared" si="17"/>
        <v>  (2,000)</v>
      </c>
      <c r="K21" s="48"/>
      <c r="L21" s="48"/>
      <c r="M21" s="10"/>
      <c r="N21" s="10"/>
      <c r="O21" s="10"/>
      <c r="P21" s="10"/>
      <c r="Q21" s="10"/>
      <c r="R21" s="10"/>
      <c r="S21" s="10"/>
      <c r="T21" s="10"/>
      <c r="U21" s="10"/>
      <c r="V21" s="10"/>
      <c r="W21" s="10"/>
      <c r="X21" s="10"/>
      <c r="Y21" s="10"/>
      <c r="Z21" s="10"/>
    </row>
    <row r="22" ht="13.5" customHeight="1">
      <c r="A22" s="52"/>
      <c r="B22" s="25">
        <v>8.0</v>
      </c>
      <c r="C22" s="22" t="s">
        <v>122</v>
      </c>
      <c r="D22" s="57">
        <v>15000.0</v>
      </c>
      <c r="E22" s="48"/>
      <c r="F22" s="58" t="s">
        <v>86</v>
      </c>
      <c r="G22" s="41" t="s">
        <v>109</v>
      </c>
      <c r="H22" s="59" t="str">
        <f t="shared" si="2"/>
        <v>  15,000 </v>
      </c>
      <c r="I22" s="41" t="s">
        <v>90</v>
      </c>
      <c r="J22" s="59" t="str">
        <f t="shared" si="17"/>
        <v>  (15,000)</v>
      </c>
      <c r="K22" s="48"/>
      <c r="L22" s="48"/>
      <c r="M22" s="11"/>
      <c r="N22" s="10"/>
      <c r="O22" s="10"/>
      <c r="P22" s="10"/>
      <c r="Q22" s="10"/>
      <c r="R22" s="10"/>
      <c r="S22" s="10"/>
      <c r="T22" s="10"/>
      <c r="U22" s="10"/>
      <c r="V22" s="10"/>
      <c r="W22" s="10"/>
      <c r="X22" s="10"/>
      <c r="Y22" s="10"/>
      <c r="Z22" s="10"/>
    </row>
    <row r="23" ht="13.5" customHeight="1">
      <c r="A23" s="52"/>
      <c r="B23" s="25">
        <v>9.0</v>
      </c>
      <c r="C23" s="37" t="s">
        <v>112</v>
      </c>
      <c r="D23" s="21">
        <v>3750.0</v>
      </c>
      <c r="E23" s="48"/>
      <c r="F23" s="53" t="s">
        <v>86</v>
      </c>
      <c r="G23" s="41" t="s">
        <v>113</v>
      </c>
      <c r="H23" s="42" t="str">
        <f t="shared" si="2"/>
        <v>  3,750 </v>
      </c>
      <c r="I23" s="41" t="s">
        <v>96</v>
      </c>
      <c r="J23" s="42" t="str">
        <f t="shared" si="17"/>
        <v>  (3,750)</v>
      </c>
      <c r="K23" s="48"/>
      <c r="L23" s="48"/>
      <c r="M23" s="10"/>
      <c r="N23" s="10"/>
      <c r="O23" s="10"/>
      <c r="P23" s="10"/>
      <c r="Q23" s="10"/>
      <c r="R23" s="10"/>
      <c r="S23" s="10"/>
      <c r="T23" s="10"/>
      <c r="U23" s="10"/>
      <c r="V23" s="10"/>
      <c r="W23" s="10"/>
      <c r="X23" s="10"/>
      <c r="Y23" s="10"/>
      <c r="Z23" s="10"/>
    </row>
    <row r="24" ht="13.5" customHeight="1">
      <c r="A24" s="52"/>
      <c r="B24" s="25">
        <v>10.0</v>
      </c>
      <c r="C24" s="22" t="s">
        <v>123</v>
      </c>
      <c r="D24" s="21">
        <v>6000.0</v>
      </c>
      <c r="E24" s="48"/>
      <c r="F24" s="53" t="s">
        <v>86</v>
      </c>
      <c r="G24" s="41" t="s">
        <v>111</v>
      </c>
      <c r="H24" s="42" t="str">
        <f t="shared" si="2"/>
        <v>  6,000 </v>
      </c>
      <c r="I24" s="41" t="s">
        <v>90</v>
      </c>
      <c r="J24" s="42" t="str">
        <f t="shared" si="17"/>
        <v>  (6,000)</v>
      </c>
      <c r="K24" s="48"/>
      <c r="L24" s="48"/>
      <c r="M24" s="10"/>
      <c r="N24" s="10"/>
      <c r="O24" s="10"/>
      <c r="P24" s="10"/>
      <c r="Q24" s="10"/>
      <c r="R24" s="10"/>
      <c r="S24" s="10"/>
      <c r="T24" s="10"/>
      <c r="U24" s="10"/>
      <c r="V24" s="10"/>
      <c r="W24" s="10"/>
      <c r="X24" s="10"/>
      <c r="Y24" s="10"/>
      <c r="Z24" s="10"/>
    </row>
    <row r="25" ht="13.5" customHeight="1">
      <c r="A25" s="52"/>
      <c r="B25" s="36">
        <v>11.0</v>
      </c>
      <c r="C25" s="37" t="s">
        <v>114</v>
      </c>
      <c r="D25" s="47" t="str">
        <f t="shared" ref="D25:D26" si="21">D13</f>
        <v>5,000</v>
      </c>
      <c r="E25" s="48"/>
      <c r="F25" s="53" t="s">
        <v>86</v>
      </c>
      <c r="G25" s="41" t="s">
        <v>115</v>
      </c>
      <c r="H25" s="49" t="str">
        <f t="shared" si="2"/>
        <v>  5,000 </v>
      </c>
      <c r="I25" s="41" t="s">
        <v>102</v>
      </c>
      <c r="J25" s="49" t="str">
        <f t="shared" ref="J25:J28" si="22">-H25</f>
        <v>  (5,000)</v>
      </c>
      <c r="K25" s="48"/>
      <c r="L25" s="48"/>
      <c r="M25" s="10"/>
      <c r="N25" s="10"/>
      <c r="O25" s="10"/>
      <c r="P25" s="10"/>
      <c r="Q25" s="10"/>
      <c r="R25" s="10"/>
      <c r="S25" s="10"/>
      <c r="T25" s="10"/>
      <c r="U25" s="10"/>
      <c r="V25" s="10"/>
      <c r="W25" s="10"/>
      <c r="X25" s="10"/>
      <c r="Y25" s="10"/>
      <c r="Z25" s="10"/>
    </row>
    <row r="26" ht="13.5" customHeight="1">
      <c r="A26" s="60"/>
      <c r="B26" s="36">
        <v>12.0</v>
      </c>
      <c r="C26" s="37" t="s">
        <v>116</v>
      </c>
      <c r="D26" s="47" t="str">
        <f t="shared" si="21"/>
        <v>6,250</v>
      </c>
      <c r="E26" s="48"/>
      <c r="F26" s="53" t="s">
        <v>86</v>
      </c>
      <c r="G26" s="41" t="s">
        <v>115</v>
      </c>
      <c r="H26" s="49" t="str">
        <f t="shared" si="2"/>
        <v>  6,250 </v>
      </c>
      <c r="I26" s="41" t="s">
        <v>102</v>
      </c>
      <c r="J26" s="49" t="str">
        <f t="shared" si="22"/>
        <v>  (6,250)</v>
      </c>
      <c r="K26" s="48"/>
      <c r="L26" s="48"/>
      <c r="M26" s="10"/>
      <c r="N26" s="11"/>
      <c r="O26" s="10"/>
      <c r="P26" s="10"/>
      <c r="Q26" s="10"/>
      <c r="R26" s="10"/>
      <c r="S26" s="10"/>
      <c r="T26" s="10"/>
      <c r="U26" s="10"/>
      <c r="V26" s="10"/>
      <c r="W26" s="10"/>
      <c r="X26" s="10"/>
      <c r="Y26" s="10"/>
      <c r="Z26" s="10"/>
    </row>
    <row r="27" ht="13.5" customHeight="1">
      <c r="A27" s="51" t="s">
        <v>87</v>
      </c>
      <c r="B27" s="25">
        <v>1.0</v>
      </c>
      <c r="C27" s="22" t="s">
        <v>124</v>
      </c>
      <c r="D27" s="21">
        <v>70000.0</v>
      </c>
      <c r="E27" s="48"/>
      <c r="F27" s="53" t="s">
        <v>87</v>
      </c>
      <c r="G27" s="41" t="s">
        <v>91</v>
      </c>
      <c r="H27" s="42" t="str">
        <f t="shared" si="2"/>
        <v>  70,000 </v>
      </c>
      <c r="I27" s="41" t="s">
        <v>93</v>
      </c>
      <c r="J27" s="42" t="str">
        <f t="shared" si="22"/>
        <v>  (70,000)</v>
      </c>
      <c r="K27" s="48"/>
      <c r="L27" s="48"/>
      <c r="M27" s="10"/>
      <c r="N27" s="10"/>
      <c r="O27" s="61" t="str">
        <f>10000+-8000</f>
        <v>2000</v>
      </c>
      <c r="P27" s="10"/>
      <c r="Q27" s="10"/>
      <c r="R27" s="10"/>
      <c r="S27" s="10"/>
      <c r="T27" s="10"/>
      <c r="U27" s="10"/>
      <c r="V27" s="10"/>
      <c r="W27" s="10"/>
      <c r="X27" s="10"/>
      <c r="Y27" s="10"/>
      <c r="Z27" s="10"/>
    </row>
    <row r="28" ht="13.5" customHeight="1">
      <c r="A28" s="52"/>
      <c r="B28" s="25">
        <v>2.0</v>
      </c>
      <c r="C28" s="22" t="s">
        <v>125</v>
      </c>
      <c r="D28" s="21">
        <v>145000.0</v>
      </c>
      <c r="E28" s="48"/>
      <c r="F28" s="53" t="str">
        <f t="shared" ref="F28:F38" si="23">F27</f>
        <v>Q3</v>
      </c>
      <c r="G28" s="41" t="s">
        <v>90</v>
      </c>
      <c r="H28" s="42" t="str">
        <f t="shared" si="2"/>
        <v>  145,000 </v>
      </c>
      <c r="I28" s="41" t="s">
        <v>93</v>
      </c>
      <c r="J28" s="42" t="str">
        <f t="shared" si="22"/>
        <v>  (145,000)</v>
      </c>
      <c r="K28" s="48"/>
      <c r="L28" s="48"/>
      <c r="M28" s="10"/>
      <c r="N28" s="10"/>
      <c r="O28" s="10"/>
      <c r="P28" s="10"/>
      <c r="Q28" s="10"/>
      <c r="R28" s="10"/>
      <c r="S28" s="10"/>
      <c r="T28" s="10"/>
      <c r="U28" s="10"/>
      <c r="V28" s="10"/>
      <c r="W28" s="10"/>
      <c r="X28" s="10"/>
      <c r="Y28" s="10"/>
      <c r="Z28" s="10"/>
    </row>
    <row r="29" ht="13.5" customHeight="1">
      <c r="A29" s="52"/>
      <c r="B29" s="25">
        <v>3.0</v>
      </c>
      <c r="C29" s="22" t="s">
        <v>126</v>
      </c>
      <c r="D29" s="21">
        <v>35000.0</v>
      </c>
      <c r="E29" s="48"/>
      <c r="F29" s="53" t="str">
        <f t="shared" si="23"/>
        <v>Q3</v>
      </c>
      <c r="G29" s="41" t="s">
        <v>90</v>
      </c>
      <c r="H29" s="42" t="str">
        <f t="shared" si="2"/>
        <v>  35,000 </v>
      </c>
      <c r="I29" s="41" t="s">
        <v>91</v>
      </c>
      <c r="J29" s="42" t="str">
        <f t="shared" ref="J29:J33" si="24">-D29</f>
        <v>  (35,000)</v>
      </c>
      <c r="K29" s="48"/>
      <c r="L29" s="48"/>
      <c r="M29" s="10"/>
      <c r="N29" s="10"/>
      <c r="O29" s="10"/>
      <c r="P29" s="10"/>
      <c r="Q29" s="10"/>
      <c r="R29" s="10"/>
      <c r="S29" s="10"/>
      <c r="T29" s="10"/>
      <c r="U29" s="10"/>
      <c r="V29" s="10"/>
      <c r="W29" s="10"/>
      <c r="X29" s="10"/>
      <c r="Y29" s="10"/>
      <c r="Z29" s="10"/>
    </row>
    <row r="30" ht="13.5" customHeight="1">
      <c r="A30" s="52"/>
      <c r="B30" s="25">
        <v>4.0</v>
      </c>
      <c r="C30" s="22" t="s">
        <v>127</v>
      </c>
      <c r="D30" s="21">
        <v>55000.0</v>
      </c>
      <c r="E30" s="48"/>
      <c r="F30" s="53" t="str">
        <f t="shared" si="23"/>
        <v>Q3</v>
      </c>
      <c r="G30" s="41" t="s">
        <v>95</v>
      </c>
      <c r="H30" s="42" t="str">
        <f t="shared" si="2"/>
        <v>  55,000 </v>
      </c>
      <c r="I30" s="41" t="s">
        <v>90</v>
      </c>
      <c r="J30" s="42" t="str">
        <f t="shared" si="24"/>
        <v>  (55,000)</v>
      </c>
      <c r="K30" s="48"/>
      <c r="L30" s="48"/>
      <c r="M30" s="10"/>
      <c r="N30" s="10"/>
      <c r="O30" s="10"/>
      <c r="P30" s="10"/>
      <c r="Q30" s="10"/>
      <c r="R30" s="10"/>
      <c r="S30" s="10"/>
      <c r="T30" s="10"/>
      <c r="U30" s="10"/>
      <c r="V30" s="10"/>
      <c r="W30" s="10"/>
      <c r="X30" s="10"/>
      <c r="Y30" s="10"/>
      <c r="Z30" s="10"/>
    </row>
    <row r="31" ht="13.5" customHeight="1">
      <c r="A31" s="52"/>
      <c r="B31" s="25">
        <v>5.0</v>
      </c>
      <c r="C31" s="22" t="s">
        <v>121</v>
      </c>
      <c r="D31" s="21">
        <v>6500.0</v>
      </c>
      <c r="E31" s="48"/>
      <c r="F31" s="53" t="str">
        <f t="shared" si="23"/>
        <v>Q3</v>
      </c>
      <c r="G31" s="41" t="s">
        <v>98</v>
      </c>
      <c r="H31" s="42" t="str">
        <f t="shared" si="2"/>
        <v>  6,500 </v>
      </c>
      <c r="I31" s="41" t="s">
        <v>90</v>
      </c>
      <c r="J31" s="42" t="str">
        <f t="shared" si="24"/>
        <v>  (6,500)</v>
      </c>
      <c r="K31" s="48"/>
      <c r="L31" s="48"/>
      <c r="M31" s="10"/>
      <c r="N31" s="10"/>
      <c r="O31" s="10"/>
      <c r="P31" s="10"/>
      <c r="Q31" s="10"/>
      <c r="R31" s="10"/>
      <c r="S31" s="10"/>
      <c r="T31" s="10"/>
      <c r="U31" s="10"/>
      <c r="V31" s="10"/>
      <c r="W31" s="10"/>
      <c r="X31" s="10"/>
      <c r="Y31" s="10"/>
      <c r="Z31" s="10"/>
    </row>
    <row r="32" ht="13.5" customHeight="1">
      <c r="A32" s="52"/>
      <c r="B32" s="25">
        <v>6.0</v>
      </c>
      <c r="C32" s="22" t="s">
        <v>100</v>
      </c>
      <c r="D32" s="21">
        <v>12000.0</v>
      </c>
      <c r="E32" s="48"/>
      <c r="F32" s="53" t="str">
        <f t="shared" si="23"/>
        <v>Q3</v>
      </c>
      <c r="G32" s="41" t="s">
        <v>101</v>
      </c>
      <c r="H32" s="42" t="str">
        <f t="shared" si="2"/>
        <v>  12,000 </v>
      </c>
      <c r="I32" s="41" t="s">
        <v>90</v>
      </c>
      <c r="J32" s="42" t="str">
        <f t="shared" si="24"/>
        <v>  (12,000)</v>
      </c>
      <c r="K32" s="48"/>
      <c r="L32" s="48"/>
      <c r="M32" s="10"/>
      <c r="N32" s="10"/>
      <c r="O32" s="10"/>
      <c r="P32" s="10"/>
      <c r="Q32" s="10"/>
      <c r="R32" s="10"/>
      <c r="S32" s="10"/>
      <c r="T32" s="10"/>
      <c r="U32" s="10"/>
      <c r="V32" s="10"/>
      <c r="W32" s="10"/>
      <c r="X32" s="10"/>
      <c r="Y32" s="10"/>
      <c r="Z32" s="10"/>
    </row>
    <row r="33" ht="13.5" customHeight="1">
      <c r="A33" s="52"/>
      <c r="B33" s="25">
        <v>7.0</v>
      </c>
      <c r="C33" s="22" t="s">
        <v>105</v>
      </c>
      <c r="D33" s="21">
        <v>2000.0</v>
      </c>
      <c r="E33" s="48"/>
      <c r="F33" s="53" t="str">
        <f t="shared" si="23"/>
        <v>Q3</v>
      </c>
      <c r="G33" s="41" t="s">
        <v>106</v>
      </c>
      <c r="H33" s="42" t="str">
        <f t="shared" si="2"/>
        <v>  2,000 </v>
      </c>
      <c r="I33" s="41" t="s">
        <v>90</v>
      </c>
      <c r="J33" s="42" t="str">
        <f t="shared" si="24"/>
        <v>  (2,000)</v>
      </c>
      <c r="K33" s="48"/>
      <c r="L33" s="48"/>
      <c r="M33" s="10"/>
      <c r="N33" s="10"/>
      <c r="O33" s="10"/>
      <c r="P33" s="10"/>
      <c r="Q33" s="10"/>
      <c r="R33" s="10"/>
      <c r="S33" s="10"/>
      <c r="T33" s="10"/>
      <c r="U33" s="10"/>
      <c r="V33" s="10"/>
      <c r="W33" s="10"/>
      <c r="X33" s="10"/>
      <c r="Y33" s="10"/>
      <c r="Z33" s="10"/>
    </row>
    <row r="34" ht="13.5" customHeight="1">
      <c r="A34" s="52"/>
      <c r="B34" s="25">
        <v>8.0</v>
      </c>
      <c r="C34" s="22" t="s">
        <v>128</v>
      </c>
      <c r="D34" s="57">
        <v>7500.0</v>
      </c>
      <c r="E34" s="48"/>
      <c r="F34" s="53" t="str">
        <f t="shared" si="23"/>
        <v>Q3</v>
      </c>
      <c r="G34" s="41" t="s">
        <v>109</v>
      </c>
      <c r="H34" s="59" t="str">
        <f t="shared" si="2"/>
        <v>  7,500 </v>
      </c>
      <c r="I34" s="41" t="s">
        <v>90</v>
      </c>
      <c r="J34" s="59" t="str">
        <f t="shared" ref="J34:J35" si="25">-H34</f>
        <v>  (7,500)</v>
      </c>
      <c r="K34" s="48"/>
      <c r="L34" s="48"/>
      <c r="M34" s="10"/>
      <c r="N34" s="10"/>
      <c r="O34" s="10"/>
      <c r="P34" s="10"/>
      <c r="Q34" s="10"/>
      <c r="R34" s="10"/>
      <c r="S34" s="10"/>
      <c r="T34" s="10"/>
      <c r="U34" s="10"/>
      <c r="V34" s="10"/>
      <c r="W34" s="10"/>
      <c r="X34" s="10"/>
      <c r="Y34" s="10"/>
      <c r="Z34" s="10"/>
    </row>
    <row r="35" ht="13.5" customHeight="1">
      <c r="A35" s="52"/>
      <c r="B35" s="25">
        <v>9.0</v>
      </c>
      <c r="C35" s="37" t="s">
        <v>112</v>
      </c>
      <c r="D35" s="21">
        <v>3750.0</v>
      </c>
      <c r="E35" s="48"/>
      <c r="F35" s="53" t="str">
        <f t="shared" si="23"/>
        <v>Q3</v>
      </c>
      <c r="G35" s="41" t="s">
        <v>113</v>
      </c>
      <c r="H35" s="42" t="str">
        <f t="shared" si="2"/>
        <v>  3,750 </v>
      </c>
      <c r="I35" s="41" t="s">
        <v>96</v>
      </c>
      <c r="J35" s="42" t="str">
        <f t="shared" si="25"/>
        <v>  (3,750)</v>
      </c>
      <c r="K35" s="48"/>
      <c r="L35" s="48"/>
      <c r="M35" s="10"/>
      <c r="N35" s="10"/>
      <c r="O35" s="10"/>
      <c r="P35" s="10"/>
      <c r="Q35" s="10"/>
      <c r="R35" s="10"/>
      <c r="S35" s="10"/>
      <c r="T35" s="10"/>
      <c r="U35" s="10"/>
      <c r="V35" s="10"/>
      <c r="W35" s="10"/>
      <c r="X35" s="10"/>
      <c r="Y35" s="10"/>
      <c r="Z35" s="10"/>
    </row>
    <row r="36" ht="13.5" customHeight="1">
      <c r="A36" s="52"/>
      <c r="B36" s="25">
        <v>10.0</v>
      </c>
      <c r="C36" s="22" t="s">
        <v>129</v>
      </c>
      <c r="D36" s="21">
        <v>4000.0</v>
      </c>
      <c r="E36" s="48"/>
      <c r="F36" s="53" t="str">
        <f t="shared" si="23"/>
        <v>Q3</v>
      </c>
      <c r="G36" s="41" t="s">
        <v>111</v>
      </c>
      <c r="H36" s="42" t="str">
        <f t="shared" si="2"/>
        <v>  4,000 </v>
      </c>
      <c r="I36" s="41" t="s">
        <v>90</v>
      </c>
      <c r="J36" s="42" t="str">
        <f>-D36</f>
        <v>  (4,000)</v>
      </c>
      <c r="K36" s="48"/>
      <c r="L36" s="48"/>
      <c r="M36" s="10"/>
      <c r="N36" s="10"/>
      <c r="O36" s="10"/>
      <c r="P36" s="10"/>
      <c r="Q36" s="10"/>
      <c r="R36" s="10"/>
      <c r="S36" s="10"/>
      <c r="T36" s="10"/>
      <c r="U36" s="10"/>
      <c r="V36" s="10"/>
      <c r="W36" s="10"/>
      <c r="X36" s="10"/>
      <c r="Y36" s="10"/>
      <c r="Z36" s="10"/>
    </row>
    <row r="37" ht="13.5" customHeight="1">
      <c r="A37" s="52"/>
      <c r="B37" s="36">
        <v>11.0</v>
      </c>
      <c r="C37" s="37" t="s">
        <v>114</v>
      </c>
      <c r="D37" s="47" t="str">
        <f t="shared" ref="D37:D38" si="26">D25</f>
        <v>5,000</v>
      </c>
      <c r="E37" s="48"/>
      <c r="F37" s="53" t="str">
        <f t="shared" si="23"/>
        <v>Q3</v>
      </c>
      <c r="G37" s="41" t="s">
        <v>115</v>
      </c>
      <c r="H37" s="49" t="str">
        <f t="shared" si="2"/>
        <v>  5,000 </v>
      </c>
      <c r="I37" s="41" t="s">
        <v>102</v>
      </c>
      <c r="J37" s="49" t="str">
        <f t="shared" ref="J37:J38" si="27">-H37</f>
        <v>  (5,000)</v>
      </c>
      <c r="K37" s="48"/>
      <c r="L37" s="48"/>
      <c r="M37" s="10"/>
      <c r="N37" s="10"/>
      <c r="O37" s="10"/>
      <c r="P37" s="10"/>
      <c r="Q37" s="10"/>
      <c r="R37" s="10"/>
      <c r="S37" s="10"/>
      <c r="T37" s="10"/>
      <c r="U37" s="10"/>
      <c r="V37" s="10"/>
      <c r="W37" s="10"/>
      <c r="X37" s="10"/>
      <c r="Y37" s="10"/>
      <c r="Z37" s="10"/>
    </row>
    <row r="38" ht="13.5" customHeight="1">
      <c r="A38" s="60"/>
      <c r="B38" s="36">
        <v>12.0</v>
      </c>
      <c r="C38" s="37" t="s">
        <v>116</v>
      </c>
      <c r="D38" s="47" t="str">
        <f t="shared" si="26"/>
        <v>6,250</v>
      </c>
      <c r="E38" s="48"/>
      <c r="F38" s="53" t="str">
        <f t="shared" si="23"/>
        <v>Q3</v>
      </c>
      <c r="G38" s="41" t="s">
        <v>115</v>
      </c>
      <c r="H38" s="49" t="str">
        <f t="shared" si="2"/>
        <v>  6,250 </v>
      </c>
      <c r="I38" s="41" t="s">
        <v>102</v>
      </c>
      <c r="J38" s="49" t="str">
        <f t="shared" si="27"/>
        <v>  (6,250)</v>
      </c>
      <c r="K38" s="48"/>
      <c r="L38" s="48"/>
      <c r="M38" s="10"/>
      <c r="N38" s="10"/>
      <c r="O38" s="10"/>
      <c r="P38" s="10"/>
      <c r="Q38" s="10"/>
      <c r="R38" s="10"/>
      <c r="S38" s="10"/>
      <c r="T38" s="10"/>
      <c r="U38" s="10"/>
      <c r="V38" s="10"/>
      <c r="W38" s="10"/>
      <c r="X38" s="10"/>
      <c r="Y38" s="10"/>
      <c r="Z38" s="10"/>
    </row>
    <row r="39" ht="13.5" customHeight="1">
      <c r="A39" s="51" t="s">
        <v>88</v>
      </c>
      <c r="B39" s="25">
        <v>1.0</v>
      </c>
      <c r="C39" s="22" t="s">
        <v>124</v>
      </c>
      <c r="D39" s="21">
        <v>45000.0</v>
      </c>
      <c r="E39" s="48"/>
      <c r="F39" s="53" t="s">
        <v>88</v>
      </c>
      <c r="G39" s="41" t="s">
        <v>90</v>
      </c>
      <c r="H39" s="42" t="str">
        <f t="shared" si="2"/>
        <v>  45,000 </v>
      </c>
      <c r="I39" s="41" t="s">
        <v>91</v>
      </c>
      <c r="J39" s="42" t="str">
        <f t="shared" ref="J39:J40" si="28">-D39</f>
        <v>  (45,000)</v>
      </c>
      <c r="K39" s="48"/>
      <c r="L39" s="48"/>
      <c r="M39" s="10"/>
      <c r="N39" s="10"/>
      <c r="O39" s="10"/>
      <c r="P39" s="10"/>
      <c r="Q39" s="10"/>
      <c r="R39" s="10"/>
      <c r="S39" s="10"/>
      <c r="T39" s="10"/>
      <c r="U39" s="10"/>
      <c r="V39" s="10"/>
      <c r="W39" s="10"/>
      <c r="X39" s="10"/>
      <c r="Y39" s="10"/>
      <c r="Z39" s="10"/>
    </row>
    <row r="40" ht="13.5" customHeight="1">
      <c r="A40" s="52"/>
      <c r="B40" s="25">
        <v>2.0</v>
      </c>
      <c r="C40" s="22" t="s">
        <v>130</v>
      </c>
      <c r="D40" s="21">
        <v>185000.0</v>
      </c>
      <c r="E40" s="48"/>
      <c r="F40" s="53" t="str">
        <f t="shared" ref="F40:F50" si="29">F39</f>
        <v>Q4</v>
      </c>
      <c r="G40" s="41" t="s">
        <v>91</v>
      </c>
      <c r="H40" s="42" t="str">
        <f t="shared" si="2"/>
        <v>  185,000 </v>
      </c>
      <c r="I40" s="41" t="s">
        <v>93</v>
      </c>
      <c r="J40" s="42" t="str">
        <f t="shared" si="28"/>
        <v>  (185,000)</v>
      </c>
      <c r="K40" s="48"/>
      <c r="L40" s="48"/>
      <c r="M40" s="10"/>
      <c r="N40" s="10"/>
      <c r="O40" s="10"/>
      <c r="P40" s="10"/>
      <c r="Q40" s="10"/>
      <c r="R40" s="10"/>
      <c r="S40" s="10"/>
      <c r="T40" s="10"/>
      <c r="U40" s="10"/>
      <c r="V40" s="10"/>
      <c r="W40" s="10"/>
      <c r="X40" s="10"/>
      <c r="Y40" s="10"/>
      <c r="Z40" s="10"/>
    </row>
    <row r="41" ht="13.5" customHeight="1">
      <c r="A41" s="52"/>
      <c r="B41" s="25">
        <v>3.0</v>
      </c>
      <c r="C41" s="22" t="s">
        <v>131</v>
      </c>
      <c r="D41" s="21">
        <v>35000.0</v>
      </c>
      <c r="E41" s="48"/>
      <c r="F41" s="53" t="str">
        <f t="shared" si="29"/>
        <v>Q4</v>
      </c>
      <c r="G41" s="41" t="s">
        <v>90</v>
      </c>
      <c r="H41" s="42" t="str">
        <f t="shared" si="2"/>
        <v>  35,000 </v>
      </c>
      <c r="I41" s="41" t="s">
        <v>91</v>
      </c>
      <c r="J41" s="42" t="str">
        <f>-H41</f>
        <v>  (35,000)</v>
      </c>
      <c r="K41" s="48"/>
      <c r="L41" s="48"/>
      <c r="M41" s="10"/>
      <c r="N41" s="10"/>
      <c r="O41" s="10"/>
      <c r="P41" s="10"/>
      <c r="Q41" s="10"/>
      <c r="R41" s="10"/>
      <c r="S41" s="10"/>
      <c r="T41" s="10"/>
      <c r="U41" s="10"/>
      <c r="V41" s="10"/>
      <c r="W41" s="10"/>
      <c r="X41" s="10"/>
      <c r="Y41" s="10"/>
      <c r="Z41" s="10"/>
    </row>
    <row r="42" ht="13.5" customHeight="1">
      <c r="A42" s="52"/>
      <c r="B42" s="25">
        <v>4.0</v>
      </c>
      <c r="C42" s="22" t="s">
        <v>132</v>
      </c>
      <c r="D42" s="21">
        <v>70000.0</v>
      </c>
      <c r="E42" s="48"/>
      <c r="F42" s="53" t="str">
        <f t="shared" si="29"/>
        <v>Q4</v>
      </c>
      <c r="G42" s="41" t="s">
        <v>95</v>
      </c>
      <c r="H42" s="42" t="str">
        <f t="shared" si="2"/>
        <v>  70,000 </v>
      </c>
      <c r="I42" s="41" t="s">
        <v>90</v>
      </c>
      <c r="J42" s="42" t="str">
        <f>-D42</f>
        <v>  (70,000)</v>
      </c>
      <c r="K42" s="48"/>
      <c r="L42" s="48"/>
      <c r="M42" s="10"/>
      <c r="N42" s="10"/>
      <c r="O42" s="10"/>
      <c r="P42" s="10"/>
      <c r="Q42" s="10"/>
      <c r="R42" s="10"/>
      <c r="S42" s="10"/>
      <c r="T42" s="10"/>
      <c r="U42" s="10"/>
      <c r="V42" s="10"/>
      <c r="W42" s="10"/>
      <c r="X42" s="10"/>
      <c r="Y42" s="10"/>
      <c r="Z42" s="10"/>
    </row>
    <row r="43" ht="13.5" customHeight="1">
      <c r="A43" s="52"/>
      <c r="B43" s="25">
        <v>5.0</v>
      </c>
      <c r="C43" s="22" t="s">
        <v>121</v>
      </c>
      <c r="D43" s="21">
        <v>7000.0</v>
      </c>
      <c r="E43" s="48"/>
      <c r="F43" s="53" t="str">
        <f t="shared" si="29"/>
        <v>Q4</v>
      </c>
      <c r="G43" s="41" t="s">
        <v>98</v>
      </c>
      <c r="H43" s="42" t="str">
        <f t="shared" si="2"/>
        <v>  7,000 </v>
      </c>
      <c r="I43" s="41" t="s">
        <v>90</v>
      </c>
      <c r="J43" s="42" t="str">
        <f t="shared" ref="J43:J44" si="30">-H43</f>
        <v>  (7,000)</v>
      </c>
      <c r="K43" s="48"/>
      <c r="L43" s="48"/>
      <c r="M43" s="10"/>
      <c r="N43" s="10"/>
      <c r="O43" s="10"/>
      <c r="P43" s="10"/>
      <c r="Q43" s="10"/>
      <c r="R43" s="10"/>
      <c r="S43" s="10"/>
      <c r="T43" s="10"/>
      <c r="U43" s="10"/>
      <c r="V43" s="10"/>
      <c r="W43" s="10"/>
      <c r="X43" s="10"/>
      <c r="Y43" s="10"/>
      <c r="Z43" s="10"/>
    </row>
    <row r="44" ht="13.5" customHeight="1">
      <c r="A44" s="52"/>
      <c r="B44" s="25">
        <v>6.0</v>
      </c>
      <c r="C44" s="22" t="s">
        <v>100</v>
      </c>
      <c r="D44" s="21">
        <v>20000.0</v>
      </c>
      <c r="E44" s="48"/>
      <c r="F44" s="53" t="str">
        <f t="shared" si="29"/>
        <v>Q4</v>
      </c>
      <c r="G44" s="41" t="s">
        <v>101</v>
      </c>
      <c r="H44" s="42" t="str">
        <f t="shared" si="2"/>
        <v>  20,000 </v>
      </c>
      <c r="I44" s="41" t="s">
        <v>90</v>
      </c>
      <c r="J44" s="42" t="str">
        <f t="shared" si="30"/>
        <v>  (20,000)</v>
      </c>
      <c r="K44" s="48"/>
      <c r="L44" s="48"/>
      <c r="M44" s="10"/>
      <c r="N44" s="10"/>
      <c r="O44" s="10"/>
      <c r="P44" s="10"/>
      <c r="Q44" s="10"/>
      <c r="R44" s="10"/>
      <c r="S44" s="10"/>
      <c r="T44" s="10"/>
      <c r="U44" s="10"/>
      <c r="V44" s="10"/>
      <c r="W44" s="10"/>
      <c r="X44" s="10"/>
      <c r="Y44" s="10"/>
      <c r="Z44" s="10"/>
    </row>
    <row r="45" ht="13.5" customHeight="1">
      <c r="A45" s="52"/>
      <c r="B45" s="25">
        <v>7.0</v>
      </c>
      <c r="C45" s="22" t="s">
        <v>105</v>
      </c>
      <c r="D45" s="21">
        <v>2000.0</v>
      </c>
      <c r="E45" s="48"/>
      <c r="F45" s="53" t="str">
        <f t="shared" si="29"/>
        <v>Q4</v>
      </c>
      <c r="G45" s="41" t="s">
        <v>106</v>
      </c>
      <c r="H45" s="42" t="str">
        <f t="shared" si="2"/>
        <v>  2,000 </v>
      </c>
      <c r="I45" s="41" t="s">
        <v>90</v>
      </c>
      <c r="J45" s="42" t="str">
        <f t="shared" ref="J45:J46" si="31">-D45</f>
        <v>  (2,000)</v>
      </c>
      <c r="K45" s="48"/>
      <c r="L45" s="48"/>
      <c r="M45" s="10"/>
      <c r="N45" s="10"/>
      <c r="O45" s="10"/>
      <c r="P45" s="10"/>
      <c r="Q45" s="10"/>
      <c r="R45" s="10"/>
      <c r="S45" s="10"/>
      <c r="T45" s="10"/>
      <c r="U45" s="10"/>
      <c r="V45" s="10"/>
      <c r="W45" s="10"/>
      <c r="X45" s="10"/>
      <c r="Y45" s="10"/>
      <c r="Z45" s="10"/>
    </row>
    <row r="46" ht="13.5" customHeight="1">
      <c r="A46" s="52"/>
      <c r="B46" s="25">
        <v>8.0</v>
      </c>
      <c r="C46" s="22" t="s">
        <v>133</v>
      </c>
      <c r="D46" s="57">
        <v>7500.0</v>
      </c>
      <c r="E46" s="48"/>
      <c r="F46" s="53" t="str">
        <f t="shared" si="29"/>
        <v>Q4</v>
      </c>
      <c r="G46" s="41" t="s">
        <v>109</v>
      </c>
      <c r="H46" s="59" t="str">
        <f t="shared" si="2"/>
        <v>  7,500 </v>
      </c>
      <c r="I46" s="41" t="s">
        <v>90</v>
      </c>
      <c r="J46" s="59" t="str">
        <f t="shared" si="31"/>
        <v>  (7,500)</v>
      </c>
      <c r="K46" s="48"/>
      <c r="L46" s="48"/>
      <c r="M46" s="10"/>
      <c r="N46" s="10"/>
      <c r="O46" s="10"/>
      <c r="P46" s="10"/>
      <c r="Q46" s="10"/>
      <c r="R46" s="10"/>
      <c r="S46" s="10"/>
      <c r="T46" s="10"/>
      <c r="U46" s="10"/>
      <c r="V46" s="10"/>
      <c r="W46" s="10"/>
      <c r="X46" s="10"/>
      <c r="Y46" s="10"/>
      <c r="Z46" s="10"/>
    </row>
    <row r="47" ht="13.5" customHeight="1">
      <c r="A47" s="52"/>
      <c r="B47" s="25">
        <v>9.0</v>
      </c>
      <c r="C47" s="37" t="s">
        <v>112</v>
      </c>
      <c r="D47" s="21">
        <v>3750.0</v>
      </c>
      <c r="E47" s="10"/>
      <c r="F47" s="53" t="str">
        <f t="shared" si="29"/>
        <v>Q4</v>
      </c>
      <c r="G47" s="41" t="s">
        <v>113</v>
      </c>
      <c r="H47" s="42" t="str">
        <f t="shared" si="2"/>
        <v>  3,750 </v>
      </c>
      <c r="I47" s="41" t="s">
        <v>96</v>
      </c>
      <c r="J47" s="42" t="str">
        <f>-H47</f>
        <v>  (3,750)</v>
      </c>
      <c r="K47" s="10"/>
      <c r="L47" s="10"/>
      <c r="M47" s="10"/>
      <c r="N47" s="10"/>
      <c r="O47" s="10"/>
      <c r="P47" s="10"/>
      <c r="Q47" s="10"/>
      <c r="R47" s="10"/>
      <c r="S47" s="10"/>
      <c r="T47" s="10"/>
      <c r="U47" s="10"/>
      <c r="V47" s="10"/>
      <c r="W47" s="10"/>
      <c r="X47" s="10"/>
      <c r="Y47" s="10"/>
      <c r="Z47" s="10"/>
    </row>
    <row r="48" ht="13.5" customHeight="1">
      <c r="A48" s="52"/>
      <c r="B48" s="25">
        <v>10.0</v>
      </c>
      <c r="C48" s="22" t="s">
        <v>134</v>
      </c>
      <c r="D48" s="21">
        <v>5000.0</v>
      </c>
      <c r="E48" s="10"/>
      <c r="F48" s="53" t="str">
        <f t="shared" si="29"/>
        <v>Q4</v>
      </c>
      <c r="G48" s="41" t="s">
        <v>111</v>
      </c>
      <c r="H48" s="42" t="str">
        <f t="shared" si="2"/>
        <v>  5,000 </v>
      </c>
      <c r="I48" s="41" t="s">
        <v>90</v>
      </c>
      <c r="J48" s="42" t="str">
        <f>-D48</f>
        <v>  (5,000)</v>
      </c>
      <c r="K48" s="10"/>
      <c r="L48" s="10"/>
      <c r="M48" s="10"/>
      <c r="N48" s="10"/>
      <c r="O48" s="10"/>
      <c r="P48" s="10"/>
      <c r="Q48" s="10"/>
      <c r="R48" s="10"/>
      <c r="S48" s="10"/>
      <c r="T48" s="10"/>
      <c r="U48" s="10"/>
      <c r="V48" s="10"/>
      <c r="W48" s="10"/>
      <c r="X48" s="10"/>
      <c r="Y48" s="10"/>
      <c r="Z48" s="10"/>
    </row>
    <row r="49" ht="13.5" customHeight="1">
      <c r="A49" s="52"/>
      <c r="B49" s="36">
        <v>11.0</v>
      </c>
      <c r="C49" s="37" t="s">
        <v>114</v>
      </c>
      <c r="D49" s="47" t="str">
        <f t="shared" ref="D49:D50" si="32">D37</f>
        <v>5,000</v>
      </c>
      <c r="E49" s="10"/>
      <c r="F49" s="53" t="str">
        <f t="shared" si="29"/>
        <v>Q4</v>
      </c>
      <c r="G49" s="41" t="s">
        <v>115</v>
      </c>
      <c r="H49" s="49" t="str">
        <f t="shared" si="2"/>
        <v>  5,000 </v>
      </c>
      <c r="I49" s="41" t="s">
        <v>102</v>
      </c>
      <c r="J49" s="49" t="str">
        <f>-H49</f>
        <v>  (5,000)</v>
      </c>
      <c r="K49" s="10"/>
      <c r="L49" s="10"/>
      <c r="M49" s="10"/>
      <c r="N49" s="10"/>
      <c r="O49" s="10"/>
      <c r="P49" s="10"/>
      <c r="Q49" s="10"/>
      <c r="R49" s="10"/>
      <c r="S49" s="10"/>
      <c r="T49" s="10"/>
      <c r="U49" s="10"/>
      <c r="V49" s="10"/>
      <c r="W49" s="10"/>
      <c r="X49" s="10"/>
      <c r="Y49" s="10"/>
      <c r="Z49" s="10"/>
    </row>
    <row r="50" ht="13.5" customHeight="1">
      <c r="A50" s="60"/>
      <c r="B50" s="36">
        <v>12.0</v>
      </c>
      <c r="C50" s="37" t="s">
        <v>116</v>
      </c>
      <c r="D50" s="47" t="str">
        <f t="shared" si="32"/>
        <v>6,250</v>
      </c>
      <c r="E50" s="10"/>
      <c r="F50" s="53" t="str">
        <f t="shared" si="29"/>
        <v>Q4</v>
      </c>
      <c r="G50" s="41" t="s">
        <v>115</v>
      </c>
      <c r="H50" s="49" t="str">
        <f t="shared" si="2"/>
        <v>  6,250 </v>
      </c>
      <c r="I50" s="41" t="s">
        <v>102</v>
      </c>
      <c r="J50" s="49" t="str">
        <f>-D50</f>
        <v>  (6,250)</v>
      </c>
      <c r="K50" s="10"/>
      <c r="L50" s="10"/>
      <c r="M50" s="10"/>
      <c r="N50" s="10"/>
      <c r="O50" s="10"/>
      <c r="P50" s="10"/>
      <c r="Q50" s="10"/>
      <c r="R50" s="10"/>
      <c r="S50" s="10"/>
      <c r="T50" s="10"/>
      <c r="U50" s="10"/>
      <c r="V50" s="10"/>
      <c r="W50" s="10"/>
      <c r="X50" s="10"/>
      <c r="Y50" s="10"/>
      <c r="Z50" s="10"/>
    </row>
    <row r="51" ht="13.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3.5" customHeight="1">
      <c r="A52" s="9" t="s">
        <v>135</v>
      </c>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3.5" customHeight="1">
      <c r="A53" s="10" t="s">
        <v>136</v>
      </c>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3.5" customHeight="1">
      <c r="A54" s="10" t="s">
        <v>137</v>
      </c>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3.5" customHeight="1">
      <c r="A55" s="62" t="s">
        <v>138</v>
      </c>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3.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3.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3.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3.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3.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3.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3.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3.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3.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3.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3.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3.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3.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3.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3.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3.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3.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3.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3.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3.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3.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3.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3.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3.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3.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3.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3.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3.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3.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3.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3.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3.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3.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3.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3.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3.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3.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3.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3.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3.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3.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3.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3.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3.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3.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3.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3.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3.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3.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3.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3.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3.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3.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3.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3.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3.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3.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3.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3.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3.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3.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3.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3.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3.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3.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3.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3.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3.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3.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3.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3.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3.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3.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3.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3.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3.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3.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3.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3.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3.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3.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3.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3.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3.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3.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3.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3.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3.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3.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3.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3.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3.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3.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3.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3.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3.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3.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3.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3.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3.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3.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3.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3.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3.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3.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3.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3.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3.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3.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3.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3.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3.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3.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3.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3.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3.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3.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3.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3.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3.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3.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3.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3.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3.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3.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3.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3.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3.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3.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3.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3.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3.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3.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3.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3.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3.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3.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3.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3.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3.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3.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3.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3.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3.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3.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3.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3.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3.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3.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3.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3.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3.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3.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3.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3.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3.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3.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3.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3.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3.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3.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3.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3.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3.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3.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3.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3.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3.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3.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3.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3.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3.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3.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3.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3.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3.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3.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3.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3.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3.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3.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3.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3.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3.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3.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3.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3.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3.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3.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3.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3.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3.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3.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3.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3.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3.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3.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3.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3.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3.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sheetData>
  <autoFilter ref="$F$2:$J$2"/>
  <mergeCells count="4">
    <mergeCell ref="A3:A14"/>
    <mergeCell ref="A15:A26"/>
    <mergeCell ref="A27:A38"/>
    <mergeCell ref="A39:A50"/>
  </mergeCells>
  <dataValidations>
    <dataValidation type="list" allowBlank="1" showErrorMessage="1" sqref="G3:G50 I3:I50">
      <formula1>'Study Case 1_Working Paper'!$A$66:$A$81</formula1>
    </dataValidation>
  </dataValidations>
  <hyperlinks>
    <hyperlink r:id="rId1" ref="F21"/>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31.0"/>
    <col customWidth="1" min="2" max="2" width="6.0"/>
    <col customWidth="1" min="3" max="3" width="10.86"/>
    <col customWidth="1" min="4" max="7" width="12.86"/>
    <col customWidth="1" min="8" max="8" width="1.43"/>
    <col customWidth="1" min="9" max="9" width="31.0"/>
    <col customWidth="1" min="10" max="14" width="12.86"/>
    <col customWidth="1" min="15" max="15" width="1.43"/>
    <col customWidth="1" min="16" max="16" width="33.0"/>
    <col customWidth="1" min="17" max="20" width="12.86"/>
    <col customWidth="1" min="21" max="21" width="12.57"/>
    <col customWidth="1" min="22" max="22" width="3.43"/>
    <col customWidth="1" min="23" max="23" width="15.86"/>
    <col customWidth="1" min="24" max="24" width="2.29"/>
    <col customWidth="1" min="25" max="25" width="20.71"/>
    <col customWidth="1" min="26" max="29" width="12.57"/>
  </cols>
  <sheetData>
    <row r="1" ht="46.5" customHeight="1">
      <c r="A1" s="63" t="s">
        <v>139</v>
      </c>
      <c r="B1" s="10"/>
      <c r="C1" s="10"/>
      <c r="D1" s="10"/>
      <c r="E1" s="10"/>
      <c r="F1" s="10"/>
      <c r="G1" s="10"/>
      <c r="H1" s="64"/>
      <c r="I1" s="63" t="s">
        <v>140</v>
      </c>
      <c r="J1" s="10"/>
      <c r="K1" s="10"/>
      <c r="L1" s="10"/>
      <c r="M1" s="10"/>
      <c r="N1" s="10"/>
      <c r="O1" s="64"/>
      <c r="P1" s="63" t="s">
        <v>141</v>
      </c>
      <c r="Q1" s="10"/>
      <c r="R1" s="10"/>
      <c r="S1" s="10"/>
      <c r="T1" s="10"/>
      <c r="U1" s="10"/>
      <c r="V1" s="23"/>
      <c r="W1" s="65" t="s">
        <v>142</v>
      </c>
      <c r="Y1" s="10"/>
      <c r="Z1" s="10"/>
      <c r="AA1" s="10"/>
      <c r="AB1" s="10"/>
      <c r="AC1" s="10"/>
    </row>
    <row r="2" ht="15.0" customHeight="1">
      <c r="A2" s="66" t="s">
        <v>143</v>
      </c>
      <c r="B2" s="10"/>
      <c r="C2" s="10"/>
      <c r="D2" s="10"/>
      <c r="E2" s="10"/>
      <c r="F2" s="10"/>
      <c r="G2" s="10"/>
      <c r="H2" s="64"/>
      <c r="I2" s="66" t="s">
        <v>143</v>
      </c>
      <c r="J2" s="10"/>
      <c r="K2" s="10"/>
      <c r="L2" s="10"/>
      <c r="M2" s="10"/>
      <c r="N2" s="10"/>
      <c r="O2" s="64"/>
      <c r="P2" s="66" t="s">
        <v>143</v>
      </c>
      <c r="Q2" s="10"/>
      <c r="R2" s="10"/>
      <c r="S2" s="10"/>
      <c r="T2" s="10"/>
      <c r="U2" s="10"/>
      <c r="V2" s="23"/>
      <c r="Y2" s="10"/>
      <c r="Z2" s="10"/>
      <c r="AA2" s="10"/>
      <c r="AB2" s="10"/>
      <c r="AC2" s="10"/>
    </row>
    <row r="3" ht="6.0" customHeight="1">
      <c r="A3" s="66"/>
      <c r="B3" s="10"/>
      <c r="C3" s="10"/>
      <c r="D3" s="10"/>
      <c r="E3" s="10"/>
      <c r="F3" s="10"/>
      <c r="G3" s="10"/>
      <c r="H3" s="64"/>
      <c r="I3" s="66"/>
      <c r="J3" s="10"/>
      <c r="K3" s="10"/>
      <c r="L3" s="10"/>
      <c r="M3" s="10"/>
      <c r="N3" s="10"/>
      <c r="O3" s="64"/>
      <c r="P3" s="66"/>
      <c r="Q3" s="10"/>
      <c r="R3" s="10"/>
      <c r="S3" s="10"/>
      <c r="T3" s="10"/>
      <c r="U3" s="10"/>
      <c r="V3" s="23"/>
      <c r="W3" s="10"/>
      <c r="X3" s="10"/>
      <c r="Y3" s="10"/>
      <c r="Z3" s="10"/>
      <c r="AA3" s="10"/>
      <c r="AB3" s="10"/>
      <c r="AC3" s="10"/>
    </row>
    <row r="4" ht="15.75" customHeight="1">
      <c r="A4" s="67" t="s">
        <v>78</v>
      </c>
      <c r="B4" s="68"/>
      <c r="C4" s="69" t="s">
        <v>17</v>
      </c>
      <c r="D4" s="70" t="s">
        <v>69</v>
      </c>
      <c r="E4" s="71"/>
      <c r="F4" s="71"/>
      <c r="G4" s="72"/>
      <c r="H4" s="64"/>
      <c r="I4" s="69" t="s">
        <v>78</v>
      </c>
      <c r="J4" s="73" t="s">
        <v>85</v>
      </c>
      <c r="K4" s="73" t="s">
        <v>86</v>
      </c>
      <c r="L4" s="73" t="s">
        <v>87</v>
      </c>
      <c r="M4" s="73" t="s">
        <v>88</v>
      </c>
      <c r="N4" s="69" t="s">
        <v>144</v>
      </c>
      <c r="O4" s="64"/>
      <c r="P4" s="69" t="s">
        <v>78</v>
      </c>
      <c r="Q4" s="73" t="s">
        <v>85</v>
      </c>
      <c r="R4" s="73" t="s">
        <v>86</v>
      </c>
      <c r="S4" s="73" t="s">
        <v>87</v>
      </c>
      <c r="T4" s="73" t="s">
        <v>88</v>
      </c>
      <c r="U4" s="10"/>
      <c r="V4" s="74" t="s">
        <v>145</v>
      </c>
      <c r="W4" s="75" t="s">
        <v>146</v>
      </c>
      <c r="X4" s="74" t="s">
        <v>147</v>
      </c>
      <c r="Y4" s="76" t="s">
        <v>44</v>
      </c>
      <c r="Z4" s="74" t="s">
        <v>147</v>
      </c>
      <c r="AA4" s="77" t="str">
        <f>-N21</f>
        <v>405,500</v>
      </c>
      <c r="AB4" s="74" t="s">
        <v>147</v>
      </c>
      <c r="AC4" s="78" t="str">
        <f>AA4/AA5</f>
        <v>50.7%</v>
      </c>
    </row>
    <row r="5" ht="15.0" customHeight="1">
      <c r="A5" s="79"/>
      <c r="B5" s="80"/>
      <c r="C5" s="81"/>
      <c r="D5" s="82" t="s">
        <v>85</v>
      </c>
      <c r="E5" s="82" t="s">
        <v>86</v>
      </c>
      <c r="F5" s="82" t="s">
        <v>87</v>
      </c>
      <c r="G5" s="82" t="s">
        <v>88</v>
      </c>
      <c r="H5" s="83"/>
      <c r="I5" s="81"/>
      <c r="J5" s="81"/>
      <c r="K5" s="81"/>
      <c r="L5" s="81"/>
      <c r="M5" s="81"/>
      <c r="N5" s="81"/>
      <c r="O5" s="83"/>
      <c r="P5" s="81"/>
      <c r="Q5" s="81"/>
      <c r="R5" s="81"/>
      <c r="S5" s="81"/>
      <c r="T5" s="81"/>
      <c r="U5" s="10"/>
      <c r="Y5" s="84" t="s">
        <v>37</v>
      </c>
      <c r="AA5" s="85" t="str">
        <f>-N7</f>
        <v>800,000</v>
      </c>
    </row>
    <row r="6" ht="15.0" customHeight="1">
      <c r="A6" s="86" t="s">
        <v>148</v>
      </c>
      <c r="B6" s="86"/>
      <c r="C6" s="86"/>
      <c r="D6" s="10"/>
      <c r="E6" s="10"/>
      <c r="F6" s="10"/>
      <c r="G6" s="10"/>
      <c r="H6" s="64"/>
      <c r="I6" s="86" t="s">
        <v>149</v>
      </c>
      <c r="J6" s="87"/>
      <c r="K6" s="87"/>
      <c r="L6" s="87"/>
      <c r="M6" s="87"/>
      <c r="N6" s="87"/>
      <c r="O6" s="64"/>
      <c r="P6" s="9" t="s">
        <v>150</v>
      </c>
      <c r="Q6" s="10"/>
      <c r="R6" s="10"/>
      <c r="S6" s="10"/>
      <c r="T6" s="10"/>
      <c r="U6" s="10"/>
      <c r="V6" s="23"/>
      <c r="W6" s="75"/>
      <c r="X6" s="88"/>
      <c r="Y6" s="84"/>
      <c r="Z6" s="88"/>
      <c r="AA6" s="84"/>
      <c r="AB6" s="10"/>
      <c r="AC6" s="89"/>
    </row>
    <row r="7" ht="15.0" customHeight="1">
      <c r="A7" s="86" t="s">
        <v>151</v>
      </c>
      <c r="B7" s="86"/>
      <c r="C7" s="86"/>
      <c r="D7" s="11"/>
      <c r="E7" s="11"/>
      <c r="F7" s="11"/>
      <c r="G7" s="11"/>
      <c r="H7" s="64"/>
      <c r="I7" s="66" t="s">
        <v>93</v>
      </c>
      <c r="J7" s="11" t="str">
        <f>SUMIF('Study Case 1_20X5 Transaction'!$M$3:$M$18,'Study Case 1_Working Paper'!$I7,'Study Case 1_20X5 Transaction'!N$3:N$18)</f>
        <v>  (150,000)</v>
      </c>
      <c r="K7" s="11" t="str">
        <f>SUMIF('Study Case 1_20X5 Transaction'!$M$3:$M$18,'Study Case 1_Working Paper'!$I7,'Study Case 1_20X5 Transaction'!O$3:O$18)</f>
        <v>  (250,000)</v>
      </c>
      <c r="L7" s="11" t="str">
        <f>SUMIF('Study Case 1_20X5 Transaction'!$M$3:$M$18,'Study Case 1_Working Paper'!$I7,'Study Case 1_20X5 Transaction'!P$3:P$18)</f>
        <v>  (215,000)</v>
      </c>
      <c r="M7" s="11" t="str">
        <f>SUMIF('Study Case 1_20X5 Transaction'!$M$3:$M$18,'Study Case 1_Working Paper'!$I7,'Study Case 1_20X5 Transaction'!Q$3:Q$18)</f>
        <v>  (185,000)</v>
      </c>
      <c r="N7" s="11" t="str">
        <f>SUM(J7:M7)</f>
        <v>  (800,000)</v>
      </c>
      <c r="O7" s="64"/>
      <c r="P7" s="66" t="s">
        <v>152</v>
      </c>
      <c r="Q7" s="11" t="str">
        <f t="shared" ref="Q7:T7" si="1">-J21</f>
        <v>  73,000 </v>
      </c>
      <c r="R7" s="11" t="str">
        <f t="shared" si="1"/>
        <v>  146,000 </v>
      </c>
      <c r="S7" s="11" t="str">
        <f t="shared" si="1"/>
        <v>  120,500 </v>
      </c>
      <c r="T7" s="11" t="str">
        <f t="shared" si="1"/>
        <v>  66,000 </v>
      </c>
      <c r="U7" s="10"/>
      <c r="V7" s="23"/>
      <c r="W7" s="75"/>
      <c r="X7" s="88"/>
      <c r="Y7" s="84"/>
      <c r="Z7" s="88"/>
      <c r="AA7" s="84"/>
      <c r="AB7" s="10"/>
      <c r="AC7" s="89"/>
    </row>
    <row r="8" ht="15.0" customHeight="1">
      <c r="A8" s="90" t="s">
        <v>90</v>
      </c>
      <c r="B8" s="90"/>
      <c r="C8" s="11">
        <v>245000.0</v>
      </c>
      <c r="D8" s="87" t="str">
        <f>SUMIF('Study Case 1_20X5 Transaction'!$M$3:$M$18,'Study Case 1_Working Paper'!$A8,'Study Case 1_20X5 Transaction'!N$3:N418)+'Study Case 1_Working Paper'!C8</f>
        <v>340,000</v>
      </c>
      <c r="E8" s="87" t="str">
        <f>SUMIF('Study Case 1_20X5 Transaction'!$M$3:$M$18,'Study Case 1_Working Paper'!$A8,'Study Case 1_20X5 Transaction'!O$3:O418)+'Study Case 1_Working Paper'!D8</f>
        <v>451,000</v>
      </c>
      <c r="F8" s="87" t="str">
        <f>SUMIF('Study Case 1_20X5 Transaction'!$M$3:$M$18,'Study Case 1_Working Paper'!$A8,'Study Case 1_20X5 Transaction'!P$3:P418)+'Study Case 1_Working Paper'!E8</f>
        <v>544,000</v>
      </c>
      <c r="G8" s="87" t="str">
        <f>SUMIF('Study Case 1_20X5 Transaction'!$M$3:$M$18,'Study Case 1_Working Paper'!$A8,'Study Case 1_20X5 Transaction'!Q$3:Q418)+'Study Case 1_Working Paper'!F8</f>
        <v>512,500</v>
      </c>
      <c r="H8" s="64"/>
      <c r="I8" s="9" t="s">
        <v>153</v>
      </c>
      <c r="J8" s="11"/>
      <c r="K8" s="11"/>
      <c r="L8" s="11"/>
      <c r="M8" s="11"/>
      <c r="N8" s="11"/>
      <c r="O8" s="64"/>
      <c r="P8" s="66" t="s">
        <v>115</v>
      </c>
      <c r="Q8" s="11" t="str">
        <f t="shared" ref="Q8:T8" si="2">J14</f>
        <v>  11,250 </v>
      </c>
      <c r="R8" s="11" t="str">
        <f t="shared" si="2"/>
        <v>  11,250 </v>
      </c>
      <c r="S8" s="11" t="str">
        <f t="shared" si="2"/>
        <v>  11,250 </v>
      </c>
      <c r="T8" s="11" t="str">
        <f t="shared" si="2"/>
        <v>  11,250 </v>
      </c>
      <c r="U8" s="11"/>
      <c r="V8" s="23"/>
      <c r="W8" s="75"/>
      <c r="X8" s="88"/>
      <c r="Y8" s="84"/>
      <c r="Z8" s="88"/>
      <c r="AA8" s="84"/>
      <c r="AB8" s="10"/>
      <c r="AC8" s="89"/>
    </row>
    <row r="9" ht="15.0" customHeight="1">
      <c r="A9" s="90" t="s">
        <v>91</v>
      </c>
      <c r="B9" s="90"/>
      <c r="C9" s="11">
        <v>55000.0</v>
      </c>
      <c r="D9" s="87" t="str">
        <f>SUMIF('Study Case 1_20X5 Transaction'!$M$3:$M$18,'Study Case 1_Working Paper'!$A9,'Study Case 1_20X5 Transaction'!N$3:N419)+'Study Case 1_Working Paper'!C9</f>
        <v>15,000</v>
      </c>
      <c r="E9" s="87" t="str">
        <f>SUMIF('Study Case 1_20X5 Transaction'!$M$3:$M$18,'Study Case 1_Working Paper'!$A9,'Study Case 1_20X5 Transaction'!O$3:O419)+'Study Case 1_Working Paper'!D9</f>
        <v>0</v>
      </c>
      <c r="F9" s="87" t="str">
        <f>SUMIF('Study Case 1_20X5 Transaction'!$M$3:$M$18,'Study Case 1_Working Paper'!$A9,'Study Case 1_20X5 Transaction'!P$3:P419)+'Study Case 1_Working Paper'!E9</f>
        <v>35,000</v>
      </c>
      <c r="G9" s="87" t="str">
        <f>SUMIF('Study Case 1_20X5 Transaction'!$M$3:$M$18,'Study Case 1_Working Paper'!$A9,'Study Case 1_20X5 Transaction'!Q$3:Q419)+'Study Case 1_Working Paper'!F9</f>
        <v>140,000</v>
      </c>
      <c r="H9" s="64"/>
      <c r="I9" s="90" t="s">
        <v>95</v>
      </c>
      <c r="J9" s="11" t="str">
        <f>SUMIF('Study Case 1_20X5 Transaction'!$M$3:$M$18,'Study Case 1_Working Paper'!$I9,'Study Case 1_20X5 Transaction'!N$3:N$18)</f>
        <v>  40,000 </v>
      </c>
      <c r="K9" s="11" t="str">
        <f>SUMIF('Study Case 1_20X5 Transaction'!$M$3:$M$18,'Study Case 1_Working Paper'!$I9,'Study Case 1_20X5 Transaction'!O$3:O$18)</f>
        <v>  60,000 </v>
      </c>
      <c r="L9" s="11" t="str">
        <f>SUMIF('Study Case 1_20X5 Transaction'!$M$3:$M$18,'Study Case 1_Working Paper'!$I9,'Study Case 1_20X5 Transaction'!P$3:P$18)</f>
        <v>  55,000 </v>
      </c>
      <c r="M9" s="11" t="str">
        <f>SUMIF('Study Case 1_20X5 Transaction'!$M$3:$M$18,'Study Case 1_Working Paper'!$I9,'Study Case 1_20X5 Transaction'!Q$3:Q$18)</f>
        <v>  70,000 </v>
      </c>
      <c r="N9" s="11" t="str">
        <f t="shared" ref="N9:N10" si="4">SUM(J9:M9)</f>
        <v>  225,000 </v>
      </c>
      <c r="O9" s="64"/>
      <c r="P9" s="66" t="s">
        <v>113</v>
      </c>
      <c r="Q9" s="11" t="str">
        <f t="shared" ref="Q9:T9" si="3">J15</f>
        <v>  3,750 </v>
      </c>
      <c r="R9" s="11" t="str">
        <f t="shared" si="3"/>
        <v>  3,750 </v>
      </c>
      <c r="S9" s="11" t="str">
        <f t="shared" si="3"/>
        <v>  3,750 </v>
      </c>
      <c r="T9" s="11" t="str">
        <f t="shared" si="3"/>
        <v>  3,750 </v>
      </c>
      <c r="U9" s="10"/>
      <c r="V9" s="74" t="s">
        <v>154</v>
      </c>
      <c r="W9" s="75" t="s">
        <v>155</v>
      </c>
      <c r="X9" s="74" t="s">
        <v>147</v>
      </c>
      <c r="Y9" s="76" t="s">
        <v>156</v>
      </c>
      <c r="Z9" s="74" t="s">
        <v>147</v>
      </c>
      <c r="AA9" s="77" t="str">
        <f>G19</f>
        <v>692,500</v>
      </c>
      <c r="AB9" s="74" t="s">
        <v>147</v>
      </c>
      <c r="AC9" s="91" t="str">
        <f>IF(ISERROR(AA9/AA10),0,AA9/AA10)</f>
        <v>0.00</v>
      </c>
    </row>
    <row r="10" ht="15.0" customHeight="1">
      <c r="A10" s="90" t="s">
        <v>157</v>
      </c>
      <c r="B10" s="90"/>
      <c r="C10" s="92">
        <v>0.0</v>
      </c>
      <c r="D10" s="87" t="str">
        <f>SUMIF('Study Case 1_20X5 Transaction'!$M$3:$M$18,'Study Case 1_Working Paper'!$A10,'Study Case 1_20X5 Transaction'!N$3:N420)+'Study Case 1_Working Paper'!C10</f>
        <v>0</v>
      </c>
      <c r="E10" s="87" t="str">
        <f>SUMIF('Study Case 1_20X5 Transaction'!$M$3:$M$18,'Study Case 1_Working Paper'!$A10,'Study Case 1_20X5 Transaction'!O$3:O420)+'Study Case 1_Working Paper'!D10</f>
        <v>0</v>
      </c>
      <c r="F10" s="87" t="str">
        <f>SUMIF('Study Case 1_20X5 Transaction'!$M$3:$M$18,'Study Case 1_Working Paper'!$A10,'Study Case 1_20X5 Transaction'!P$3:P420)+'Study Case 1_Working Paper'!E10</f>
        <v>0</v>
      </c>
      <c r="G10" s="87" t="str">
        <f>SUMIF('Study Case 1_20X5 Transaction'!$M$3:$M$18,'Study Case 1_Working Paper'!$A10,'Study Case 1_20X5 Transaction'!Q$3:Q420)+'Study Case 1_Working Paper'!F10</f>
        <v>0</v>
      </c>
      <c r="H10" s="64"/>
      <c r="I10" s="66" t="s">
        <v>111</v>
      </c>
      <c r="J10" s="11" t="str">
        <f>SUMIF('Study Case 1_20X5 Transaction'!$M$3:$M$18,'Study Case 1_Working Paper'!$I10,'Study Case 1_20X5 Transaction'!N$3:N$18)</f>
        <v>  5,000 </v>
      </c>
      <c r="K10" s="11" t="str">
        <f>SUMIF('Study Case 1_20X5 Transaction'!$M$3:$M$18,'Study Case 1_Working Paper'!$I10,'Study Case 1_20X5 Transaction'!O$3:O$18)</f>
        <v>  6,000 </v>
      </c>
      <c r="L10" s="11" t="str">
        <f>SUMIF('Study Case 1_20X5 Transaction'!$M$3:$M$18,'Study Case 1_Working Paper'!$I10,'Study Case 1_20X5 Transaction'!P$3:P$18)</f>
        <v>  4,000 </v>
      </c>
      <c r="M10" s="11" t="str">
        <f>SUMIF('Study Case 1_20X5 Transaction'!$M$3:$M$18,'Study Case 1_Working Paper'!$I10,'Study Case 1_20X5 Transaction'!Q$3:Q$18)</f>
        <v>  5,000 </v>
      </c>
      <c r="N10" s="11" t="str">
        <f t="shared" si="4"/>
        <v>  20,000 </v>
      </c>
      <c r="O10" s="64"/>
      <c r="P10" s="10"/>
      <c r="Q10" s="11"/>
      <c r="R10" s="10"/>
      <c r="S10" s="10"/>
      <c r="T10" s="10"/>
      <c r="U10" s="10"/>
      <c r="Y10" s="84" t="s">
        <v>158</v>
      </c>
      <c r="AA10" s="85">
        <v>0.0</v>
      </c>
    </row>
    <row r="11" ht="15.0" customHeight="1">
      <c r="A11" s="90" t="s">
        <v>159</v>
      </c>
      <c r="B11" s="90"/>
      <c r="C11" s="92">
        <v>0.0</v>
      </c>
      <c r="D11" s="87" t="str">
        <f>SUMIF('Study Case 1_20X5 Transaction'!$M$3:$M$18,'Study Case 1_Working Paper'!$A11,'Study Case 1_20X5 Transaction'!N$3:N421)+'Study Case 1_Working Paper'!C11</f>
        <v>0</v>
      </c>
      <c r="E11" s="87" t="str">
        <f>SUMIF('Study Case 1_20X5 Transaction'!$M$3:$M$18,'Study Case 1_Working Paper'!$A11,'Study Case 1_20X5 Transaction'!O$3:O421)+'Study Case 1_Working Paper'!D11</f>
        <v>0</v>
      </c>
      <c r="F11" s="87" t="str">
        <f>SUMIF('Study Case 1_20X5 Transaction'!$M$3:$M$18,'Study Case 1_Working Paper'!$A11,'Study Case 1_20X5 Transaction'!P$3:P421)+'Study Case 1_Working Paper'!E11</f>
        <v>0</v>
      </c>
      <c r="G11" s="87" t="str">
        <f>SUMIF('Study Case 1_20X5 Transaction'!$M$3:$M$18,'Study Case 1_Working Paper'!$A11,'Study Case 1_20X5 Transaction'!Q$3:Q421)+'Study Case 1_Working Paper'!F11</f>
        <v>0</v>
      </c>
      <c r="H11" s="64"/>
      <c r="I11" s="93" t="s">
        <v>160</v>
      </c>
      <c r="J11" s="94" t="str">
        <f t="shared" ref="J11:N11" si="5">J7+SUM(J9:J10)</f>
        <v>  (105,000)</v>
      </c>
      <c r="K11" s="94" t="str">
        <f t="shared" si="5"/>
        <v>  (184,000)</v>
      </c>
      <c r="L11" s="94" t="str">
        <f t="shared" si="5"/>
        <v>  (156,000)</v>
      </c>
      <c r="M11" s="94" t="str">
        <f t="shared" si="5"/>
        <v>  (110,000)</v>
      </c>
      <c r="N11" s="94" t="str">
        <f t="shared" si="5"/>
        <v>  (555,000)</v>
      </c>
      <c r="O11" s="64"/>
      <c r="P11" s="90" t="s">
        <v>91</v>
      </c>
      <c r="Q11" s="11" t="str">
        <f t="shared" ref="Q11:T11" si="6">C9-D9</f>
        <v>  40,000 </v>
      </c>
      <c r="R11" s="11" t="str">
        <f t="shared" si="6"/>
        <v>  15,000 </v>
      </c>
      <c r="S11" s="11" t="str">
        <f t="shared" si="6"/>
        <v>  (35,000)</v>
      </c>
      <c r="T11" s="11" t="str">
        <f t="shared" si="6"/>
        <v>  (105,000)</v>
      </c>
      <c r="U11" s="10"/>
      <c r="V11" s="23"/>
      <c r="W11" s="75"/>
      <c r="X11" s="88"/>
      <c r="Y11" s="84"/>
      <c r="Z11" s="88"/>
      <c r="AA11" s="84"/>
      <c r="AB11" s="10"/>
      <c r="AC11" s="10"/>
    </row>
    <row r="12" ht="15.0" customHeight="1">
      <c r="A12" s="90" t="s">
        <v>96</v>
      </c>
      <c r="B12" s="90"/>
      <c r="C12" s="11">
        <v>15000.0</v>
      </c>
      <c r="D12" s="87" t="str">
        <f>SUMIF('Study Case 1_20X5 Transaction'!$M$3:$M$18,'Study Case 1_Working Paper'!$A12,'Study Case 1_20X5 Transaction'!N$3:N422)+'Study Case 1_Working Paper'!C12</f>
        <v>11,250</v>
      </c>
      <c r="E12" s="87" t="str">
        <f>SUMIF('Study Case 1_20X5 Transaction'!$M$3:$M$18,'Study Case 1_Working Paper'!$A12,'Study Case 1_20X5 Transaction'!O$3:O422)+'Study Case 1_Working Paper'!D12</f>
        <v>7,500</v>
      </c>
      <c r="F12" s="87" t="str">
        <f>SUMIF('Study Case 1_20X5 Transaction'!$M$3:$M$18,'Study Case 1_Working Paper'!$A12,'Study Case 1_20X5 Transaction'!P$3:P422)+'Study Case 1_Working Paper'!E12</f>
        <v>3,750</v>
      </c>
      <c r="G12" s="87" t="str">
        <f>SUMIF('Study Case 1_20X5 Transaction'!$M$3:$M$18,'Study Case 1_Working Paper'!$A12,'Study Case 1_20X5 Transaction'!Q$3:Q422)+'Study Case 1_Working Paper'!F12</f>
        <v>0</v>
      </c>
      <c r="H12" s="64"/>
      <c r="I12" s="95" t="s">
        <v>101</v>
      </c>
      <c r="J12" s="11" t="str">
        <f>SUMIF('Study Case 1_20X5 Transaction'!$M$3:$M$18,'Study Case 1_Working Paper'!$I12,'Study Case 1_20X5 Transaction'!N$3:N$18)</f>
        <v>  10,000 </v>
      </c>
      <c r="K12" s="11" t="str">
        <f>SUMIF('Study Case 1_20X5 Transaction'!$M$3:$M$18,'Study Case 1_Working Paper'!$I12,'Study Case 1_20X5 Transaction'!O$3:O$18)</f>
        <v>  15,000 </v>
      </c>
      <c r="L12" s="11" t="str">
        <f>SUMIF('Study Case 1_20X5 Transaction'!$M$3:$M$18,'Study Case 1_Working Paper'!$I12,'Study Case 1_20X5 Transaction'!P$3:P$18)</f>
        <v>  12,000 </v>
      </c>
      <c r="M12" s="11" t="str">
        <f>SUMIF('Study Case 1_20X5 Transaction'!$M$3:$M$18,'Study Case 1_Working Paper'!$I12,'Study Case 1_20X5 Transaction'!Q$3:Q$18)</f>
        <v>  20,000 </v>
      </c>
      <c r="N12" s="11" t="str">
        <f t="shared" ref="N12:N15" si="9">SUM(J12:M12)</f>
        <v>  57,000 </v>
      </c>
      <c r="O12" s="64"/>
      <c r="P12" s="90" t="s">
        <v>157</v>
      </c>
      <c r="Q12" s="11" t="str">
        <f t="shared" ref="Q12:Q13" si="10">B10-D10</f>
        <v>  - </v>
      </c>
      <c r="R12" s="11" t="str">
        <f t="shared" ref="R12:T12" si="7">D10-E10</f>
        <v>  - </v>
      </c>
      <c r="S12" s="11" t="str">
        <f t="shared" si="7"/>
        <v>  - </v>
      </c>
      <c r="T12" s="11" t="str">
        <f t="shared" si="7"/>
        <v>  - </v>
      </c>
      <c r="U12" s="10"/>
      <c r="V12" s="23"/>
      <c r="W12" s="75"/>
      <c r="X12" s="88"/>
      <c r="Y12" s="84"/>
      <c r="Z12" s="88"/>
      <c r="AA12" s="84"/>
      <c r="AB12" s="10"/>
      <c r="AC12" s="10"/>
    </row>
    <row r="13" ht="15.0" customHeight="1">
      <c r="A13" s="96" t="s">
        <v>161</v>
      </c>
      <c r="B13" s="96"/>
      <c r="C13" s="97" t="str">
        <f t="shared" ref="C13:G13" si="8">SUM(C8:C12)</f>
        <v>315,000</v>
      </c>
      <c r="D13" s="97" t="str">
        <f t="shared" si="8"/>
        <v>366,250</v>
      </c>
      <c r="E13" s="97" t="str">
        <f t="shared" si="8"/>
        <v>458,500</v>
      </c>
      <c r="F13" s="97" t="str">
        <f t="shared" si="8"/>
        <v>582,750</v>
      </c>
      <c r="G13" s="97" t="str">
        <f t="shared" si="8"/>
        <v>652,500</v>
      </c>
      <c r="H13" s="64"/>
      <c r="I13" s="95" t="s">
        <v>98</v>
      </c>
      <c r="J13" s="11" t="str">
        <f>SUMIF('Study Case 1_20X5 Transaction'!$M$3:$M$18,'Study Case 1_Working Paper'!$I13,'Study Case 1_20X5 Transaction'!N$3:N$18)</f>
        <v>  5,000 </v>
      </c>
      <c r="K13" s="11" t="str">
        <f>SUMIF('Study Case 1_20X5 Transaction'!$M$3:$M$18,'Study Case 1_Working Paper'!$I13,'Study Case 1_20X5 Transaction'!O$3:O$18)</f>
        <v>  6,000 </v>
      </c>
      <c r="L13" s="11" t="str">
        <f>SUMIF('Study Case 1_20X5 Transaction'!$M$3:$M$18,'Study Case 1_Working Paper'!$I13,'Study Case 1_20X5 Transaction'!P$3:P$18)</f>
        <v>  6,500 </v>
      </c>
      <c r="M13" s="11" t="str">
        <f>SUMIF('Study Case 1_20X5 Transaction'!$M$3:$M$18,'Study Case 1_Working Paper'!$I13,'Study Case 1_20X5 Transaction'!Q$3:Q$18)</f>
        <v>  7,000 </v>
      </c>
      <c r="N13" s="11" t="str">
        <f t="shared" si="9"/>
        <v>  24,500 </v>
      </c>
      <c r="O13" s="64"/>
      <c r="P13" s="90" t="s">
        <v>159</v>
      </c>
      <c r="Q13" s="11" t="str">
        <f t="shared" si="10"/>
        <v>  - </v>
      </c>
      <c r="R13" s="11" t="str">
        <f t="shared" ref="R13:T13" si="11">D11-E11</f>
        <v>  - </v>
      </c>
      <c r="S13" s="11" t="str">
        <f t="shared" si="11"/>
        <v>  - </v>
      </c>
      <c r="T13" s="11" t="str">
        <f t="shared" si="11"/>
        <v>  - </v>
      </c>
      <c r="U13" s="10"/>
      <c r="V13" s="23"/>
      <c r="W13" s="75"/>
      <c r="X13" s="88"/>
      <c r="Y13" s="84"/>
      <c r="Z13" s="88"/>
      <c r="AA13" s="84"/>
      <c r="AB13" s="10"/>
      <c r="AC13" s="10"/>
    </row>
    <row r="14" ht="15.0" customHeight="1">
      <c r="A14" s="86" t="s">
        <v>162</v>
      </c>
      <c r="B14" s="86"/>
      <c r="C14" s="86"/>
      <c r="D14" s="87"/>
      <c r="E14" s="87"/>
      <c r="F14" s="87"/>
      <c r="G14" s="87"/>
      <c r="H14" s="64"/>
      <c r="I14" s="10" t="s">
        <v>115</v>
      </c>
      <c r="J14" s="11" t="str">
        <f>SUMIF('Study Case 1_20X5 Transaction'!$M$3:$M$18,'Study Case 1_Working Paper'!$I14,'Study Case 1_20X5 Transaction'!N$3:N$18)</f>
        <v>  11,250 </v>
      </c>
      <c r="K14" s="11" t="str">
        <f>SUMIF('Study Case 1_20X5 Transaction'!$M$3:$M$18,'Study Case 1_Working Paper'!$I14,'Study Case 1_20X5 Transaction'!O$3:O$18)</f>
        <v>  11,250 </v>
      </c>
      <c r="L14" s="11" t="str">
        <f>SUMIF('Study Case 1_20X5 Transaction'!$M$3:$M$18,'Study Case 1_Working Paper'!$I14,'Study Case 1_20X5 Transaction'!P$3:P$18)</f>
        <v>  11,250 </v>
      </c>
      <c r="M14" s="11" t="str">
        <f>SUMIF('Study Case 1_20X5 Transaction'!$M$3:$M$18,'Study Case 1_Working Paper'!$I14,'Study Case 1_20X5 Transaction'!Q$3:Q$18)</f>
        <v>  11,250 </v>
      </c>
      <c r="N14" s="11" t="str">
        <f t="shared" si="9"/>
        <v>  45,000 </v>
      </c>
      <c r="O14" s="64"/>
      <c r="P14" s="90" t="s">
        <v>96</v>
      </c>
      <c r="Q14" s="11"/>
      <c r="R14" s="11"/>
      <c r="S14" s="11"/>
      <c r="T14" s="11" t="str">
        <f>-G12</f>
        <v>  - </v>
      </c>
      <c r="U14" s="10"/>
      <c r="V14" s="74" t="s">
        <v>163</v>
      </c>
      <c r="W14" s="98" t="s">
        <v>164</v>
      </c>
      <c r="X14" s="74" t="s">
        <v>147</v>
      </c>
      <c r="Y14" s="76" t="s">
        <v>165</v>
      </c>
      <c r="Z14" s="74" t="s">
        <v>147</v>
      </c>
      <c r="AA14" s="77" t="str">
        <f>-N7</f>
        <v>800,000</v>
      </c>
      <c r="AB14" s="74" t="s">
        <v>147</v>
      </c>
      <c r="AC14" s="91" t="str">
        <f>AA14/AA15</f>
        <v>1.50</v>
      </c>
    </row>
    <row r="15" ht="15.0" customHeight="1">
      <c r="A15" s="90" t="s">
        <v>99</v>
      </c>
      <c r="B15" s="90"/>
      <c r="C15" s="92">
        <v>100000.0</v>
      </c>
      <c r="D15" s="87" t="str">
        <f>SUMIF('Study Case 1_20X5 Transaction'!$M$3:$M$18,'Study Case 1_Working Paper'!$A15,'Study Case 1_20X5 Transaction'!N$3:N425)+'Study Case 1_Working Paper'!C15</f>
        <v>125,000</v>
      </c>
      <c r="E15" s="87" t="str">
        <f>SUMIF('Study Case 1_20X5 Transaction'!$M$3:$M$18,'Study Case 1_Working Paper'!$A15,'Study Case 1_20X5 Transaction'!O$3:O425)+'Study Case 1_Working Paper'!D15</f>
        <v>125,000</v>
      </c>
      <c r="F15" s="87" t="str">
        <f>SUMIF('Study Case 1_20X5 Transaction'!$M$3:$M$18,'Study Case 1_Working Paper'!$A15,'Study Case 1_20X5 Transaction'!P$3:P425)+'Study Case 1_Working Paper'!E15</f>
        <v>125,000</v>
      </c>
      <c r="G15" s="87" t="str">
        <f>SUMIF('Study Case 1_20X5 Transaction'!$M$3:$M$18,'Study Case 1_Working Paper'!$A15,'Study Case 1_20X5 Transaction'!Q$3:Q425)+'Study Case 1_Working Paper'!F15</f>
        <v>125,000</v>
      </c>
      <c r="H15" s="64"/>
      <c r="I15" s="10" t="s">
        <v>113</v>
      </c>
      <c r="J15" s="11" t="str">
        <f>SUMIF('Study Case 1_20X5 Transaction'!$M$3:$M$18,'Study Case 1_Working Paper'!$I15,'Study Case 1_20X5 Transaction'!N$3:N$18)</f>
        <v>  3,750 </v>
      </c>
      <c r="K15" s="11" t="str">
        <f>SUMIF('Study Case 1_20X5 Transaction'!$M$3:$M$18,'Study Case 1_Working Paper'!$I15,'Study Case 1_20X5 Transaction'!O$3:O$18)</f>
        <v>  3,750 </v>
      </c>
      <c r="L15" s="11" t="str">
        <f>SUMIF('Study Case 1_20X5 Transaction'!$M$3:$M$18,'Study Case 1_Working Paper'!$I15,'Study Case 1_20X5 Transaction'!P$3:P$18)</f>
        <v>  3,750 </v>
      </c>
      <c r="M15" s="11" t="str">
        <f>SUMIF('Study Case 1_20X5 Transaction'!$M$3:$M$18,'Study Case 1_Working Paper'!$I15,'Study Case 1_20X5 Transaction'!Q$3:Q$18)</f>
        <v>  3,750 </v>
      </c>
      <c r="N15" s="11" t="str">
        <f t="shared" si="9"/>
        <v>  15,000 </v>
      </c>
      <c r="O15" s="64"/>
      <c r="P15" s="66" t="s">
        <v>104</v>
      </c>
      <c r="Q15" s="11" t="str">
        <f t="shared" ref="Q15:T15" si="12">D22-C22</f>
        <v>  (8,000)</v>
      </c>
      <c r="R15" s="11" t="str">
        <f t="shared" si="12"/>
        <v>  - </v>
      </c>
      <c r="S15" s="11" t="str">
        <f t="shared" si="12"/>
        <v>  - </v>
      </c>
      <c r="T15" s="11" t="str">
        <f t="shared" si="12"/>
        <v>  - </v>
      </c>
      <c r="U15" s="10"/>
      <c r="Y15" s="84" t="s">
        <v>166</v>
      </c>
      <c r="AA15" s="85" t="str">
        <f>(Background!F19+G19)/2</f>
        <v>533,750</v>
      </c>
    </row>
    <row r="16" ht="15.0" customHeight="1">
      <c r="A16" s="90" t="s">
        <v>102</v>
      </c>
      <c r="B16" s="90"/>
      <c r="C16" s="92">
        <v>-40000.0</v>
      </c>
      <c r="D16" s="87" t="str">
        <f>SUMIF('Study Case 1_20X5 Transaction'!$M$3:$M$18,'Study Case 1_Working Paper'!$A16,'Study Case 1_20X5 Transaction'!N$3:N426)+'Study Case 1_Working Paper'!C16</f>
        <v>(51,250)</v>
      </c>
      <c r="E16" s="87" t="str">
        <f>SUMIF('Study Case 1_20X5 Transaction'!$M$3:$M$18,'Study Case 1_Working Paper'!$A16,'Study Case 1_20X5 Transaction'!O$3:O426)+'Study Case 1_Working Paper'!D16</f>
        <v>(62,500)</v>
      </c>
      <c r="F16" s="87" t="str">
        <f>SUMIF('Study Case 1_20X5 Transaction'!$M$3:$M$18,'Study Case 1_Working Paper'!$A16,'Study Case 1_20X5 Transaction'!P$3:P426)+'Study Case 1_Working Paper'!E16</f>
        <v>(73,750)</v>
      </c>
      <c r="G16" s="87" t="str">
        <f>SUMIF('Study Case 1_20X5 Transaction'!$M$3:$M$18,'Study Case 1_Working Paper'!$A16,'Study Case 1_20X5 Transaction'!Q$3:Q426)+'Study Case 1_Working Paper'!F16</f>
        <v>(85,000)</v>
      </c>
      <c r="H16" s="64"/>
      <c r="I16" s="96" t="s">
        <v>167</v>
      </c>
      <c r="J16" s="99" t="str">
        <f t="shared" ref="J16:M16" si="13">SUM(J12:J15)</f>
        <v>  30,000 </v>
      </c>
      <c r="K16" s="99" t="str">
        <f t="shared" si="13"/>
        <v>  36,000 </v>
      </c>
      <c r="L16" s="99" t="str">
        <f t="shared" si="13"/>
        <v>  33,500 </v>
      </c>
      <c r="M16" s="99" t="str">
        <f t="shared" si="13"/>
        <v>  42,000 </v>
      </c>
      <c r="N16" s="99" t="str">
        <f>SUM(N12:N13)</f>
        <v>  81,500 </v>
      </c>
      <c r="O16" s="64"/>
      <c r="P16" s="66" t="s">
        <v>168</v>
      </c>
      <c r="Q16" s="11" t="str">
        <f t="shared" ref="Q16:Q18" si="18">D23-B23</f>
        <v>  - </v>
      </c>
      <c r="R16" s="11" t="str">
        <f t="shared" ref="R16:T16" si="14">E23-D23</f>
        <v>  - </v>
      </c>
      <c r="S16" s="11" t="str">
        <f t="shared" si="14"/>
        <v>  - </v>
      </c>
      <c r="T16" s="11" t="str">
        <f t="shared" si="14"/>
        <v>  - </v>
      </c>
      <c r="U16" s="10"/>
      <c r="V16" s="23"/>
      <c r="W16" s="75"/>
      <c r="X16" s="88"/>
      <c r="Y16" s="84"/>
      <c r="Z16" s="88"/>
      <c r="AA16" s="84"/>
      <c r="AB16" s="10"/>
      <c r="AC16" s="10"/>
    </row>
    <row r="17" ht="15.0" customHeight="1">
      <c r="A17" s="90" t="s">
        <v>169</v>
      </c>
      <c r="B17" s="90"/>
      <c r="C17" s="92">
        <v>0.0</v>
      </c>
      <c r="D17" s="87">
        <v>0.0</v>
      </c>
      <c r="E17" s="87" t="str">
        <f t="shared" ref="E17:G17" si="15">D17</f>
        <v>0</v>
      </c>
      <c r="F17" s="87" t="str">
        <f t="shared" si="15"/>
        <v>0</v>
      </c>
      <c r="G17" s="87" t="str">
        <f t="shared" si="15"/>
        <v>0</v>
      </c>
      <c r="H17" s="64"/>
      <c r="I17" s="93" t="s">
        <v>170</v>
      </c>
      <c r="J17" s="100" t="str">
        <f t="shared" ref="J17:K17" si="16">J11+SUM(J12:J15)</f>
        <v>  (75,000)</v>
      </c>
      <c r="K17" s="100" t="str">
        <f t="shared" si="16"/>
        <v>  (148,000)</v>
      </c>
      <c r="L17" s="100" t="str">
        <f t="shared" ref="L17:N17" si="17">L11+L16</f>
        <v>  (122,500)</v>
      </c>
      <c r="M17" s="100" t="str">
        <f t="shared" si="17"/>
        <v>  (68,000)</v>
      </c>
      <c r="N17" s="100" t="str">
        <f t="shared" si="17"/>
        <v>  (473,500)</v>
      </c>
      <c r="O17" s="64"/>
      <c r="P17" s="66" t="s">
        <v>171</v>
      </c>
      <c r="Q17" s="11" t="str">
        <f t="shared" si="18"/>
        <v>  - </v>
      </c>
      <c r="R17" s="11" t="str">
        <f t="shared" ref="R17:T17" si="19">E24-D24</f>
        <v>  - </v>
      </c>
      <c r="S17" s="11" t="str">
        <f t="shared" si="19"/>
        <v>  - </v>
      </c>
      <c r="T17" s="11" t="str">
        <f t="shared" si="19"/>
        <v>  - </v>
      </c>
      <c r="U17" s="10"/>
      <c r="V17" s="23"/>
      <c r="W17" s="75"/>
      <c r="X17" s="88"/>
      <c r="Y17" s="84"/>
      <c r="Z17" s="10"/>
      <c r="AA17" s="84"/>
      <c r="AB17" s="10"/>
      <c r="AC17" s="10"/>
    </row>
    <row r="18" ht="15.0" customHeight="1">
      <c r="A18" s="96" t="s">
        <v>172</v>
      </c>
      <c r="B18" s="96"/>
      <c r="C18" s="97" t="str">
        <f t="shared" ref="C18:G18" si="20">SUM(C15:C17)</f>
        <v>60,000</v>
      </c>
      <c r="D18" s="97" t="str">
        <f t="shared" si="20"/>
        <v>73,750</v>
      </c>
      <c r="E18" s="97" t="str">
        <f t="shared" si="20"/>
        <v>62,500</v>
      </c>
      <c r="F18" s="97" t="str">
        <f t="shared" si="20"/>
        <v>51,250</v>
      </c>
      <c r="G18" s="97" t="str">
        <f t="shared" si="20"/>
        <v>40,000</v>
      </c>
      <c r="H18" s="64"/>
      <c r="I18" s="86" t="s">
        <v>173</v>
      </c>
      <c r="J18" s="101"/>
      <c r="K18" s="11"/>
      <c r="L18" s="11"/>
      <c r="M18" s="11"/>
      <c r="N18" s="11"/>
      <c r="O18" s="64"/>
      <c r="P18" s="66" t="s">
        <v>107</v>
      </c>
      <c r="Q18" s="11" t="str">
        <f t="shared" si="18"/>
        <v>  - </v>
      </c>
      <c r="R18" s="11" t="str">
        <f t="shared" ref="R18:T18" si="21">E25-D25</f>
        <v>  (50,000)</v>
      </c>
      <c r="S18" s="11" t="str">
        <f t="shared" si="21"/>
        <v>  - </v>
      </c>
      <c r="T18" s="11" t="str">
        <f t="shared" si="21"/>
        <v>  - </v>
      </c>
      <c r="U18" s="10"/>
      <c r="V18" s="23"/>
      <c r="W18" s="66"/>
      <c r="X18" s="10"/>
      <c r="Y18" s="84"/>
      <c r="Z18" s="10"/>
      <c r="AA18" s="84"/>
      <c r="AB18" s="10"/>
      <c r="AC18" s="10"/>
    </row>
    <row r="19" ht="15.0" customHeight="1">
      <c r="A19" s="93" t="s">
        <v>174</v>
      </c>
      <c r="B19" s="93"/>
      <c r="C19" s="102" t="str">
        <f t="shared" ref="C19:G19" si="22">C13+C18</f>
        <v>375,000</v>
      </c>
      <c r="D19" s="102" t="str">
        <f t="shared" si="22"/>
        <v>440,000</v>
      </c>
      <c r="E19" s="102" t="str">
        <f t="shared" si="22"/>
        <v>521,000</v>
      </c>
      <c r="F19" s="102" t="str">
        <f t="shared" si="22"/>
        <v>634,000</v>
      </c>
      <c r="G19" s="102" t="str">
        <f t="shared" si="22"/>
        <v>692,500</v>
      </c>
      <c r="H19" s="64"/>
      <c r="I19" s="95" t="s">
        <v>106</v>
      </c>
      <c r="J19" s="11" t="str">
        <f>SUMIF('Study Case 1_20X5 Transaction'!$M$3:$M$18,'Study Case 1_Working Paper'!$I19,'Study Case 1_20X5 Transaction'!N$3:N$18)</f>
        <v>  2,000 </v>
      </c>
      <c r="K19" s="11" t="str">
        <f>SUMIF('Study Case 1_20X5 Transaction'!$M$3:$M$18,'Study Case 1_Working Paper'!$I19,'Study Case 1_20X5 Transaction'!O$3:O$18)</f>
        <v>  2,000 </v>
      </c>
      <c r="L19" s="11" t="str">
        <f>SUMIF('Study Case 1_20X5 Transaction'!$M$3:$M$18,'Study Case 1_Working Paper'!$I19,'Study Case 1_20X5 Transaction'!P$3:P$18)</f>
        <v>  2,000 </v>
      </c>
      <c r="M19" s="11" t="str">
        <f>SUMIF('Study Case 1_20X5 Transaction'!$M$3:$M$18,'Study Case 1_Working Paper'!$I19,'Study Case 1_20X5 Transaction'!Q$3:Q$18)</f>
        <v>  2,000 </v>
      </c>
      <c r="N19" s="11"/>
      <c r="O19" s="64"/>
      <c r="P19" s="103" t="s">
        <v>175</v>
      </c>
      <c r="Q19" s="104" t="str">
        <f t="shared" ref="Q19:T19" si="23">SUM(Q7:Q18)</f>
        <v>  120,000 </v>
      </c>
      <c r="R19" s="104" t="str">
        <f t="shared" si="23"/>
        <v>  126,000 </v>
      </c>
      <c r="S19" s="104" t="str">
        <f t="shared" si="23"/>
        <v>  100,500 </v>
      </c>
      <c r="T19" s="104" t="str">
        <f t="shared" si="23"/>
        <v>  (24,000)</v>
      </c>
      <c r="U19" s="10"/>
      <c r="V19" s="74" t="s">
        <v>176</v>
      </c>
      <c r="W19" s="98" t="s">
        <v>177</v>
      </c>
      <c r="X19" s="74" t="s">
        <v>147</v>
      </c>
      <c r="Y19" s="76" t="s">
        <v>29</v>
      </c>
      <c r="Z19" s="74" t="s">
        <v>147</v>
      </c>
      <c r="AA19" s="77">
        <v>0.0</v>
      </c>
      <c r="AB19" s="74" t="s">
        <v>147</v>
      </c>
      <c r="AC19" s="91" t="str">
        <f>AA19/AA20</f>
        <v>0.00</v>
      </c>
    </row>
    <row r="20" ht="15.0" customHeight="1">
      <c r="A20" s="86" t="s">
        <v>178</v>
      </c>
      <c r="B20" s="86"/>
      <c r="C20" s="86"/>
      <c r="D20" s="87"/>
      <c r="E20" s="87"/>
      <c r="F20" s="87"/>
      <c r="G20" s="87"/>
      <c r="H20" s="64"/>
      <c r="I20" s="105" t="s">
        <v>179</v>
      </c>
      <c r="J20" s="106" t="str">
        <f t="shared" ref="J20:M20" si="24">J17+J19</f>
        <v>  (73,000)</v>
      </c>
      <c r="K20" s="106" t="str">
        <f t="shared" si="24"/>
        <v>  (146,000)</v>
      </c>
      <c r="L20" s="106" t="str">
        <f t="shared" si="24"/>
        <v>  (120,500)</v>
      </c>
      <c r="M20" s="106" t="str">
        <f t="shared" si="24"/>
        <v>  (66,000)</v>
      </c>
      <c r="N20" s="106" t="str">
        <f>SUM(N19)</f>
        <v>  - </v>
      </c>
      <c r="O20" s="64"/>
      <c r="P20" s="10"/>
      <c r="Q20" s="11"/>
      <c r="R20" s="10"/>
      <c r="S20" s="10"/>
      <c r="T20" s="10"/>
      <c r="U20" s="10"/>
      <c r="Y20" s="84" t="s">
        <v>34</v>
      </c>
      <c r="AA20" s="85" t="str">
        <f>G38</f>
        <v>742,500</v>
      </c>
    </row>
    <row r="21" ht="15.0" customHeight="1">
      <c r="A21" s="86" t="s">
        <v>180</v>
      </c>
      <c r="B21" s="86"/>
      <c r="C21" s="86"/>
      <c r="D21" s="87"/>
      <c r="E21" s="87"/>
      <c r="F21" s="87"/>
      <c r="G21" s="87"/>
      <c r="H21" s="64"/>
      <c r="I21" s="107" t="s">
        <v>181</v>
      </c>
      <c r="J21" s="100" t="str">
        <f t="shared" ref="J21:M21" si="25">J17+J19</f>
        <v>  (73,000)</v>
      </c>
      <c r="K21" s="100" t="str">
        <f t="shared" si="25"/>
        <v>  (146,000)</v>
      </c>
      <c r="L21" s="100" t="str">
        <f t="shared" si="25"/>
        <v>  (120,500)</v>
      </c>
      <c r="M21" s="100" t="str">
        <f t="shared" si="25"/>
        <v>  (66,000)</v>
      </c>
      <c r="N21" s="100" t="str">
        <f>SUM(J21:M21)</f>
        <v>  (405,500)</v>
      </c>
      <c r="O21" s="64"/>
      <c r="P21" s="9" t="s">
        <v>182</v>
      </c>
      <c r="Q21" s="11"/>
      <c r="R21" s="10"/>
      <c r="S21" s="10"/>
      <c r="T21" s="10"/>
      <c r="U21" s="10"/>
      <c r="V21" s="10"/>
      <c r="W21" s="10"/>
      <c r="X21" s="10"/>
      <c r="Y21" s="10"/>
      <c r="Z21" s="10"/>
      <c r="AA21" s="10"/>
      <c r="AB21" s="10"/>
      <c r="AC21" s="10"/>
    </row>
    <row r="22" ht="15.0" customHeight="1">
      <c r="A22" s="90" t="s">
        <v>104</v>
      </c>
      <c r="B22" s="90"/>
      <c r="C22" s="11">
        <v>8000.0</v>
      </c>
      <c r="D22" s="87" t="str">
        <f>SUMIF('Study Case 1_20X5 Transaction'!$M$3:$M$18,'Study Case 1_Working Paper'!$A22,'Study Case 1_20X5 Transaction'!N$3:N432)+'Study Case 1_Working Paper'!C22</f>
        <v>0</v>
      </c>
      <c r="E22" s="87" t="str">
        <f>SUMIF('Study Case 1_20X5 Transaction'!$M$3:$M$18,'Study Case 1_Working Paper'!$A22,'Study Case 1_20X5 Transaction'!O$3:O432)+'Study Case 1_Working Paper'!D22</f>
        <v>0</v>
      </c>
      <c r="F22" s="87" t="str">
        <f>SUMIF('Study Case 1_20X5 Transaction'!$M$3:$M$18,'Study Case 1_Working Paper'!$A22,'Study Case 1_20X5 Transaction'!P$3:P432)+'Study Case 1_Working Paper'!E22</f>
        <v>0</v>
      </c>
      <c r="G22" s="87" t="str">
        <f>SUMIF('Study Case 1_20X5 Transaction'!$M$3:$M$18,'Study Case 1_Working Paper'!$A22,'Study Case 1_20X5 Transaction'!Q$3:Q432)+'Study Case 1_Working Paper'!F22</f>
        <v>0</v>
      </c>
      <c r="H22" s="64"/>
      <c r="I22" s="10"/>
      <c r="J22" s="10"/>
      <c r="K22" s="10"/>
      <c r="L22" s="10"/>
      <c r="M22" s="10"/>
      <c r="N22" s="10"/>
      <c r="O22" s="64"/>
      <c r="P22" s="66" t="s">
        <v>183</v>
      </c>
      <c r="Q22" s="11">
        <v>25000.0</v>
      </c>
      <c r="R22" s="11"/>
      <c r="S22" s="11" t="str">
        <f t="shared" ref="S22:T22" si="26">R22</f>
        <v/>
      </c>
      <c r="T22" s="11" t="str">
        <f t="shared" si="26"/>
        <v/>
      </c>
      <c r="U22" s="10"/>
      <c r="V22" s="10"/>
      <c r="W22" s="10"/>
      <c r="X22" s="10"/>
      <c r="Y22" s="10"/>
      <c r="Z22" s="10"/>
      <c r="AA22" s="10"/>
      <c r="AB22" s="10"/>
      <c r="AC22" s="10"/>
    </row>
    <row r="23" ht="15.0" customHeight="1">
      <c r="A23" s="90" t="s">
        <v>168</v>
      </c>
      <c r="B23" s="90"/>
      <c r="C23" s="92">
        <v>0.0</v>
      </c>
      <c r="D23" s="87" t="str">
        <f>SUMIF('Study Case 1_20X5 Transaction'!$M$3:$M$18,'Study Case 1_Working Paper'!$A23,'Study Case 1_20X5 Transaction'!N$3:N433)+'Study Case 1_Working Paper'!C23</f>
        <v>0</v>
      </c>
      <c r="E23" s="87" t="str">
        <f>SUMIF('Study Case 1_20X5 Transaction'!$M$3:$M$18,'Study Case 1_Working Paper'!$A23,'Study Case 1_20X5 Transaction'!O$3:O433)+'Study Case 1_Working Paper'!D23</f>
        <v>0</v>
      </c>
      <c r="F23" s="87" t="str">
        <f>SUMIF('Study Case 1_20X5 Transaction'!$M$3:$M$18,'Study Case 1_Working Paper'!$A23,'Study Case 1_20X5 Transaction'!P$3:P433)+'Study Case 1_Working Paper'!E23</f>
        <v>0</v>
      </c>
      <c r="G23" s="87" t="str">
        <f>SUMIF('Study Case 1_20X5 Transaction'!$M$3:$M$18,'Study Case 1_Working Paper'!$A23,'Study Case 1_20X5 Transaction'!Q$3:Q433)+'Study Case 1_Working Paper'!F23</f>
        <v>0</v>
      </c>
      <c r="H23" s="64"/>
      <c r="I23" s="34"/>
      <c r="J23" s="108"/>
      <c r="K23" s="108"/>
      <c r="L23" s="108"/>
      <c r="M23" s="108"/>
      <c r="N23" s="108"/>
      <c r="O23" s="64"/>
      <c r="P23" s="103" t="s">
        <v>184</v>
      </c>
      <c r="Q23" s="109" t="str">
        <f t="shared" ref="Q23:T23" si="27">-Q22</f>
        <v>  (25,000)</v>
      </c>
      <c r="R23" s="109" t="str">
        <f t="shared" si="27"/>
        <v>  - </v>
      </c>
      <c r="S23" s="109" t="str">
        <f t="shared" si="27"/>
        <v>  - </v>
      </c>
      <c r="T23" s="109" t="str">
        <f t="shared" si="27"/>
        <v>  - </v>
      </c>
      <c r="U23" s="11"/>
      <c r="V23" s="10"/>
      <c r="W23" s="10"/>
      <c r="X23" s="10"/>
      <c r="Y23" s="10"/>
      <c r="Z23" s="10"/>
      <c r="AA23" s="10"/>
      <c r="AB23" s="10"/>
      <c r="AC23" s="10"/>
    </row>
    <row r="24" ht="15.0" customHeight="1">
      <c r="A24" s="90" t="s">
        <v>171</v>
      </c>
      <c r="B24" s="90"/>
      <c r="C24" s="92">
        <v>0.0</v>
      </c>
      <c r="D24" s="87" t="str">
        <f>SUMIF('Study Case 1_20X5 Transaction'!$M$3:$M$18,'Study Case 1_Working Paper'!$A24,'Study Case 1_20X5 Transaction'!N$3:N434)+'Study Case 1_Working Paper'!C24</f>
        <v>0</v>
      </c>
      <c r="E24" s="87" t="str">
        <f>SUMIF('Study Case 1_20X5 Transaction'!$M$3:$M$18,'Study Case 1_Working Paper'!$A24,'Study Case 1_20X5 Transaction'!O$3:O434)+'Study Case 1_Working Paper'!D24</f>
        <v>0</v>
      </c>
      <c r="F24" s="87" t="str">
        <f>SUMIF('Study Case 1_20X5 Transaction'!$M$3:$M$18,'Study Case 1_Working Paper'!$A24,'Study Case 1_20X5 Transaction'!P$3:P434)+'Study Case 1_Working Paper'!E24</f>
        <v>0</v>
      </c>
      <c r="G24" s="87" t="str">
        <f>SUMIF('Study Case 1_20X5 Transaction'!$M$3:$M$18,'Study Case 1_Working Paper'!$A24,'Study Case 1_20X5 Transaction'!Q$3:Q434)+'Study Case 1_Working Paper'!F24</f>
        <v>0</v>
      </c>
      <c r="H24" s="64"/>
      <c r="I24" s="10"/>
      <c r="J24" s="10"/>
      <c r="K24" s="10"/>
      <c r="L24" s="10"/>
      <c r="M24" s="10"/>
      <c r="N24" s="108"/>
      <c r="O24" s="64"/>
      <c r="P24" s="10"/>
      <c r="Q24" s="11"/>
      <c r="R24" s="10"/>
      <c r="S24" s="10"/>
      <c r="T24" s="10"/>
      <c r="U24" s="10"/>
      <c r="V24" s="10"/>
      <c r="W24" s="10"/>
      <c r="X24" s="10"/>
      <c r="Y24" s="10"/>
      <c r="Z24" s="10"/>
      <c r="AA24" s="10"/>
      <c r="AB24" s="10"/>
      <c r="AC24" s="10"/>
    </row>
    <row r="25" ht="15.0" customHeight="1">
      <c r="A25" s="90" t="s">
        <v>107</v>
      </c>
      <c r="B25" s="90"/>
      <c r="C25" s="92">
        <v>0.0</v>
      </c>
      <c r="D25" s="87" t="str">
        <f>SUMIF('Study Case 1_20X5 Transaction'!$M$3:$M$18,'Study Case 1_Working Paper'!$A25,'Study Case 1_20X5 Transaction'!N$3:N435)+'Study Case 1_Working Paper'!C25</f>
        <v>0</v>
      </c>
      <c r="E25" s="87" t="str">
        <f>SUMIF('Study Case 1_20X5 Transaction'!$M$3:$M$18,'Study Case 1_Working Paper'!$A25,'Study Case 1_20X5 Transaction'!O$3:O435)+'Study Case 1_Working Paper'!D25</f>
        <v>(50,000)</v>
      </c>
      <c r="F25" s="87" t="str">
        <f>SUMIF('Study Case 1_20X5 Transaction'!$M$3:$M$18,'Study Case 1_Working Paper'!$A25,'Study Case 1_20X5 Transaction'!P$3:P435)+'Study Case 1_Working Paper'!E25</f>
        <v>(50,000)</v>
      </c>
      <c r="G25" s="87" t="str">
        <f>SUMIF('Study Case 1_20X5 Transaction'!$M$3:$M$18,'Study Case 1_Working Paper'!$A25,'Study Case 1_20X5 Transaction'!Q$3:Q435)+'Study Case 1_Working Paper'!F25</f>
        <v>(50,000)</v>
      </c>
      <c r="H25" s="64"/>
      <c r="I25" s="10"/>
      <c r="J25" s="10"/>
      <c r="K25" s="10"/>
      <c r="L25" s="10"/>
      <c r="M25" s="10"/>
      <c r="N25" s="110"/>
      <c r="O25" s="64"/>
      <c r="P25" s="9" t="s">
        <v>185</v>
      </c>
      <c r="Q25" s="11"/>
      <c r="R25" s="10"/>
      <c r="S25" s="10"/>
      <c r="T25" s="10"/>
      <c r="U25" s="10"/>
      <c r="V25" s="10"/>
      <c r="W25" s="10"/>
      <c r="X25" s="10"/>
      <c r="Y25" s="10"/>
      <c r="Z25" s="10"/>
      <c r="AA25" s="10"/>
      <c r="AB25" s="10"/>
      <c r="AC25" s="10"/>
    </row>
    <row r="26" ht="15.0" customHeight="1">
      <c r="A26" s="90" t="s">
        <v>109</v>
      </c>
      <c r="B26" s="90"/>
      <c r="C26" s="11">
        <v>30000.0</v>
      </c>
      <c r="D26" s="87" t="str">
        <f>-SUMIF('Study Case 1_20X5 Transaction'!$M$3:$M$18,'Study Case 1_Working Paper'!$A26,'Study Case 1_20X5 Transaction'!N$3:N436)+'Study Case 1_Working Paper'!C26</f>
        <v>30,000</v>
      </c>
      <c r="E26" s="87" t="str">
        <f>-SUMIF('Study Case 1_20X5 Transaction'!$M$3:$M$18,'Study Case 1_Working Paper'!$A26,'Study Case 1_20X5 Transaction'!O$3:O436)+'Study Case 1_Working Paper'!D26</f>
        <v>15,000</v>
      </c>
      <c r="F26" s="87" t="str">
        <f>-SUMIF('Study Case 1_20X5 Transaction'!$M$3:$M$18,'Study Case 1_Working Paper'!$A26,'Study Case 1_20X5 Transaction'!P$3:P436)+'Study Case 1_Working Paper'!E26</f>
        <v>7,500</v>
      </c>
      <c r="G26" s="87" t="str">
        <f>-SUMIF('Study Case 1_20X5 Transaction'!$M$3:$M$18,'Study Case 1_Working Paper'!$A26,'Study Case 1_20X5 Transaction'!Q$3:Q436)+'Study Case 1_Working Paper'!F26</f>
        <v>0</v>
      </c>
      <c r="H26" s="64"/>
      <c r="I26" s="10"/>
      <c r="J26" s="10"/>
      <c r="K26" s="10"/>
      <c r="L26" s="10"/>
      <c r="M26" s="10"/>
      <c r="N26" s="10"/>
      <c r="O26" s="64"/>
      <c r="P26" s="66" t="s">
        <v>186</v>
      </c>
      <c r="Q26" s="11">
        <v>0.0</v>
      </c>
      <c r="R26" s="11"/>
      <c r="S26" s="11"/>
      <c r="T26" s="11"/>
      <c r="U26" s="10"/>
      <c r="V26" s="10"/>
      <c r="W26" s="10"/>
      <c r="X26" s="10"/>
      <c r="Y26" s="10"/>
      <c r="Z26" s="10"/>
      <c r="AA26" s="10"/>
      <c r="AB26" s="10"/>
      <c r="AC26" s="10"/>
    </row>
    <row r="27" ht="15.0" customHeight="1">
      <c r="A27" s="96" t="s">
        <v>187</v>
      </c>
      <c r="B27" s="96"/>
      <c r="C27" s="97" t="str">
        <f t="shared" ref="C27:D27" si="28">SUM(C22:C26)</f>
        <v>38,000</v>
      </c>
      <c r="D27" s="97" t="str">
        <f t="shared" si="28"/>
        <v>30,000</v>
      </c>
      <c r="E27" s="97" t="str">
        <f t="shared" ref="E27:G27" si="29">E25+E26</f>
        <v>(35,000)</v>
      </c>
      <c r="F27" s="97" t="str">
        <f t="shared" si="29"/>
        <v>(42,500)</v>
      </c>
      <c r="G27" s="97" t="str">
        <f t="shared" si="29"/>
        <v>(50,000)</v>
      </c>
      <c r="H27" s="64"/>
      <c r="I27" s="10"/>
      <c r="J27" s="10"/>
      <c r="K27" s="10"/>
      <c r="L27" s="10"/>
      <c r="M27" s="10"/>
      <c r="N27" s="10"/>
      <c r="O27" s="64"/>
      <c r="P27" s="66" t="s">
        <v>188</v>
      </c>
      <c r="Q27" s="11"/>
      <c r="R27" s="11"/>
      <c r="S27" s="11"/>
      <c r="T27" s="11"/>
      <c r="U27" s="10"/>
      <c r="V27" s="10"/>
      <c r="W27" s="10"/>
      <c r="X27" s="10"/>
      <c r="Y27" s="10"/>
      <c r="Z27" s="10"/>
      <c r="AA27" s="10"/>
      <c r="AB27" s="10"/>
      <c r="AC27" s="10"/>
    </row>
    <row r="28" ht="15.0" customHeight="1">
      <c r="A28" s="86" t="s">
        <v>189</v>
      </c>
      <c r="B28" s="86"/>
      <c r="C28" s="86"/>
      <c r="D28" s="87"/>
      <c r="E28" s="87"/>
      <c r="F28" s="87"/>
      <c r="G28" s="87"/>
      <c r="H28" s="64"/>
      <c r="I28" s="10"/>
      <c r="J28" s="10"/>
      <c r="K28" s="11"/>
      <c r="L28" s="10"/>
      <c r="M28" s="10"/>
      <c r="N28" s="10"/>
      <c r="O28" s="64"/>
      <c r="P28" s="66" t="s">
        <v>190</v>
      </c>
      <c r="Q28" s="11">
        <v>0.0</v>
      </c>
      <c r="R28" s="11">
        <v>15000.0</v>
      </c>
      <c r="S28" s="11">
        <v>7500.0</v>
      </c>
      <c r="T28" s="11">
        <v>7500.0</v>
      </c>
      <c r="U28" s="10"/>
      <c r="V28" s="10"/>
      <c r="W28" s="11"/>
      <c r="X28" s="10"/>
      <c r="Y28" s="10"/>
      <c r="Z28" s="10"/>
      <c r="AA28" s="10"/>
      <c r="AB28" s="10"/>
      <c r="AC28" s="10"/>
    </row>
    <row r="29" ht="15.0" customHeight="1">
      <c r="A29" s="95" t="s">
        <v>191</v>
      </c>
      <c r="B29" s="95"/>
      <c r="C29" s="92">
        <v>0.0</v>
      </c>
      <c r="D29" s="87" t="str">
        <f>SUMIF('Study Case 1_20X5 Transaction'!$M$3:$M$18,'Study Case 1_Working Paper'!$A29,'Study Case 1_20X5 Transaction'!N$3:N439)+'Study Case 1_Working Paper'!C29</f>
        <v>0</v>
      </c>
      <c r="E29" s="87" t="str">
        <f>SUMIF('Study Case 1_20X5 Transaction'!$M$3:$M$18,'Study Case 1_Working Paper'!$A29,'Study Case 1_20X5 Transaction'!O$3:O439)+'Study Case 1_Working Paper'!D29</f>
        <v>0</v>
      </c>
      <c r="F29" s="87" t="str">
        <f>SUMIF('Study Case 1_20X5 Transaction'!$M$3:$M$18,'Study Case 1_Working Paper'!$A29,'Study Case 1_20X5 Transaction'!P$3:P439)+'Study Case 1_Working Paper'!E29</f>
        <v>0</v>
      </c>
      <c r="G29" s="87" t="str">
        <f>SUMIF('Study Case 1_20X5 Transaction'!$M$3:$M$18,'Study Case 1_Working Paper'!$A29,'Study Case 1_20X5 Transaction'!Q$3:Q439)+'Study Case 1_Working Paper'!F29</f>
        <v>0</v>
      </c>
      <c r="H29" s="64"/>
      <c r="I29" s="10"/>
      <c r="J29" s="10"/>
      <c r="K29" s="10"/>
      <c r="L29" s="10"/>
      <c r="M29" s="10"/>
      <c r="N29" s="10"/>
      <c r="O29" s="64"/>
      <c r="P29" s="66" t="s">
        <v>192</v>
      </c>
      <c r="Q29" s="11">
        <v>0.0</v>
      </c>
      <c r="R29" s="11">
        <v>0.0</v>
      </c>
      <c r="S29" s="11">
        <v>0.0</v>
      </c>
      <c r="T29" s="11">
        <v>0.0</v>
      </c>
      <c r="U29" s="10"/>
      <c r="V29" s="10"/>
      <c r="W29" s="10"/>
      <c r="X29" s="10"/>
      <c r="Y29" s="10"/>
      <c r="Z29" s="10"/>
      <c r="AA29" s="10"/>
      <c r="AB29" s="10"/>
      <c r="AC29" s="10"/>
    </row>
    <row r="30" ht="15.0" customHeight="1">
      <c r="A30" s="96" t="s">
        <v>193</v>
      </c>
      <c r="B30" s="96"/>
      <c r="C30" s="97" t="str">
        <f t="shared" ref="C30:G30" si="30">SUM(C29)</f>
        <v>0</v>
      </c>
      <c r="D30" s="97" t="str">
        <f t="shared" si="30"/>
        <v>0</v>
      </c>
      <c r="E30" s="97" t="str">
        <f t="shared" si="30"/>
        <v>0</v>
      </c>
      <c r="F30" s="97" t="str">
        <f t="shared" si="30"/>
        <v>0</v>
      </c>
      <c r="G30" s="97" t="str">
        <f t="shared" si="30"/>
        <v>0</v>
      </c>
      <c r="H30" s="64"/>
      <c r="I30" s="10"/>
      <c r="J30" s="10"/>
      <c r="K30" s="10"/>
      <c r="L30" s="10"/>
      <c r="M30" s="10"/>
      <c r="N30" s="10"/>
      <c r="O30" s="64"/>
      <c r="P30" s="103" t="s">
        <v>194</v>
      </c>
      <c r="Q30" s="104" t="str">
        <f>SUM(Q26:Q29)</f>
        <v>  - </v>
      </c>
      <c r="R30" s="104" t="str">
        <f t="shared" ref="R30:T30" si="31">R27-R28</f>
        <v>  (15,000)</v>
      </c>
      <c r="S30" s="104" t="str">
        <f t="shared" si="31"/>
        <v>  (7,500)</v>
      </c>
      <c r="T30" s="104" t="str">
        <f t="shared" si="31"/>
        <v>  (7,500)</v>
      </c>
      <c r="U30" s="10"/>
      <c r="V30" s="10"/>
      <c r="W30" s="10"/>
      <c r="X30" s="10"/>
      <c r="Y30" s="10"/>
      <c r="Z30" s="10"/>
      <c r="AA30" s="10"/>
      <c r="AB30" s="10"/>
      <c r="AC30" s="10"/>
    </row>
    <row r="31" ht="15.0" customHeight="1">
      <c r="A31" s="96" t="s">
        <v>195</v>
      </c>
      <c r="B31" s="96"/>
      <c r="C31" s="97" t="str">
        <f t="shared" ref="C31:G31" si="32">C27+C30</f>
        <v>38,000</v>
      </c>
      <c r="D31" s="97" t="str">
        <f t="shared" si="32"/>
        <v>30,000</v>
      </c>
      <c r="E31" s="97" t="str">
        <f t="shared" si="32"/>
        <v>(35,000)</v>
      </c>
      <c r="F31" s="97" t="str">
        <f t="shared" si="32"/>
        <v>(42,500)</v>
      </c>
      <c r="G31" s="97" t="str">
        <f t="shared" si="32"/>
        <v>(50,000)</v>
      </c>
      <c r="H31" s="64"/>
      <c r="I31" s="87"/>
      <c r="J31" s="87"/>
      <c r="K31" s="10"/>
      <c r="L31" s="10"/>
      <c r="M31" s="10"/>
      <c r="N31" s="10"/>
      <c r="O31" s="64"/>
      <c r="P31" s="10"/>
      <c r="Q31" s="10"/>
      <c r="R31" s="10"/>
      <c r="S31" s="10"/>
      <c r="T31" s="10"/>
      <c r="U31" s="10"/>
      <c r="V31" s="10"/>
      <c r="W31" s="10"/>
      <c r="X31" s="10"/>
      <c r="Y31" s="10"/>
      <c r="Z31" s="10"/>
      <c r="AA31" s="10"/>
      <c r="AB31" s="10"/>
      <c r="AC31" s="10"/>
    </row>
    <row r="32" ht="15.0" customHeight="1">
      <c r="A32" s="86" t="s">
        <v>30</v>
      </c>
      <c r="B32" s="86"/>
      <c r="C32" s="86"/>
      <c r="D32" s="87"/>
      <c r="E32" s="87"/>
      <c r="F32" s="87"/>
      <c r="G32" s="87"/>
      <c r="H32" s="64"/>
      <c r="I32" s="10"/>
      <c r="J32" s="10"/>
      <c r="K32" s="10"/>
      <c r="L32" s="10"/>
      <c r="M32" s="10"/>
      <c r="N32" s="10"/>
      <c r="O32" s="64"/>
      <c r="P32" s="111" t="s">
        <v>196</v>
      </c>
      <c r="Q32" s="112" t="str">
        <f t="shared" ref="Q32:T32" si="33">Q19+Q23+Q30</f>
        <v>  95,000 </v>
      </c>
      <c r="R32" s="112" t="str">
        <f t="shared" si="33"/>
        <v>  111,000 </v>
      </c>
      <c r="S32" s="112" t="str">
        <f t="shared" si="33"/>
        <v>  93,000 </v>
      </c>
      <c r="T32" s="112" t="str">
        <f t="shared" si="33"/>
        <v>  (31,500)</v>
      </c>
      <c r="U32" s="10"/>
      <c r="V32" s="10"/>
      <c r="W32" s="10"/>
      <c r="X32" s="10"/>
      <c r="Y32" s="10"/>
      <c r="Z32" s="10"/>
      <c r="AA32" s="10"/>
      <c r="AB32" s="10"/>
      <c r="AC32" s="10"/>
    </row>
    <row r="33" ht="15.0" customHeight="1">
      <c r="A33" s="95" t="s">
        <v>197</v>
      </c>
      <c r="B33" s="95"/>
      <c r="C33" s="11">
        <v>97000.0</v>
      </c>
      <c r="D33" s="87" t="str">
        <f>SUMIF('Study Case 1_20X5 Transaction'!$M$3:$M$18,'Study Case 1_Working Paper'!$A33,'Study Case 1_20X5 Transaction'!N$3:N443)+'Study Case 1_Working Paper'!C33</f>
        <v>97,000</v>
      </c>
      <c r="E33" s="87" t="str">
        <f>SUMIF('Study Case 1_20X5 Transaction'!$M$3:$M$18,'Study Case 1_Working Paper'!$A33,'Study Case 1_20X5 Transaction'!O$3:O443)+'Study Case 1_Working Paper'!D33</f>
        <v>97,000</v>
      </c>
      <c r="F33" s="87" t="str">
        <f>SUMIF('Study Case 1_20X5 Transaction'!$M$3:$M$18,'Study Case 1_Working Paper'!$A33,'Study Case 1_20X5 Transaction'!P$3:P443)+'Study Case 1_Working Paper'!E33</f>
        <v>97,000</v>
      </c>
      <c r="G33" s="87" t="str">
        <f>SUMIF('Study Case 1_20X5 Transaction'!$M$3:$M$18,'Study Case 1_Working Paper'!$A33,'Study Case 1_20X5 Transaction'!Q$3:Q443)+'Study Case 1_Working Paper'!F33</f>
        <v>97,000</v>
      </c>
      <c r="H33" s="64"/>
      <c r="I33" s="10"/>
      <c r="J33" s="10"/>
      <c r="K33" s="10"/>
      <c r="L33" s="10"/>
      <c r="M33" s="10"/>
      <c r="N33" s="10"/>
      <c r="O33" s="64"/>
      <c r="P33" s="10"/>
      <c r="Q33" s="10"/>
      <c r="R33" s="10"/>
      <c r="S33" s="10"/>
      <c r="T33" s="10"/>
      <c r="U33" s="10"/>
      <c r="V33" s="10"/>
      <c r="W33" s="10"/>
      <c r="X33" s="10"/>
      <c r="Y33" s="10"/>
      <c r="Z33" s="10"/>
      <c r="AA33" s="10"/>
      <c r="AB33" s="10"/>
      <c r="AC33" s="10"/>
    </row>
    <row r="34" ht="15.0" customHeight="1">
      <c r="A34" s="88" t="s">
        <v>198</v>
      </c>
      <c r="B34" s="88"/>
      <c r="C34" s="11">
        <v>108000.0</v>
      </c>
      <c r="D34" s="87" t="str">
        <f t="shared" ref="D34:G34" si="34">C37</f>
        <v>240,000</v>
      </c>
      <c r="E34" s="87" t="str">
        <f t="shared" si="34"/>
        <v>313,000</v>
      </c>
      <c r="F34" s="87" t="str">
        <f t="shared" si="34"/>
        <v>459,000</v>
      </c>
      <c r="G34" s="87" t="str">
        <f t="shared" si="34"/>
        <v>579,500</v>
      </c>
      <c r="H34" s="64"/>
      <c r="I34" s="10"/>
      <c r="J34" s="10"/>
      <c r="K34" s="10"/>
      <c r="L34" s="10"/>
      <c r="M34" s="10"/>
      <c r="N34" s="10"/>
      <c r="O34" s="64"/>
      <c r="P34" s="10" t="s">
        <v>199</v>
      </c>
      <c r="Q34" s="11" t="str">
        <f>C8</f>
        <v>  245,000 </v>
      </c>
      <c r="R34" s="11" t="str">
        <f t="shared" ref="R34:T34" si="35">Q36</f>
        <v>  340,000 </v>
      </c>
      <c r="S34" s="11" t="str">
        <f t="shared" si="35"/>
        <v>  451,000 </v>
      </c>
      <c r="T34" s="11" t="str">
        <f t="shared" si="35"/>
        <v>  544,000 </v>
      </c>
      <c r="U34" s="10"/>
      <c r="V34" s="10"/>
      <c r="W34" s="10"/>
      <c r="X34" s="10"/>
      <c r="Y34" s="10"/>
      <c r="Z34" s="10"/>
      <c r="AA34" s="10"/>
      <c r="AB34" s="10"/>
      <c r="AC34" s="10"/>
    </row>
    <row r="35" ht="15.0" customHeight="1">
      <c r="A35" s="88" t="s">
        <v>200</v>
      </c>
      <c r="B35" s="88"/>
      <c r="C35" s="92" t="str">
        <f>Background!F45</f>
        <v>  152,000 </v>
      </c>
      <c r="D35" s="87" t="str">
        <f t="shared" ref="D35:G35" si="36">-J20</f>
        <v>73,000</v>
      </c>
      <c r="E35" s="87" t="str">
        <f t="shared" si="36"/>
        <v>146,000</v>
      </c>
      <c r="F35" s="87" t="str">
        <f t="shared" si="36"/>
        <v>120,500</v>
      </c>
      <c r="G35" s="87" t="str">
        <f t="shared" si="36"/>
        <v>66,000</v>
      </c>
      <c r="H35" s="64"/>
      <c r="I35" s="10"/>
      <c r="J35" s="10"/>
      <c r="K35" s="10"/>
      <c r="L35" s="10"/>
      <c r="M35" s="10"/>
      <c r="N35" s="10"/>
      <c r="O35" s="64"/>
      <c r="P35" s="10"/>
      <c r="Q35" s="10"/>
      <c r="R35" s="10"/>
      <c r="S35" s="10"/>
      <c r="T35" s="10"/>
      <c r="U35" s="10"/>
      <c r="V35" s="10"/>
      <c r="W35" s="10"/>
      <c r="X35" s="10"/>
      <c r="Y35" s="10"/>
      <c r="Z35" s="10"/>
      <c r="AA35" s="10"/>
      <c r="AB35" s="10"/>
      <c r="AC35" s="10"/>
    </row>
    <row r="36" ht="15.0" customHeight="1">
      <c r="A36" s="95" t="s">
        <v>33</v>
      </c>
      <c r="B36" s="95"/>
      <c r="C36" s="92" t="str">
        <f>Background!F30</f>
        <v>  (20,000)</v>
      </c>
      <c r="D36" s="87"/>
      <c r="E36" s="87"/>
      <c r="F36" s="87"/>
      <c r="G36" s="87"/>
      <c r="H36" s="64"/>
      <c r="I36" s="10"/>
      <c r="J36" s="10"/>
      <c r="K36" s="10"/>
      <c r="L36" s="10"/>
      <c r="M36" s="10"/>
      <c r="N36" s="10"/>
      <c r="O36" s="64"/>
      <c r="P36" s="10" t="s">
        <v>201</v>
      </c>
      <c r="Q36" s="15" t="str">
        <f t="shared" ref="Q36:T36" si="37">Q32+Q34</f>
        <v>  340,000 </v>
      </c>
      <c r="R36" s="15" t="str">
        <f t="shared" si="37"/>
        <v>  451,000 </v>
      </c>
      <c r="S36" s="15" t="str">
        <f t="shared" si="37"/>
        <v>  544,000 </v>
      </c>
      <c r="T36" s="15" t="str">
        <f t="shared" si="37"/>
        <v>  512,500 </v>
      </c>
      <c r="U36" s="10"/>
      <c r="V36" s="10"/>
      <c r="W36" s="10"/>
      <c r="X36" s="10"/>
      <c r="Y36" s="10"/>
      <c r="Z36" s="10"/>
      <c r="AA36" s="10"/>
      <c r="AB36" s="10"/>
      <c r="AC36" s="10"/>
    </row>
    <row r="37" ht="15.0" customHeight="1">
      <c r="A37" s="88" t="s">
        <v>202</v>
      </c>
      <c r="B37" s="88"/>
      <c r="C37" s="113">
        <v>240000.0</v>
      </c>
      <c r="D37" s="87" t="str">
        <f>D34+D35</f>
        <v>313,000</v>
      </c>
      <c r="E37" s="87" t="str">
        <f t="shared" ref="E37:G37" si="38">SUM(E34:E35)</f>
        <v>459,000</v>
      </c>
      <c r="F37" s="87" t="str">
        <f t="shared" si="38"/>
        <v>579,500</v>
      </c>
      <c r="G37" s="87" t="str">
        <f t="shared" si="38"/>
        <v>645,500</v>
      </c>
      <c r="H37" s="64"/>
      <c r="I37" s="10"/>
      <c r="J37" s="10"/>
      <c r="K37" s="10"/>
      <c r="L37" s="10"/>
      <c r="M37" s="10"/>
      <c r="N37" s="10"/>
      <c r="O37" s="64"/>
      <c r="P37" s="10"/>
      <c r="Q37" s="10"/>
      <c r="R37" s="10"/>
      <c r="S37" s="10"/>
      <c r="T37" s="10"/>
      <c r="U37" s="10"/>
      <c r="V37" s="10"/>
      <c r="W37" s="10"/>
      <c r="X37" s="10"/>
      <c r="Y37" s="10"/>
      <c r="Z37" s="10"/>
      <c r="AA37" s="10"/>
      <c r="AB37" s="10"/>
      <c r="AC37" s="10"/>
    </row>
    <row r="38" ht="15.0" customHeight="1">
      <c r="A38" s="96" t="s">
        <v>203</v>
      </c>
      <c r="B38" s="96"/>
      <c r="C38" s="97" t="str">
        <f t="shared" ref="C38:G38" si="39">C33+C37</f>
        <v>337,000</v>
      </c>
      <c r="D38" s="97" t="str">
        <f t="shared" si="39"/>
        <v>410,000</v>
      </c>
      <c r="E38" s="97" t="str">
        <f t="shared" si="39"/>
        <v>556,000</v>
      </c>
      <c r="F38" s="97" t="str">
        <f t="shared" si="39"/>
        <v>676,500</v>
      </c>
      <c r="G38" s="97" t="str">
        <f t="shared" si="39"/>
        <v>742,500</v>
      </c>
      <c r="H38" s="64"/>
      <c r="I38" s="10"/>
      <c r="J38" s="10"/>
      <c r="K38" s="10"/>
      <c r="L38" s="10"/>
      <c r="M38" s="10"/>
      <c r="N38" s="10"/>
      <c r="O38" s="64"/>
      <c r="P38" s="10" t="s">
        <v>204</v>
      </c>
      <c r="Q38" s="11" t="str">
        <f t="shared" ref="Q38:T38" si="40">Q36-D8</f>
        <v>  - </v>
      </c>
      <c r="R38" s="11" t="str">
        <f t="shared" si="40"/>
        <v>  - </v>
      </c>
      <c r="S38" s="11" t="str">
        <f t="shared" si="40"/>
        <v>  - </v>
      </c>
      <c r="T38" s="11" t="str">
        <f t="shared" si="40"/>
        <v>  - </v>
      </c>
      <c r="U38" s="10"/>
      <c r="V38" s="10"/>
      <c r="W38" s="10"/>
      <c r="X38" s="10"/>
      <c r="Y38" s="10"/>
      <c r="Z38" s="10"/>
      <c r="AA38" s="10"/>
      <c r="AB38" s="10"/>
      <c r="AC38" s="10"/>
    </row>
    <row r="39" ht="15.0" customHeight="1">
      <c r="A39" s="93" t="s">
        <v>205</v>
      </c>
      <c r="B39" s="93"/>
      <c r="C39" s="102" t="str">
        <f t="shared" ref="C39:G39" si="41">C31+C38</f>
        <v>375,000</v>
      </c>
      <c r="D39" s="102" t="str">
        <f t="shared" si="41"/>
        <v>440,000</v>
      </c>
      <c r="E39" s="102" t="str">
        <f t="shared" si="41"/>
        <v>521,000</v>
      </c>
      <c r="F39" s="102" t="str">
        <f t="shared" si="41"/>
        <v>634,000</v>
      </c>
      <c r="G39" s="102" t="str">
        <f t="shared" si="41"/>
        <v>692,500</v>
      </c>
      <c r="H39" s="64"/>
      <c r="I39" s="10"/>
      <c r="J39" s="10"/>
      <c r="K39" s="10"/>
      <c r="L39" s="10"/>
      <c r="M39" s="10"/>
      <c r="N39" s="10"/>
      <c r="O39" s="64"/>
      <c r="P39" s="10"/>
      <c r="Q39" s="10"/>
      <c r="R39" s="10"/>
      <c r="S39" s="10"/>
      <c r="T39" s="10"/>
      <c r="U39" s="10"/>
      <c r="V39" s="10"/>
      <c r="W39" s="10"/>
      <c r="X39" s="10"/>
      <c r="Y39" s="10"/>
      <c r="Z39" s="10"/>
      <c r="AA39" s="10"/>
      <c r="AB39" s="10"/>
      <c r="AC39" s="10"/>
    </row>
    <row r="40" ht="15.0" customHeight="1">
      <c r="A40" s="10" t="s">
        <v>204</v>
      </c>
      <c r="B40" s="10"/>
      <c r="C40" s="114" t="str">
        <f t="shared" ref="C40:G40" si="42">C19-C39</f>
        <v>  - </v>
      </c>
      <c r="D40" s="114" t="str">
        <f t="shared" si="42"/>
        <v>  - </v>
      </c>
      <c r="E40" s="114" t="str">
        <f t="shared" si="42"/>
        <v>  - </v>
      </c>
      <c r="F40" s="114" t="str">
        <f t="shared" si="42"/>
        <v>  - </v>
      </c>
      <c r="G40" s="114" t="str">
        <f t="shared" si="42"/>
        <v>  - </v>
      </c>
      <c r="H40" s="64"/>
      <c r="I40" s="10"/>
      <c r="J40" s="10"/>
      <c r="K40" s="10"/>
      <c r="L40" s="10"/>
      <c r="M40" s="10"/>
      <c r="N40" s="10"/>
      <c r="O40" s="64"/>
      <c r="P40" s="10"/>
      <c r="Q40" s="10"/>
      <c r="R40" s="10"/>
      <c r="S40" s="10"/>
      <c r="T40" s="10"/>
      <c r="U40" s="10"/>
      <c r="V40" s="10"/>
      <c r="W40" s="10"/>
      <c r="X40" s="10"/>
      <c r="Y40" s="10"/>
      <c r="Z40" s="10"/>
      <c r="AA40" s="10"/>
      <c r="AB40" s="10"/>
      <c r="AC40" s="10"/>
    </row>
    <row r="41" ht="15.75" customHeight="1">
      <c r="A41" s="10"/>
      <c r="B41" s="10"/>
      <c r="C41" s="10"/>
      <c r="D41" s="10"/>
      <c r="E41" s="10"/>
      <c r="F41" s="10"/>
      <c r="G41" s="10"/>
      <c r="H41" s="64"/>
      <c r="I41" s="10"/>
      <c r="J41" s="10"/>
      <c r="K41" s="10"/>
      <c r="L41" s="10"/>
      <c r="M41" s="10"/>
      <c r="N41" s="10"/>
      <c r="O41" s="64"/>
      <c r="P41" s="10"/>
      <c r="Q41" s="10"/>
      <c r="R41" s="10"/>
      <c r="S41" s="10"/>
      <c r="T41" s="10"/>
      <c r="U41" s="10"/>
      <c r="V41" s="10"/>
      <c r="W41" s="10"/>
      <c r="X41" s="10"/>
      <c r="Y41" s="10"/>
      <c r="Z41" s="10"/>
      <c r="AA41" s="10"/>
      <c r="AB41" s="10"/>
      <c r="AC41" s="10"/>
    </row>
    <row r="42" ht="15.75" customHeight="1">
      <c r="A42" s="10"/>
      <c r="B42" s="10"/>
      <c r="C42" s="11"/>
      <c r="D42" s="10"/>
      <c r="E42" s="10"/>
      <c r="F42" s="10"/>
      <c r="G42" s="10"/>
      <c r="H42" s="64"/>
      <c r="I42" s="10"/>
      <c r="J42" s="10"/>
      <c r="K42" s="10"/>
      <c r="L42" s="10"/>
      <c r="M42" s="10"/>
      <c r="N42" s="10"/>
      <c r="O42" s="64"/>
      <c r="P42" s="10"/>
      <c r="Q42" s="10"/>
      <c r="R42" s="10"/>
      <c r="S42" s="10"/>
      <c r="T42" s="10"/>
      <c r="U42" s="10"/>
      <c r="V42" s="10"/>
      <c r="W42" s="10"/>
      <c r="X42" s="10"/>
      <c r="Y42" s="10"/>
      <c r="Z42" s="10"/>
      <c r="AA42" s="10"/>
      <c r="AB42" s="10"/>
      <c r="AC42" s="10"/>
    </row>
    <row r="43" ht="15.75" customHeight="1">
      <c r="A43" s="10"/>
      <c r="B43" s="10"/>
      <c r="C43" s="10"/>
      <c r="D43" s="10"/>
      <c r="E43" s="10"/>
      <c r="F43" s="10"/>
      <c r="G43" s="10"/>
      <c r="H43" s="64"/>
      <c r="I43" s="10"/>
      <c r="J43" s="10"/>
      <c r="K43" s="10"/>
      <c r="L43" s="10"/>
      <c r="M43" s="10"/>
      <c r="N43" s="10"/>
      <c r="O43" s="64"/>
      <c r="P43" s="10"/>
      <c r="Q43" s="10"/>
      <c r="R43" s="10"/>
      <c r="S43" s="10"/>
      <c r="T43" s="10"/>
      <c r="U43" s="10"/>
      <c r="V43" s="10"/>
      <c r="W43" s="10"/>
      <c r="X43" s="10"/>
      <c r="Y43" s="10"/>
      <c r="Z43" s="10"/>
      <c r="AA43" s="10"/>
      <c r="AB43" s="10"/>
      <c r="AC43" s="10"/>
    </row>
    <row r="44" ht="15.75" customHeight="1">
      <c r="A44" s="10"/>
      <c r="B44" s="10"/>
      <c r="C44" s="10"/>
      <c r="D44" s="10"/>
      <c r="E44" s="10"/>
      <c r="F44" s="10"/>
      <c r="G44" s="10"/>
      <c r="H44" s="64"/>
      <c r="I44" s="10"/>
      <c r="J44" s="10"/>
      <c r="K44" s="10"/>
      <c r="L44" s="10"/>
      <c r="M44" s="10"/>
      <c r="N44" s="10"/>
      <c r="O44" s="64"/>
      <c r="P44" s="10"/>
      <c r="Q44" s="10"/>
      <c r="R44" s="10"/>
      <c r="S44" s="10"/>
      <c r="T44" s="10"/>
      <c r="U44" s="10"/>
      <c r="V44" s="10"/>
      <c r="W44" s="10"/>
      <c r="X44" s="10"/>
      <c r="Y44" s="10"/>
      <c r="Z44" s="10"/>
      <c r="AA44" s="10"/>
      <c r="AB44" s="10"/>
      <c r="AC44" s="10"/>
    </row>
    <row r="45" ht="15.75" customHeight="1">
      <c r="A45" s="10"/>
      <c r="B45" s="10"/>
      <c r="C45" s="10"/>
      <c r="D45" s="10"/>
      <c r="E45" s="10"/>
      <c r="F45" s="10"/>
      <c r="G45" s="10"/>
      <c r="H45" s="64"/>
      <c r="I45" s="10"/>
      <c r="J45" s="10"/>
      <c r="K45" s="10"/>
      <c r="L45" s="10"/>
      <c r="M45" s="10"/>
      <c r="N45" s="10"/>
      <c r="O45" s="64"/>
      <c r="P45" s="10"/>
      <c r="Q45" s="10"/>
      <c r="R45" s="10"/>
      <c r="S45" s="10"/>
      <c r="T45" s="10"/>
      <c r="U45" s="10"/>
      <c r="V45" s="10"/>
      <c r="W45" s="10"/>
      <c r="X45" s="10"/>
      <c r="Y45" s="10"/>
      <c r="Z45" s="10"/>
      <c r="AA45" s="10"/>
      <c r="AB45" s="10"/>
      <c r="AC45" s="10"/>
    </row>
    <row r="46" ht="15.75" customHeight="1">
      <c r="A46" s="10"/>
      <c r="B46" s="10"/>
      <c r="C46" s="10"/>
      <c r="D46" s="10"/>
      <c r="E46" s="10"/>
      <c r="F46" s="10"/>
      <c r="G46" s="10"/>
      <c r="H46" s="64"/>
      <c r="I46" s="10"/>
      <c r="J46" s="10"/>
      <c r="K46" s="10"/>
      <c r="L46" s="10"/>
      <c r="M46" s="10"/>
      <c r="N46" s="10"/>
      <c r="O46" s="64"/>
      <c r="P46" s="10"/>
      <c r="Q46" s="10"/>
      <c r="R46" s="10"/>
      <c r="S46" s="10"/>
      <c r="T46" s="10"/>
      <c r="U46" s="10"/>
      <c r="V46" s="10"/>
      <c r="W46" s="10"/>
      <c r="X46" s="10"/>
      <c r="Y46" s="10"/>
      <c r="Z46" s="10"/>
      <c r="AA46" s="10"/>
      <c r="AB46" s="10"/>
      <c r="AC46" s="10"/>
    </row>
    <row r="47" ht="15.75" customHeight="1">
      <c r="A47" s="10"/>
      <c r="B47" s="10"/>
      <c r="C47" s="10"/>
      <c r="D47" s="10"/>
      <c r="E47" s="10"/>
      <c r="F47" s="10"/>
      <c r="G47" s="10"/>
      <c r="H47" s="64"/>
      <c r="I47" s="10"/>
      <c r="J47" s="10"/>
      <c r="K47" s="10"/>
      <c r="L47" s="10"/>
      <c r="M47" s="10"/>
      <c r="N47" s="10"/>
      <c r="O47" s="64"/>
      <c r="P47" s="10"/>
      <c r="Q47" s="10"/>
      <c r="R47" s="10"/>
      <c r="S47" s="10"/>
      <c r="T47" s="10"/>
      <c r="U47" s="10"/>
      <c r="V47" s="10"/>
      <c r="W47" s="10"/>
      <c r="X47" s="10"/>
      <c r="Y47" s="10"/>
      <c r="Z47" s="10"/>
      <c r="AA47" s="10"/>
      <c r="AB47" s="10"/>
      <c r="AC47" s="10"/>
    </row>
    <row r="48" ht="15.75" customHeight="1">
      <c r="A48" s="10"/>
      <c r="B48" s="10"/>
      <c r="C48" s="10"/>
      <c r="D48" s="10"/>
      <c r="E48" s="10"/>
      <c r="F48" s="10"/>
      <c r="G48" s="10"/>
      <c r="H48" s="64"/>
      <c r="I48" s="10"/>
      <c r="J48" s="10"/>
      <c r="K48" s="10"/>
      <c r="L48" s="10"/>
      <c r="M48" s="10"/>
      <c r="N48" s="10"/>
      <c r="O48" s="64"/>
      <c r="P48" s="10"/>
      <c r="Q48" s="10"/>
      <c r="R48" s="10"/>
      <c r="S48" s="10"/>
      <c r="T48" s="10"/>
      <c r="U48" s="10"/>
      <c r="V48" s="10"/>
      <c r="W48" s="10"/>
      <c r="X48" s="10"/>
      <c r="Y48" s="10"/>
      <c r="Z48" s="10"/>
      <c r="AA48" s="10"/>
      <c r="AB48" s="10"/>
      <c r="AC48" s="10"/>
    </row>
    <row r="49" ht="15.75" customHeight="1">
      <c r="A49" s="10"/>
      <c r="B49" s="10"/>
      <c r="C49" s="10"/>
      <c r="D49" s="10"/>
      <c r="E49" s="10"/>
      <c r="F49" s="10"/>
      <c r="G49" s="10"/>
      <c r="H49" s="64"/>
      <c r="I49" s="10"/>
      <c r="J49" s="10"/>
      <c r="K49" s="10"/>
      <c r="L49" s="10"/>
      <c r="M49" s="10"/>
      <c r="N49" s="10"/>
      <c r="O49" s="64"/>
      <c r="P49" s="10"/>
      <c r="Q49" s="10"/>
      <c r="R49" s="10"/>
      <c r="S49" s="10"/>
      <c r="T49" s="10"/>
      <c r="U49" s="10"/>
      <c r="V49" s="10"/>
      <c r="W49" s="10"/>
      <c r="X49" s="10"/>
      <c r="Y49" s="10"/>
      <c r="Z49" s="10"/>
      <c r="AA49" s="10"/>
      <c r="AB49" s="10"/>
      <c r="AC49" s="10"/>
    </row>
    <row r="50" ht="15.75" customHeight="1">
      <c r="A50" s="10"/>
      <c r="B50" s="10"/>
      <c r="C50" s="10"/>
      <c r="D50" s="10"/>
      <c r="E50" s="10"/>
      <c r="F50" s="10"/>
      <c r="G50" s="10"/>
      <c r="H50" s="64"/>
      <c r="I50" s="10"/>
      <c r="J50" s="10"/>
      <c r="K50" s="10"/>
      <c r="L50" s="10"/>
      <c r="M50" s="10"/>
      <c r="N50" s="10"/>
      <c r="O50" s="64"/>
      <c r="P50" s="10"/>
      <c r="Q50" s="10"/>
      <c r="R50" s="10"/>
      <c r="S50" s="10"/>
      <c r="T50" s="10"/>
      <c r="U50" s="10"/>
      <c r="V50" s="10"/>
      <c r="W50" s="10"/>
      <c r="X50" s="10"/>
      <c r="Y50" s="10"/>
      <c r="Z50" s="10"/>
      <c r="AA50" s="10"/>
      <c r="AB50" s="10"/>
      <c r="AC50" s="10"/>
    </row>
    <row r="51" ht="15.75" customHeight="1">
      <c r="A51" s="10"/>
      <c r="B51" s="10"/>
      <c r="C51" s="10"/>
      <c r="D51" s="10"/>
      <c r="E51" s="10"/>
      <c r="F51" s="10"/>
      <c r="G51" s="10"/>
      <c r="H51" s="64"/>
      <c r="I51" s="10"/>
      <c r="J51" s="10"/>
      <c r="K51" s="10"/>
      <c r="L51" s="10"/>
      <c r="M51" s="10"/>
      <c r="N51" s="10"/>
      <c r="O51" s="64"/>
      <c r="P51" s="10"/>
      <c r="Q51" s="10"/>
      <c r="R51" s="10"/>
      <c r="S51" s="10"/>
      <c r="T51" s="10"/>
      <c r="U51" s="10"/>
      <c r="V51" s="10"/>
      <c r="W51" s="10"/>
      <c r="X51" s="10"/>
      <c r="Y51" s="10"/>
      <c r="Z51" s="10"/>
      <c r="AA51" s="10"/>
      <c r="AB51" s="10"/>
      <c r="AC51" s="10"/>
    </row>
    <row r="52" ht="15.75" customHeight="1">
      <c r="A52" s="10"/>
      <c r="B52" s="10"/>
      <c r="C52" s="10"/>
      <c r="D52" s="10"/>
      <c r="E52" s="10"/>
      <c r="F52" s="10"/>
      <c r="G52" s="10"/>
      <c r="H52" s="64"/>
      <c r="I52" s="10"/>
      <c r="J52" s="10"/>
      <c r="K52" s="10"/>
      <c r="L52" s="10"/>
      <c r="M52" s="10"/>
      <c r="N52" s="10"/>
      <c r="O52" s="64"/>
      <c r="P52" s="10"/>
      <c r="Q52" s="10"/>
      <c r="R52" s="10"/>
      <c r="S52" s="10"/>
      <c r="T52" s="10"/>
      <c r="U52" s="10"/>
      <c r="V52" s="10"/>
      <c r="W52" s="10"/>
      <c r="X52" s="10"/>
      <c r="Y52" s="10"/>
      <c r="Z52" s="10"/>
      <c r="AA52" s="10"/>
      <c r="AB52" s="10"/>
      <c r="AC52" s="10"/>
    </row>
    <row r="53" ht="15.75" customHeight="1">
      <c r="A53" s="10"/>
      <c r="B53" s="10"/>
      <c r="C53" s="10"/>
      <c r="D53" s="10"/>
      <c r="E53" s="10"/>
      <c r="F53" s="10"/>
      <c r="G53" s="10"/>
      <c r="H53" s="64"/>
      <c r="I53" s="10"/>
      <c r="J53" s="10"/>
      <c r="K53" s="10"/>
      <c r="L53" s="10"/>
      <c r="M53" s="10"/>
      <c r="N53" s="10"/>
      <c r="O53" s="64"/>
      <c r="P53" s="10"/>
      <c r="Q53" s="10"/>
      <c r="R53" s="10"/>
      <c r="S53" s="10"/>
      <c r="T53" s="10"/>
      <c r="U53" s="10"/>
      <c r="V53" s="10"/>
      <c r="W53" s="10"/>
      <c r="X53" s="10"/>
      <c r="Y53" s="10"/>
      <c r="Z53" s="10"/>
      <c r="AA53" s="10"/>
      <c r="AB53" s="10"/>
      <c r="AC53" s="10"/>
    </row>
    <row r="54" ht="15.75" customHeight="1">
      <c r="A54" s="10"/>
      <c r="B54" s="10"/>
      <c r="C54" s="10"/>
      <c r="D54" s="10"/>
      <c r="E54" s="10"/>
      <c r="F54" s="10"/>
      <c r="G54" s="10"/>
      <c r="H54" s="64"/>
      <c r="I54" s="10"/>
      <c r="J54" s="10"/>
      <c r="K54" s="10"/>
      <c r="L54" s="10"/>
      <c r="M54" s="10"/>
      <c r="N54" s="10"/>
      <c r="O54" s="64"/>
      <c r="P54" s="10"/>
      <c r="Q54" s="10"/>
      <c r="R54" s="10"/>
      <c r="S54" s="10"/>
      <c r="T54" s="10"/>
      <c r="U54" s="10"/>
      <c r="V54" s="10"/>
      <c r="W54" s="10"/>
      <c r="X54" s="10"/>
      <c r="Y54" s="10"/>
      <c r="Z54" s="10"/>
      <c r="AA54" s="10"/>
      <c r="AB54" s="10"/>
      <c r="AC54" s="10"/>
    </row>
    <row r="55" ht="15.75" customHeight="1">
      <c r="A55" s="10"/>
      <c r="B55" s="10"/>
      <c r="C55" s="10"/>
      <c r="D55" s="10"/>
      <c r="E55" s="10"/>
      <c r="F55" s="10"/>
      <c r="G55" s="10"/>
      <c r="H55" s="64"/>
      <c r="I55" s="10"/>
      <c r="J55" s="10"/>
      <c r="K55" s="10"/>
      <c r="L55" s="10"/>
      <c r="M55" s="10"/>
      <c r="N55" s="10"/>
      <c r="O55" s="64"/>
      <c r="P55" s="10"/>
      <c r="Q55" s="10"/>
      <c r="R55" s="10"/>
      <c r="S55" s="10"/>
      <c r="T55" s="10"/>
      <c r="U55" s="10"/>
      <c r="V55" s="10"/>
      <c r="W55" s="10"/>
      <c r="X55" s="10"/>
      <c r="Y55" s="10"/>
      <c r="Z55" s="10"/>
      <c r="AA55" s="10"/>
      <c r="AB55" s="10"/>
      <c r="AC55" s="10"/>
    </row>
    <row r="56" ht="15.75" customHeight="1">
      <c r="A56" s="10"/>
      <c r="B56" s="10"/>
      <c r="C56" s="10"/>
      <c r="D56" s="10"/>
      <c r="E56" s="10"/>
      <c r="F56" s="10"/>
      <c r="G56" s="10"/>
      <c r="H56" s="64"/>
      <c r="I56" s="10"/>
      <c r="J56" s="10"/>
      <c r="K56" s="10"/>
      <c r="L56" s="10"/>
      <c r="M56" s="10"/>
      <c r="N56" s="10"/>
      <c r="O56" s="64"/>
      <c r="P56" s="10"/>
      <c r="Q56" s="10"/>
      <c r="R56" s="10"/>
      <c r="S56" s="10"/>
      <c r="T56" s="10"/>
      <c r="U56" s="10"/>
      <c r="V56" s="10"/>
      <c r="W56" s="10"/>
      <c r="X56" s="10"/>
      <c r="Y56" s="10"/>
      <c r="Z56" s="10"/>
      <c r="AA56" s="10"/>
      <c r="AB56" s="10"/>
      <c r="AC56" s="10"/>
    </row>
    <row r="57" ht="15.75" customHeight="1">
      <c r="A57" s="10"/>
      <c r="B57" s="10"/>
      <c r="C57" s="10"/>
      <c r="D57" s="10"/>
      <c r="E57" s="10"/>
      <c r="F57" s="10"/>
      <c r="G57" s="10"/>
      <c r="H57" s="64"/>
      <c r="I57" s="10"/>
      <c r="J57" s="10"/>
      <c r="K57" s="10"/>
      <c r="L57" s="10"/>
      <c r="M57" s="10"/>
      <c r="N57" s="10"/>
      <c r="O57" s="64"/>
      <c r="P57" s="10"/>
      <c r="Q57" s="10"/>
      <c r="R57" s="10"/>
      <c r="S57" s="10"/>
      <c r="T57" s="10"/>
      <c r="U57" s="10"/>
      <c r="V57" s="10"/>
      <c r="W57" s="10"/>
      <c r="X57" s="10"/>
      <c r="Y57" s="10"/>
      <c r="Z57" s="10"/>
      <c r="AA57" s="10"/>
      <c r="AB57" s="10"/>
      <c r="AC57" s="10"/>
    </row>
    <row r="58" ht="15.75" customHeight="1">
      <c r="A58" s="10"/>
      <c r="B58" s="10"/>
      <c r="C58" s="10"/>
      <c r="D58" s="10"/>
      <c r="E58" s="10"/>
      <c r="F58" s="10"/>
      <c r="G58" s="10"/>
      <c r="H58" s="64"/>
      <c r="I58" s="10"/>
      <c r="J58" s="10"/>
      <c r="K58" s="10"/>
      <c r="L58" s="10"/>
      <c r="M58" s="10"/>
      <c r="N58" s="10"/>
      <c r="O58" s="64"/>
      <c r="P58" s="10"/>
      <c r="Q58" s="10"/>
      <c r="R58" s="10"/>
      <c r="S58" s="10"/>
      <c r="T58" s="10"/>
      <c r="U58" s="10"/>
      <c r="V58" s="10"/>
      <c r="W58" s="10"/>
      <c r="X58" s="10"/>
      <c r="Y58" s="10"/>
      <c r="Z58" s="10"/>
      <c r="AA58" s="10"/>
      <c r="AB58" s="10"/>
      <c r="AC58" s="10"/>
    </row>
    <row r="59" ht="15.75" customHeight="1">
      <c r="A59" s="10"/>
      <c r="B59" s="10"/>
      <c r="C59" s="10"/>
      <c r="D59" s="10"/>
      <c r="E59" s="10"/>
      <c r="F59" s="10"/>
      <c r="G59" s="10"/>
      <c r="H59" s="64"/>
      <c r="I59" s="10"/>
      <c r="J59" s="10"/>
      <c r="K59" s="10"/>
      <c r="L59" s="10"/>
      <c r="M59" s="10"/>
      <c r="N59" s="10"/>
      <c r="O59" s="64"/>
      <c r="P59" s="10"/>
      <c r="Q59" s="10"/>
      <c r="R59" s="10"/>
      <c r="S59" s="10"/>
      <c r="T59" s="10"/>
      <c r="U59" s="10"/>
      <c r="V59" s="10"/>
      <c r="W59" s="10"/>
      <c r="X59" s="10"/>
      <c r="Y59" s="10"/>
      <c r="Z59" s="10"/>
      <c r="AA59" s="10"/>
      <c r="AB59" s="10"/>
      <c r="AC59" s="10"/>
    </row>
    <row r="60" ht="15.75" customHeight="1">
      <c r="A60" s="10"/>
      <c r="B60" s="10"/>
      <c r="C60" s="10"/>
      <c r="D60" s="10"/>
      <c r="E60" s="10"/>
      <c r="F60" s="10"/>
      <c r="G60" s="10"/>
      <c r="H60" s="64"/>
      <c r="I60" s="10"/>
      <c r="J60" s="10"/>
      <c r="K60" s="10"/>
      <c r="L60" s="10"/>
      <c r="M60" s="10"/>
      <c r="N60" s="10"/>
      <c r="O60" s="64"/>
      <c r="P60" s="10"/>
      <c r="Q60" s="10"/>
      <c r="R60" s="10"/>
      <c r="S60" s="10"/>
      <c r="T60" s="10"/>
      <c r="U60" s="10"/>
      <c r="V60" s="10"/>
      <c r="W60" s="10"/>
      <c r="X60" s="10"/>
      <c r="Y60" s="10"/>
      <c r="Z60" s="10"/>
      <c r="AA60" s="10"/>
      <c r="AB60" s="10"/>
      <c r="AC60" s="10"/>
    </row>
    <row r="61" ht="15.75" customHeight="1">
      <c r="A61" s="10"/>
      <c r="B61" s="10"/>
      <c r="C61" s="10"/>
      <c r="D61" s="10"/>
      <c r="E61" s="10"/>
      <c r="F61" s="10"/>
      <c r="G61" s="10"/>
      <c r="H61" s="64"/>
      <c r="I61" s="10"/>
      <c r="J61" s="10"/>
      <c r="K61" s="10"/>
      <c r="L61" s="10"/>
      <c r="M61" s="10"/>
      <c r="N61" s="10"/>
      <c r="O61" s="64"/>
      <c r="P61" s="10"/>
      <c r="Q61" s="10"/>
      <c r="R61" s="10"/>
      <c r="S61" s="10"/>
      <c r="T61" s="10"/>
      <c r="U61" s="10"/>
      <c r="V61" s="10"/>
      <c r="W61" s="10"/>
      <c r="X61" s="10"/>
      <c r="Y61" s="10"/>
      <c r="Z61" s="10"/>
      <c r="AA61" s="10"/>
      <c r="AB61" s="10"/>
      <c r="AC61" s="10"/>
    </row>
    <row r="62" ht="15.75" customHeight="1">
      <c r="A62" s="10"/>
      <c r="B62" s="10"/>
      <c r="C62" s="10"/>
      <c r="D62" s="10"/>
      <c r="E62" s="10"/>
      <c r="F62" s="10"/>
      <c r="G62" s="10"/>
      <c r="H62" s="64"/>
      <c r="I62" s="10"/>
      <c r="J62" s="10"/>
      <c r="K62" s="10"/>
      <c r="L62" s="10"/>
      <c r="M62" s="10"/>
      <c r="N62" s="10"/>
      <c r="O62" s="64"/>
      <c r="P62" s="10"/>
      <c r="Q62" s="10"/>
      <c r="R62" s="10"/>
      <c r="S62" s="10"/>
      <c r="T62" s="10"/>
      <c r="U62" s="10"/>
      <c r="V62" s="10"/>
      <c r="W62" s="10"/>
      <c r="X62" s="10"/>
      <c r="Y62" s="10"/>
      <c r="Z62" s="10"/>
      <c r="AA62" s="10"/>
      <c r="AB62" s="10"/>
      <c r="AC62" s="10"/>
    </row>
    <row r="63" ht="15.75" customHeight="1">
      <c r="A63" s="10"/>
      <c r="B63" s="10"/>
      <c r="C63" s="10"/>
      <c r="D63" s="10"/>
      <c r="E63" s="10"/>
      <c r="F63" s="10"/>
      <c r="G63" s="10"/>
      <c r="H63" s="64"/>
      <c r="I63" s="10"/>
      <c r="J63" s="10"/>
      <c r="K63" s="10"/>
      <c r="L63" s="10"/>
      <c r="M63" s="10"/>
      <c r="N63" s="10"/>
      <c r="O63" s="64"/>
      <c r="P63" s="10"/>
      <c r="Q63" s="10"/>
      <c r="R63" s="10"/>
      <c r="S63" s="10"/>
      <c r="T63" s="10"/>
      <c r="U63" s="10"/>
      <c r="V63" s="10"/>
      <c r="W63" s="10"/>
      <c r="X63" s="10"/>
      <c r="Y63" s="10"/>
      <c r="Z63" s="10"/>
      <c r="AA63" s="10"/>
      <c r="AB63" s="10"/>
      <c r="AC63" s="10"/>
    </row>
    <row r="64" ht="15.75" customHeight="1">
      <c r="A64" s="10"/>
      <c r="B64" s="10"/>
      <c r="C64" s="10"/>
      <c r="D64" s="10"/>
      <c r="E64" s="10"/>
      <c r="F64" s="10"/>
      <c r="G64" s="10"/>
      <c r="H64" s="64"/>
      <c r="I64" s="10"/>
      <c r="J64" s="10"/>
      <c r="K64" s="10"/>
      <c r="L64" s="10"/>
      <c r="M64" s="10"/>
      <c r="N64" s="10"/>
      <c r="O64" s="64"/>
      <c r="P64" s="10"/>
      <c r="Q64" s="10"/>
      <c r="R64" s="10"/>
      <c r="S64" s="10"/>
      <c r="T64" s="10"/>
      <c r="U64" s="10"/>
      <c r="V64" s="10"/>
      <c r="W64" s="10"/>
      <c r="X64" s="10"/>
      <c r="Y64" s="10"/>
      <c r="Z64" s="10"/>
      <c r="AA64" s="10"/>
      <c r="AB64" s="10"/>
      <c r="AC64" s="10"/>
    </row>
    <row r="65" ht="15.75" customHeight="1">
      <c r="A65" s="10"/>
      <c r="B65" s="10"/>
      <c r="C65" s="10"/>
      <c r="D65" s="10"/>
      <c r="E65" s="10"/>
      <c r="F65" s="10"/>
      <c r="G65" s="10"/>
      <c r="H65" s="64"/>
      <c r="I65" s="10"/>
      <c r="J65" s="10"/>
      <c r="K65" s="10"/>
      <c r="L65" s="10"/>
      <c r="M65" s="10"/>
      <c r="N65" s="10"/>
      <c r="O65" s="64"/>
      <c r="P65" s="10"/>
      <c r="Q65" s="10"/>
      <c r="R65" s="10"/>
      <c r="S65" s="10"/>
      <c r="T65" s="10"/>
      <c r="U65" s="10"/>
      <c r="V65" s="10"/>
      <c r="W65" s="10"/>
      <c r="X65" s="10"/>
      <c r="Y65" s="10"/>
      <c r="Z65" s="10"/>
      <c r="AA65" s="10"/>
      <c r="AB65" s="10"/>
      <c r="AC65" s="10"/>
    </row>
    <row r="66" ht="15.0" customHeight="1">
      <c r="A66" s="90" t="s">
        <v>90</v>
      </c>
      <c r="B66" s="10"/>
      <c r="C66" s="10"/>
      <c r="D66" s="10"/>
      <c r="E66" s="10"/>
      <c r="F66" s="10"/>
      <c r="G66" s="10"/>
      <c r="H66" s="64"/>
      <c r="I66" s="10"/>
      <c r="J66" s="10"/>
      <c r="K66" s="10"/>
      <c r="L66" s="10"/>
      <c r="M66" s="10"/>
      <c r="N66" s="10"/>
      <c r="O66" s="64"/>
      <c r="P66" s="10"/>
      <c r="Q66" s="10"/>
      <c r="R66" s="10"/>
      <c r="S66" s="10"/>
      <c r="T66" s="10"/>
      <c r="U66" s="10"/>
      <c r="V66" s="10"/>
      <c r="W66" s="10"/>
      <c r="X66" s="10"/>
      <c r="Y66" s="10"/>
      <c r="Z66" s="10"/>
      <c r="AA66" s="10"/>
      <c r="AB66" s="10"/>
      <c r="AC66" s="10"/>
    </row>
    <row r="67" ht="15.0" customHeight="1">
      <c r="A67" s="90" t="s">
        <v>91</v>
      </c>
      <c r="B67" s="10"/>
      <c r="C67" s="10"/>
      <c r="D67" s="10"/>
      <c r="E67" s="10"/>
      <c r="F67" s="10"/>
      <c r="G67" s="10"/>
      <c r="H67" s="64"/>
      <c r="I67" s="10"/>
      <c r="J67" s="10"/>
      <c r="K67" s="10"/>
      <c r="L67" s="10"/>
      <c r="M67" s="10"/>
      <c r="N67" s="10"/>
      <c r="O67" s="64"/>
      <c r="P67" s="10"/>
      <c r="Q67" s="10"/>
      <c r="R67" s="10"/>
      <c r="S67" s="10"/>
      <c r="T67" s="10"/>
      <c r="U67" s="10"/>
      <c r="V67" s="10"/>
      <c r="W67" s="10"/>
      <c r="X67" s="10"/>
      <c r="Y67" s="10"/>
      <c r="Z67" s="10"/>
      <c r="AA67" s="10"/>
      <c r="AB67" s="10"/>
      <c r="AC67" s="10"/>
    </row>
    <row r="68" ht="15.0" customHeight="1">
      <c r="A68" s="90" t="s">
        <v>96</v>
      </c>
      <c r="B68" s="10"/>
      <c r="C68" s="10"/>
      <c r="D68" s="10"/>
      <c r="E68" s="10"/>
      <c r="F68" s="10"/>
      <c r="G68" s="10"/>
      <c r="H68" s="64"/>
      <c r="I68" s="10"/>
      <c r="J68" s="10"/>
      <c r="K68" s="10"/>
      <c r="L68" s="10"/>
      <c r="M68" s="10"/>
      <c r="N68" s="10"/>
      <c r="O68" s="64"/>
      <c r="P68" s="10"/>
      <c r="Q68" s="10"/>
      <c r="R68" s="10"/>
      <c r="S68" s="10"/>
      <c r="T68" s="10"/>
      <c r="U68" s="10"/>
      <c r="V68" s="10"/>
      <c r="W68" s="10"/>
      <c r="X68" s="10"/>
      <c r="Y68" s="10"/>
      <c r="Z68" s="10"/>
      <c r="AA68" s="10"/>
      <c r="AB68" s="10"/>
      <c r="AC68" s="10"/>
    </row>
    <row r="69" ht="15.0" customHeight="1">
      <c r="A69" s="90" t="s">
        <v>99</v>
      </c>
      <c r="B69" s="10"/>
      <c r="C69" s="10"/>
      <c r="D69" s="10"/>
      <c r="E69" s="10"/>
      <c r="F69" s="10"/>
      <c r="G69" s="10"/>
      <c r="H69" s="64"/>
      <c r="I69" s="10"/>
      <c r="J69" s="10"/>
      <c r="K69" s="10"/>
      <c r="L69" s="10"/>
      <c r="M69" s="10"/>
      <c r="N69" s="10"/>
      <c r="O69" s="64"/>
      <c r="P69" s="10"/>
      <c r="Q69" s="10"/>
      <c r="R69" s="10"/>
      <c r="S69" s="10"/>
      <c r="T69" s="10"/>
      <c r="U69" s="10"/>
      <c r="V69" s="10"/>
      <c r="W69" s="10"/>
      <c r="X69" s="10"/>
      <c r="Y69" s="10"/>
      <c r="Z69" s="10"/>
      <c r="AA69" s="10"/>
      <c r="AB69" s="10"/>
      <c r="AC69" s="10"/>
    </row>
    <row r="70" ht="15.0" customHeight="1">
      <c r="A70" s="90" t="s">
        <v>102</v>
      </c>
      <c r="B70" s="10"/>
      <c r="C70" s="10"/>
      <c r="D70" s="10"/>
      <c r="E70" s="10"/>
      <c r="F70" s="10"/>
      <c r="G70" s="10"/>
      <c r="H70" s="64"/>
      <c r="I70" s="10"/>
      <c r="J70" s="10"/>
      <c r="K70" s="10"/>
      <c r="L70" s="10"/>
      <c r="M70" s="10"/>
      <c r="N70" s="10"/>
      <c r="O70" s="64"/>
      <c r="P70" s="10"/>
      <c r="Q70" s="10"/>
      <c r="R70" s="10"/>
      <c r="S70" s="10"/>
      <c r="T70" s="10"/>
      <c r="U70" s="10"/>
      <c r="V70" s="10"/>
      <c r="W70" s="10"/>
      <c r="X70" s="10"/>
      <c r="Y70" s="10"/>
      <c r="Z70" s="10"/>
      <c r="AA70" s="10"/>
      <c r="AB70" s="10"/>
      <c r="AC70" s="10"/>
    </row>
    <row r="71" ht="15.0" customHeight="1">
      <c r="A71" s="90" t="s">
        <v>104</v>
      </c>
      <c r="B71" s="10"/>
      <c r="C71" s="10"/>
      <c r="D71" s="10"/>
      <c r="E71" s="10"/>
      <c r="F71" s="10"/>
      <c r="G71" s="10"/>
      <c r="H71" s="64"/>
      <c r="I71" s="10"/>
      <c r="J71" s="10"/>
      <c r="K71" s="10"/>
      <c r="L71" s="10"/>
      <c r="M71" s="10"/>
      <c r="N71" s="10"/>
      <c r="O71" s="64"/>
      <c r="P71" s="10"/>
      <c r="Q71" s="10"/>
      <c r="R71" s="10"/>
      <c r="S71" s="10"/>
      <c r="T71" s="10"/>
      <c r="U71" s="10"/>
      <c r="V71" s="10"/>
      <c r="W71" s="10"/>
      <c r="X71" s="10"/>
      <c r="Y71" s="10"/>
      <c r="Z71" s="10"/>
      <c r="AA71" s="10"/>
      <c r="AB71" s="10"/>
      <c r="AC71" s="10"/>
    </row>
    <row r="72" ht="15.0" customHeight="1">
      <c r="A72" s="90" t="s">
        <v>107</v>
      </c>
      <c r="B72" s="10"/>
      <c r="C72" s="10"/>
      <c r="D72" s="10"/>
      <c r="E72" s="10"/>
      <c r="F72" s="10"/>
      <c r="G72" s="10"/>
      <c r="H72" s="64"/>
      <c r="I72" s="10"/>
      <c r="J72" s="10"/>
      <c r="K72" s="10"/>
      <c r="L72" s="10"/>
      <c r="M72" s="10"/>
      <c r="N72" s="10"/>
      <c r="O72" s="64"/>
      <c r="P72" s="10"/>
      <c r="Q72" s="10"/>
      <c r="R72" s="10"/>
      <c r="S72" s="10"/>
      <c r="T72" s="10"/>
      <c r="U72" s="10"/>
      <c r="V72" s="10"/>
      <c r="W72" s="10"/>
      <c r="X72" s="10"/>
      <c r="Y72" s="10"/>
      <c r="Z72" s="10"/>
      <c r="AA72" s="10"/>
      <c r="AB72" s="10"/>
      <c r="AC72" s="10"/>
    </row>
    <row r="73" ht="15.0" customHeight="1">
      <c r="A73" s="90" t="s">
        <v>109</v>
      </c>
      <c r="B73" s="10"/>
      <c r="C73" s="10"/>
      <c r="D73" s="10"/>
      <c r="E73" s="10"/>
      <c r="F73" s="10"/>
      <c r="G73" s="10"/>
      <c r="H73" s="64"/>
      <c r="I73" s="10"/>
      <c r="J73" s="10"/>
      <c r="K73" s="10"/>
      <c r="L73" s="10"/>
      <c r="M73" s="10"/>
      <c r="N73" s="10"/>
      <c r="O73" s="64"/>
      <c r="P73" s="10"/>
      <c r="Q73" s="10"/>
      <c r="R73" s="10"/>
      <c r="S73" s="10"/>
      <c r="T73" s="10"/>
      <c r="U73" s="10"/>
      <c r="V73" s="10"/>
      <c r="W73" s="10"/>
      <c r="X73" s="10"/>
      <c r="Y73" s="10"/>
      <c r="Z73" s="10"/>
      <c r="AA73" s="10"/>
      <c r="AB73" s="10"/>
      <c r="AC73" s="10"/>
    </row>
    <row r="74" ht="15.0" customHeight="1">
      <c r="A74" s="66" t="s">
        <v>93</v>
      </c>
      <c r="B74" s="10"/>
      <c r="C74" s="10"/>
      <c r="D74" s="10"/>
      <c r="E74" s="10"/>
      <c r="F74" s="10"/>
      <c r="G74" s="10"/>
      <c r="H74" s="64"/>
      <c r="I74" s="10"/>
      <c r="J74" s="10"/>
      <c r="K74" s="10"/>
      <c r="L74" s="10"/>
      <c r="M74" s="10"/>
      <c r="N74" s="10"/>
      <c r="O74" s="64"/>
      <c r="P74" s="10"/>
      <c r="Q74" s="10"/>
      <c r="R74" s="10"/>
      <c r="S74" s="10"/>
      <c r="T74" s="10"/>
      <c r="U74" s="10"/>
      <c r="V74" s="10"/>
      <c r="W74" s="10"/>
      <c r="X74" s="10"/>
      <c r="Y74" s="10"/>
      <c r="Z74" s="10"/>
      <c r="AA74" s="10"/>
      <c r="AB74" s="10"/>
      <c r="AC74" s="10"/>
    </row>
    <row r="75" ht="15.0" customHeight="1">
      <c r="A75" s="90" t="s">
        <v>95</v>
      </c>
      <c r="B75" s="10"/>
      <c r="C75" s="10"/>
      <c r="D75" s="10"/>
      <c r="E75" s="10"/>
      <c r="F75" s="10"/>
      <c r="G75" s="10"/>
      <c r="H75" s="64"/>
      <c r="I75" s="10"/>
      <c r="J75" s="10"/>
      <c r="K75" s="10"/>
      <c r="L75" s="10"/>
      <c r="M75" s="10"/>
      <c r="N75" s="10"/>
      <c r="O75" s="64"/>
      <c r="P75" s="10"/>
      <c r="Q75" s="10"/>
      <c r="R75" s="10"/>
      <c r="S75" s="10"/>
      <c r="T75" s="10"/>
      <c r="U75" s="10"/>
      <c r="V75" s="10"/>
      <c r="W75" s="10"/>
      <c r="X75" s="10"/>
      <c r="Y75" s="10"/>
      <c r="Z75" s="10"/>
      <c r="AA75" s="10"/>
      <c r="AB75" s="10"/>
      <c r="AC75" s="10"/>
    </row>
    <row r="76" ht="15.0" customHeight="1">
      <c r="A76" s="66" t="s">
        <v>111</v>
      </c>
      <c r="B76" s="10"/>
      <c r="C76" s="10"/>
      <c r="D76" s="10"/>
      <c r="E76" s="10"/>
      <c r="F76" s="10"/>
      <c r="G76" s="10"/>
      <c r="H76" s="64"/>
      <c r="I76" s="10"/>
      <c r="J76" s="10"/>
      <c r="K76" s="10"/>
      <c r="L76" s="10"/>
      <c r="M76" s="10"/>
      <c r="N76" s="10"/>
      <c r="O76" s="64"/>
      <c r="P76" s="10"/>
      <c r="Q76" s="10"/>
      <c r="R76" s="10"/>
      <c r="S76" s="10"/>
      <c r="T76" s="10"/>
      <c r="U76" s="10"/>
      <c r="V76" s="10"/>
      <c r="W76" s="10"/>
      <c r="X76" s="10"/>
      <c r="Y76" s="10"/>
      <c r="Z76" s="10"/>
      <c r="AA76" s="10"/>
      <c r="AB76" s="10"/>
      <c r="AC76" s="10"/>
    </row>
    <row r="77" ht="15.0" customHeight="1">
      <c r="A77" s="90" t="s">
        <v>101</v>
      </c>
      <c r="B77" s="10"/>
      <c r="C77" s="10"/>
      <c r="D77" s="10"/>
      <c r="E77" s="10"/>
      <c r="F77" s="10"/>
      <c r="G77" s="10"/>
      <c r="H77" s="64"/>
      <c r="I77" s="10"/>
      <c r="J77" s="10"/>
      <c r="K77" s="10"/>
      <c r="L77" s="10"/>
      <c r="M77" s="10"/>
      <c r="N77" s="10"/>
      <c r="O77" s="64"/>
      <c r="P77" s="10"/>
      <c r="Q77" s="10"/>
      <c r="R77" s="10"/>
      <c r="S77" s="10"/>
      <c r="T77" s="10"/>
      <c r="U77" s="10"/>
      <c r="V77" s="10"/>
      <c r="W77" s="10"/>
      <c r="X77" s="10"/>
      <c r="Y77" s="10"/>
      <c r="Z77" s="10"/>
      <c r="AA77" s="10"/>
      <c r="AB77" s="10"/>
      <c r="AC77" s="10"/>
    </row>
    <row r="78" ht="15.0" customHeight="1">
      <c r="A78" s="90" t="s">
        <v>98</v>
      </c>
      <c r="B78" s="10"/>
      <c r="C78" s="10"/>
      <c r="D78" s="10"/>
      <c r="E78" s="10"/>
      <c r="F78" s="10"/>
      <c r="G78" s="10"/>
      <c r="H78" s="64"/>
      <c r="I78" s="10"/>
      <c r="J78" s="10"/>
      <c r="K78" s="10"/>
      <c r="L78" s="10"/>
      <c r="M78" s="10"/>
      <c r="N78" s="10"/>
      <c r="O78" s="64"/>
      <c r="P78" s="10"/>
      <c r="Q78" s="10"/>
      <c r="R78" s="10"/>
      <c r="S78" s="10"/>
      <c r="T78" s="10"/>
      <c r="U78" s="10"/>
      <c r="V78" s="10"/>
      <c r="W78" s="10"/>
      <c r="X78" s="10"/>
      <c r="Y78" s="10"/>
      <c r="Z78" s="10"/>
      <c r="AA78" s="10"/>
      <c r="AB78" s="10"/>
      <c r="AC78" s="10"/>
    </row>
    <row r="79" ht="15.0" customHeight="1">
      <c r="A79" s="66" t="s">
        <v>115</v>
      </c>
      <c r="B79" s="10"/>
      <c r="C79" s="10"/>
      <c r="D79" s="10"/>
      <c r="E79" s="10"/>
      <c r="F79" s="10"/>
      <c r="G79" s="10"/>
      <c r="H79" s="64"/>
      <c r="I79" s="10"/>
      <c r="J79" s="10"/>
      <c r="K79" s="10"/>
      <c r="L79" s="10"/>
      <c r="M79" s="10"/>
      <c r="N79" s="10"/>
      <c r="O79" s="64"/>
      <c r="P79" s="10"/>
      <c r="Q79" s="10"/>
      <c r="R79" s="10"/>
      <c r="S79" s="10"/>
      <c r="T79" s="10"/>
      <c r="U79" s="10"/>
      <c r="V79" s="10"/>
      <c r="W79" s="10"/>
      <c r="X79" s="10"/>
      <c r="Y79" s="10"/>
      <c r="Z79" s="10"/>
      <c r="AA79" s="10"/>
      <c r="AB79" s="10"/>
      <c r="AC79" s="10"/>
    </row>
    <row r="80" ht="15.0" customHeight="1">
      <c r="A80" s="66" t="s">
        <v>113</v>
      </c>
      <c r="B80" s="10"/>
      <c r="C80" s="10"/>
      <c r="D80" s="10"/>
      <c r="E80" s="10"/>
      <c r="F80" s="10"/>
      <c r="G80" s="10"/>
      <c r="H80" s="64"/>
      <c r="I80" s="10"/>
      <c r="J80" s="10"/>
      <c r="K80" s="10"/>
      <c r="L80" s="10"/>
      <c r="M80" s="10"/>
      <c r="N80" s="10"/>
      <c r="O80" s="64"/>
      <c r="P80" s="10"/>
      <c r="Q80" s="10"/>
      <c r="R80" s="10"/>
      <c r="S80" s="10"/>
      <c r="T80" s="10"/>
      <c r="U80" s="10"/>
      <c r="V80" s="10"/>
      <c r="W80" s="10"/>
      <c r="X80" s="10"/>
      <c r="Y80" s="10"/>
      <c r="Z80" s="10"/>
      <c r="AA80" s="10"/>
      <c r="AB80" s="10"/>
      <c r="AC80" s="10"/>
    </row>
    <row r="81" ht="15.0" customHeight="1">
      <c r="A81" s="90" t="s">
        <v>106</v>
      </c>
      <c r="B81" s="10"/>
      <c r="C81" s="10"/>
      <c r="D81" s="10"/>
      <c r="E81" s="10"/>
      <c r="F81" s="10"/>
      <c r="G81" s="10"/>
      <c r="H81" s="64"/>
      <c r="I81" s="10"/>
      <c r="J81" s="10"/>
      <c r="K81" s="10"/>
      <c r="L81" s="10"/>
      <c r="M81" s="10"/>
      <c r="N81" s="10"/>
      <c r="O81" s="64"/>
      <c r="P81" s="10"/>
      <c r="Q81" s="10"/>
      <c r="R81" s="10"/>
      <c r="S81" s="10"/>
      <c r="T81" s="10"/>
      <c r="U81" s="10"/>
      <c r="V81" s="10"/>
      <c r="W81" s="10"/>
      <c r="X81" s="10"/>
      <c r="Y81" s="10"/>
      <c r="Z81" s="10"/>
      <c r="AA81" s="10"/>
      <c r="AB81" s="10"/>
      <c r="AC81" s="10"/>
    </row>
    <row r="82" ht="15.75" customHeight="1">
      <c r="A82" s="10"/>
      <c r="B82" s="10"/>
      <c r="C82" s="10"/>
      <c r="D82" s="10"/>
      <c r="E82" s="10"/>
      <c r="F82" s="10"/>
      <c r="G82" s="10"/>
      <c r="H82" s="64"/>
      <c r="I82" s="10"/>
      <c r="J82" s="10"/>
      <c r="K82" s="10"/>
      <c r="L82" s="10"/>
      <c r="M82" s="10"/>
      <c r="N82" s="10"/>
      <c r="O82" s="64"/>
      <c r="P82" s="10"/>
      <c r="Q82" s="10"/>
      <c r="R82" s="10"/>
      <c r="S82" s="10"/>
      <c r="T82" s="10"/>
      <c r="U82" s="10"/>
      <c r="V82" s="10"/>
      <c r="W82" s="10"/>
      <c r="X82" s="10"/>
      <c r="Y82" s="10"/>
      <c r="Z82" s="10"/>
      <c r="AA82" s="10"/>
      <c r="AB82" s="10"/>
      <c r="AC82" s="10"/>
    </row>
    <row r="83" ht="15.75" customHeight="1">
      <c r="A83" s="10"/>
      <c r="B83" s="10"/>
      <c r="C83" s="10"/>
      <c r="D83" s="10"/>
      <c r="E83" s="10"/>
      <c r="F83" s="10"/>
      <c r="G83" s="10"/>
      <c r="H83" s="64"/>
      <c r="I83" s="10"/>
      <c r="J83" s="10"/>
      <c r="K83" s="10"/>
      <c r="L83" s="10"/>
      <c r="M83" s="10"/>
      <c r="N83" s="10"/>
      <c r="O83" s="64"/>
      <c r="P83" s="10"/>
      <c r="Q83" s="10"/>
      <c r="R83" s="10"/>
      <c r="S83" s="10"/>
      <c r="T83" s="10"/>
      <c r="U83" s="10"/>
      <c r="V83" s="10"/>
      <c r="W83" s="10"/>
      <c r="X83" s="10"/>
      <c r="Y83" s="10"/>
      <c r="Z83" s="10"/>
      <c r="AA83" s="10"/>
      <c r="AB83" s="10"/>
      <c r="AC83" s="10"/>
    </row>
    <row r="84" ht="15.75" customHeight="1">
      <c r="A84" s="10"/>
      <c r="B84" s="10"/>
      <c r="C84" s="10"/>
      <c r="D84" s="10"/>
      <c r="E84" s="10"/>
      <c r="F84" s="10"/>
      <c r="G84" s="10"/>
      <c r="H84" s="64"/>
      <c r="I84" s="10"/>
      <c r="J84" s="10"/>
      <c r="K84" s="10"/>
      <c r="L84" s="10"/>
      <c r="M84" s="10"/>
      <c r="N84" s="10"/>
      <c r="O84" s="64"/>
      <c r="P84" s="10"/>
      <c r="Q84" s="10"/>
      <c r="R84" s="10"/>
      <c r="S84" s="10"/>
      <c r="T84" s="10"/>
      <c r="U84" s="10"/>
      <c r="V84" s="10"/>
      <c r="W84" s="10"/>
      <c r="X84" s="10"/>
      <c r="Y84" s="10"/>
      <c r="Z84" s="10"/>
      <c r="AA84" s="10"/>
      <c r="AB84" s="10"/>
      <c r="AC84" s="10"/>
    </row>
    <row r="85" ht="15.75" customHeight="1">
      <c r="A85" s="10"/>
      <c r="B85" s="10"/>
      <c r="C85" s="10"/>
      <c r="D85" s="10"/>
      <c r="E85" s="10"/>
      <c r="F85" s="10"/>
      <c r="G85" s="10"/>
      <c r="H85" s="64"/>
      <c r="I85" s="10"/>
      <c r="J85" s="10"/>
      <c r="K85" s="10"/>
      <c r="L85" s="10"/>
      <c r="M85" s="10"/>
      <c r="N85" s="10"/>
      <c r="O85" s="64"/>
      <c r="P85" s="10"/>
      <c r="Q85" s="10"/>
      <c r="R85" s="10"/>
      <c r="S85" s="10"/>
      <c r="T85" s="10"/>
      <c r="U85" s="10"/>
      <c r="V85" s="10"/>
      <c r="W85" s="10"/>
      <c r="X85" s="10"/>
      <c r="Y85" s="10"/>
      <c r="Z85" s="10"/>
      <c r="AA85" s="10"/>
      <c r="AB85" s="10"/>
      <c r="AC85" s="10"/>
    </row>
    <row r="86" ht="15.75" customHeight="1">
      <c r="A86" s="10"/>
      <c r="B86" s="10"/>
      <c r="C86" s="10"/>
      <c r="D86" s="10"/>
      <c r="E86" s="10"/>
      <c r="F86" s="10"/>
      <c r="G86" s="10"/>
      <c r="H86" s="64"/>
      <c r="I86" s="10"/>
      <c r="J86" s="10"/>
      <c r="K86" s="10"/>
      <c r="L86" s="10"/>
      <c r="M86" s="10"/>
      <c r="N86" s="10"/>
      <c r="O86" s="64"/>
      <c r="P86" s="10"/>
      <c r="Q86" s="10"/>
      <c r="R86" s="10"/>
      <c r="S86" s="10"/>
      <c r="T86" s="10"/>
      <c r="U86" s="10"/>
      <c r="V86" s="10"/>
      <c r="W86" s="10"/>
      <c r="X86" s="10"/>
      <c r="Y86" s="10"/>
      <c r="Z86" s="10"/>
      <c r="AA86" s="10"/>
      <c r="AB86" s="10"/>
      <c r="AC86" s="10"/>
    </row>
    <row r="87" ht="15.75" customHeight="1">
      <c r="A87" s="10"/>
      <c r="B87" s="10"/>
      <c r="C87" s="10"/>
      <c r="D87" s="10"/>
      <c r="E87" s="10"/>
      <c r="F87" s="10"/>
      <c r="G87" s="10"/>
      <c r="H87" s="64"/>
      <c r="I87" s="10"/>
      <c r="J87" s="10"/>
      <c r="K87" s="10"/>
      <c r="L87" s="10"/>
      <c r="M87" s="10"/>
      <c r="N87" s="10"/>
      <c r="O87" s="64"/>
      <c r="P87" s="10"/>
      <c r="Q87" s="10"/>
      <c r="R87" s="10"/>
      <c r="S87" s="10"/>
      <c r="T87" s="10"/>
      <c r="U87" s="10"/>
      <c r="V87" s="10"/>
      <c r="W87" s="10"/>
      <c r="X87" s="10"/>
      <c r="Y87" s="10"/>
      <c r="Z87" s="10"/>
      <c r="AA87" s="10"/>
      <c r="AB87" s="10"/>
      <c r="AC87" s="10"/>
    </row>
    <row r="88" ht="15.75" customHeight="1">
      <c r="A88" s="10"/>
      <c r="B88" s="10"/>
      <c r="C88" s="10"/>
      <c r="D88" s="10"/>
      <c r="E88" s="10"/>
      <c r="F88" s="10"/>
      <c r="G88" s="10"/>
      <c r="H88" s="64"/>
      <c r="I88" s="10"/>
      <c r="J88" s="10"/>
      <c r="K88" s="10"/>
      <c r="L88" s="10"/>
      <c r="M88" s="10"/>
      <c r="N88" s="10"/>
      <c r="O88" s="64"/>
      <c r="P88" s="10"/>
      <c r="Q88" s="10"/>
      <c r="R88" s="10"/>
      <c r="S88" s="10"/>
      <c r="T88" s="10"/>
      <c r="U88" s="10"/>
      <c r="V88" s="10"/>
      <c r="W88" s="10"/>
      <c r="X88" s="10"/>
      <c r="Y88" s="10"/>
      <c r="Z88" s="10"/>
      <c r="AA88" s="10"/>
      <c r="AB88" s="10"/>
      <c r="AC88" s="10"/>
    </row>
    <row r="89" ht="15.75" customHeight="1">
      <c r="A89" s="10"/>
      <c r="B89" s="10"/>
      <c r="C89" s="10"/>
      <c r="D89" s="10"/>
      <c r="E89" s="10"/>
      <c r="F89" s="10"/>
      <c r="G89" s="10"/>
      <c r="H89" s="64"/>
      <c r="I89" s="10"/>
      <c r="J89" s="10"/>
      <c r="K89" s="10"/>
      <c r="L89" s="10"/>
      <c r="M89" s="10"/>
      <c r="N89" s="10"/>
      <c r="O89" s="64"/>
      <c r="P89" s="10"/>
      <c r="Q89" s="10"/>
      <c r="R89" s="10"/>
      <c r="S89" s="10"/>
      <c r="T89" s="10"/>
      <c r="U89" s="10"/>
      <c r="V89" s="10"/>
      <c r="W89" s="10"/>
      <c r="X89" s="10"/>
      <c r="Y89" s="10"/>
      <c r="Z89" s="10"/>
      <c r="AA89" s="10"/>
      <c r="AB89" s="10"/>
      <c r="AC89" s="10"/>
    </row>
    <row r="90" ht="15.75" customHeight="1">
      <c r="A90" s="10"/>
      <c r="B90" s="10"/>
      <c r="C90" s="10"/>
      <c r="D90" s="10"/>
      <c r="E90" s="10"/>
      <c r="F90" s="10"/>
      <c r="G90" s="10"/>
      <c r="H90" s="64"/>
      <c r="I90" s="10"/>
      <c r="J90" s="10"/>
      <c r="K90" s="10"/>
      <c r="L90" s="10"/>
      <c r="M90" s="10"/>
      <c r="N90" s="10"/>
      <c r="O90" s="64"/>
      <c r="P90" s="10"/>
      <c r="Q90" s="10"/>
      <c r="R90" s="10"/>
      <c r="S90" s="10"/>
      <c r="T90" s="10"/>
      <c r="U90" s="10"/>
      <c r="V90" s="10"/>
      <c r="W90" s="10"/>
      <c r="X90" s="10"/>
      <c r="Y90" s="10"/>
      <c r="Z90" s="10"/>
      <c r="AA90" s="10"/>
      <c r="AB90" s="10"/>
      <c r="AC90" s="10"/>
    </row>
    <row r="91" ht="15.75" customHeight="1">
      <c r="A91" s="10"/>
      <c r="B91" s="10"/>
      <c r="C91" s="10"/>
      <c r="D91" s="10"/>
      <c r="E91" s="10"/>
      <c r="F91" s="10"/>
      <c r="G91" s="10"/>
      <c r="H91" s="64"/>
      <c r="I91" s="10"/>
      <c r="J91" s="10"/>
      <c r="K91" s="10"/>
      <c r="L91" s="10"/>
      <c r="M91" s="10"/>
      <c r="N91" s="10"/>
      <c r="O91" s="64"/>
      <c r="P91" s="10"/>
      <c r="Q91" s="10"/>
      <c r="R91" s="10"/>
      <c r="S91" s="10"/>
      <c r="T91" s="10"/>
      <c r="U91" s="10"/>
      <c r="V91" s="10"/>
      <c r="W91" s="10"/>
      <c r="X91" s="10"/>
      <c r="Y91" s="10"/>
      <c r="Z91" s="10"/>
      <c r="AA91" s="10"/>
      <c r="AB91" s="10"/>
      <c r="AC91" s="10"/>
    </row>
    <row r="92" ht="15.75" customHeight="1">
      <c r="A92" s="10"/>
      <c r="B92" s="10"/>
      <c r="C92" s="10"/>
      <c r="D92" s="10"/>
      <c r="E92" s="10"/>
      <c r="F92" s="10"/>
      <c r="G92" s="10"/>
      <c r="H92" s="64"/>
      <c r="I92" s="10"/>
      <c r="J92" s="10"/>
      <c r="K92" s="10"/>
      <c r="L92" s="10"/>
      <c r="M92" s="10"/>
      <c r="N92" s="10"/>
      <c r="O92" s="64"/>
      <c r="P92" s="10"/>
      <c r="Q92" s="10"/>
      <c r="R92" s="10"/>
      <c r="S92" s="10"/>
      <c r="T92" s="10"/>
      <c r="U92" s="10"/>
      <c r="V92" s="10"/>
      <c r="W92" s="10"/>
      <c r="X92" s="10"/>
      <c r="Y92" s="10"/>
      <c r="Z92" s="10"/>
      <c r="AA92" s="10"/>
      <c r="AB92" s="10"/>
      <c r="AC92" s="10"/>
    </row>
    <row r="93" ht="15.75" customHeight="1">
      <c r="A93" s="10"/>
      <c r="B93" s="10"/>
      <c r="C93" s="10"/>
      <c r="D93" s="10"/>
      <c r="E93" s="10"/>
      <c r="F93" s="10"/>
      <c r="G93" s="10"/>
      <c r="H93" s="64"/>
      <c r="I93" s="10"/>
      <c r="J93" s="10"/>
      <c r="K93" s="10"/>
      <c r="L93" s="10"/>
      <c r="M93" s="10"/>
      <c r="N93" s="10"/>
      <c r="O93" s="64"/>
      <c r="P93" s="10"/>
      <c r="Q93" s="10"/>
      <c r="R93" s="10"/>
      <c r="S93" s="10"/>
      <c r="T93" s="10"/>
      <c r="U93" s="10"/>
      <c r="V93" s="10"/>
      <c r="W93" s="10"/>
      <c r="X93" s="10"/>
      <c r="Y93" s="10"/>
      <c r="Z93" s="10"/>
      <c r="AA93" s="10"/>
      <c r="AB93" s="10"/>
      <c r="AC93" s="10"/>
    </row>
    <row r="94" ht="15.75" customHeight="1">
      <c r="A94" s="10"/>
      <c r="B94" s="10"/>
      <c r="C94" s="10"/>
      <c r="D94" s="10"/>
      <c r="E94" s="10"/>
      <c r="F94" s="10"/>
      <c r="G94" s="10"/>
      <c r="H94" s="64"/>
      <c r="I94" s="10"/>
      <c r="J94" s="10"/>
      <c r="K94" s="10"/>
      <c r="L94" s="10"/>
      <c r="M94" s="10"/>
      <c r="N94" s="10"/>
      <c r="O94" s="64"/>
      <c r="P94" s="10"/>
      <c r="Q94" s="10"/>
      <c r="R94" s="10"/>
      <c r="S94" s="10"/>
      <c r="T94" s="10"/>
      <c r="U94" s="10"/>
      <c r="V94" s="10"/>
      <c r="W94" s="10"/>
      <c r="X94" s="10"/>
      <c r="Y94" s="10"/>
      <c r="Z94" s="10"/>
      <c r="AA94" s="10"/>
      <c r="AB94" s="10"/>
      <c r="AC94" s="10"/>
    </row>
    <row r="95" ht="15.75" customHeight="1">
      <c r="A95" s="10"/>
      <c r="B95" s="10"/>
      <c r="C95" s="10"/>
      <c r="D95" s="10"/>
      <c r="E95" s="10"/>
      <c r="F95" s="10"/>
      <c r="G95" s="10"/>
      <c r="H95" s="64"/>
      <c r="I95" s="10"/>
      <c r="J95" s="10"/>
      <c r="K95" s="10"/>
      <c r="L95" s="10"/>
      <c r="M95" s="10"/>
      <c r="N95" s="10"/>
      <c r="O95" s="64"/>
      <c r="P95" s="10"/>
      <c r="Q95" s="10"/>
      <c r="R95" s="10"/>
      <c r="S95" s="10"/>
      <c r="T95" s="10"/>
      <c r="U95" s="10"/>
      <c r="V95" s="10"/>
      <c r="W95" s="10"/>
      <c r="X95" s="10"/>
      <c r="Y95" s="10"/>
      <c r="Z95" s="10"/>
      <c r="AA95" s="10"/>
      <c r="AB95" s="10"/>
      <c r="AC95" s="10"/>
    </row>
    <row r="96" ht="15.75" customHeight="1">
      <c r="A96" s="10"/>
      <c r="B96" s="10"/>
      <c r="C96" s="10"/>
      <c r="D96" s="10"/>
      <c r="E96" s="10"/>
      <c r="F96" s="10"/>
      <c r="G96" s="10"/>
      <c r="H96" s="64"/>
      <c r="I96" s="10"/>
      <c r="J96" s="10"/>
      <c r="K96" s="10"/>
      <c r="L96" s="10"/>
      <c r="M96" s="10"/>
      <c r="N96" s="10"/>
      <c r="O96" s="64"/>
      <c r="P96" s="10"/>
      <c r="Q96" s="10"/>
      <c r="R96" s="10"/>
      <c r="S96" s="10"/>
      <c r="T96" s="10"/>
      <c r="U96" s="10"/>
      <c r="V96" s="10"/>
      <c r="W96" s="10"/>
      <c r="X96" s="10"/>
      <c r="Y96" s="10"/>
      <c r="Z96" s="10"/>
      <c r="AA96" s="10"/>
      <c r="AB96" s="10"/>
      <c r="AC96" s="10"/>
    </row>
    <row r="97" ht="15.75" customHeight="1">
      <c r="A97" s="10"/>
      <c r="B97" s="10"/>
      <c r="C97" s="10"/>
      <c r="D97" s="10"/>
      <c r="E97" s="10"/>
      <c r="F97" s="10"/>
      <c r="G97" s="10"/>
      <c r="H97" s="64"/>
      <c r="I97" s="10"/>
      <c r="J97" s="10"/>
      <c r="K97" s="10"/>
      <c r="L97" s="10"/>
      <c r="M97" s="10"/>
      <c r="N97" s="10"/>
      <c r="O97" s="64"/>
      <c r="P97" s="10"/>
      <c r="Q97" s="10"/>
      <c r="R97" s="10"/>
      <c r="S97" s="10"/>
      <c r="T97" s="10"/>
      <c r="U97" s="10"/>
      <c r="V97" s="10"/>
      <c r="W97" s="10"/>
      <c r="X97" s="10"/>
      <c r="Y97" s="10"/>
      <c r="Z97" s="10"/>
      <c r="AA97" s="10"/>
      <c r="AB97" s="10"/>
      <c r="AC97" s="10"/>
    </row>
    <row r="98" ht="15.75" customHeight="1">
      <c r="A98" s="10"/>
      <c r="B98" s="10"/>
      <c r="C98" s="10"/>
      <c r="D98" s="10"/>
      <c r="E98" s="10"/>
      <c r="F98" s="10"/>
      <c r="G98" s="10"/>
      <c r="H98" s="64"/>
      <c r="I98" s="10"/>
      <c r="J98" s="10"/>
      <c r="K98" s="10"/>
      <c r="L98" s="10"/>
      <c r="M98" s="10"/>
      <c r="N98" s="10"/>
      <c r="O98" s="64"/>
      <c r="P98" s="10"/>
      <c r="Q98" s="10"/>
      <c r="R98" s="10"/>
      <c r="S98" s="10"/>
      <c r="T98" s="10"/>
      <c r="U98" s="10"/>
      <c r="V98" s="10"/>
      <c r="W98" s="10"/>
      <c r="X98" s="10"/>
      <c r="Y98" s="10"/>
      <c r="Z98" s="10"/>
      <c r="AA98" s="10"/>
      <c r="AB98" s="10"/>
      <c r="AC98" s="10"/>
    </row>
    <row r="99" ht="15.75" customHeight="1">
      <c r="A99" s="10"/>
      <c r="B99" s="10"/>
      <c r="C99" s="10"/>
      <c r="D99" s="10"/>
      <c r="E99" s="10"/>
      <c r="F99" s="10"/>
      <c r="G99" s="10"/>
      <c r="H99" s="64"/>
      <c r="I99" s="10"/>
      <c r="J99" s="10"/>
      <c r="K99" s="10"/>
      <c r="L99" s="10"/>
      <c r="M99" s="10"/>
      <c r="N99" s="10"/>
      <c r="O99" s="64"/>
      <c r="P99" s="10"/>
      <c r="Q99" s="10"/>
      <c r="R99" s="10"/>
      <c r="S99" s="10"/>
      <c r="T99" s="10"/>
      <c r="U99" s="10"/>
      <c r="V99" s="10"/>
      <c r="W99" s="10"/>
      <c r="X99" s="10"/>
      <c r="Y99" s="10"/>
      <c r="Z99" s="10"/>
      <c r="AA99" s="10"/>
      <c r="AB99" s="10"/>
      <c r="AC99" s="10"/>
    </row>
    <row r="100" ht="15.75" customHeight="1">
      <c r="A100" s="10"/>
      <c r="B100" s="10"/>
      <c r="C100" s="10"/>
      <c r="D100" s="10"/>
      <c r="E100" s="10"/>
      <c r="F100" s="10"/>
      <c r="G100" s="10"/>
      <c r="H100" s="64"/>
      <c r="I100" s="10"/>
      <c r="J100" s="10"/>
      <c r="K100" s="10"/>
      <c r="L100" s="10"/>
      <c r="M100" s="10"/>
      <c r="N100" s="10"/>
      <c r="O100" s="64"/>
      <c r="P100" s="10"/>
      <c r="Q100" s="10"/>
      <c r="R100" s="10"/>
      <c r="S100" s="10"/>
      <c r="T100" s="10"/>
      <c r="U100" s="10"/>
      <c r="V100" s="10"/>
      <c r="W100" s="10"/>
      <c r="X100" s="10"/>
      <c r="Y100" s="10"/>
      <c r="Z100" s="10"/>
      <c r="AA100" s="10"/>
      <c r="AB100" s="10"/>
      <c r="AC100" s="10"/>
    </row>
    <row r="101" ht="15.75" customHeight="1">
      <c r="A101" s="10"/>
      <c r="B101" s="10"/>
      <c r="C101" s="10"/>
      <c r="D101" s="10"/>
      <c r="E101" s="10"/>
      <c r="F101" s="10"/>
      <c r="G101" s="10"/>
      <c r="H101" s="64"/>
      <c r="I101" s="10"/>
      <c r="J101" s="10"/>
      <c r="K101" s="10"/>
      <c r="L101" s="10"/>
      <c r="M101" s="10"/>
      <c r="N101" s="10"/>
      <c r="O101" s="64"/>
      <c r="P101" s="10"/>
      <c r="Q101" s="10"/>
      <c r="R101" s="10"/>
      <c r="S101" s="10"/>
      <c r="T101" s="10"/>
      <c r="U101" s="10"/>
      <c r="V101" s="10"/>
      <c r="W101" s="10"/>
      <c r="X101" s="10"/>
      <c r="Y101" s="10"/>
      <c r="Z101" s="10"/>
      <c r="AA101" s="10"/>
      <c r="AB101" s="10"/>
      <c r="AC101" s="10"/>
    </row>
    <row r="102" ht="15.75" customHeight="1">
      <c r="A102" s="10"/>
      <c r="B102" s="10"/>
      <c r="C102" s="10"/>
      <c r="D102" s="10"/>
      <c r="E102" s="10"/>
      <c r="F102" s="10"/>
      <c r="G102" s="10"/>
      <c r="H102" s="64"/>
      <c r="I102" s="10"/>
      <c r="J102" s="10"/>
      <c r="K102" s="10"/>
      <c r="L102" s="10"/>
      <c r="M102" s="10"/>
      <c r="N102" s="10"/>
      <c r="O102" s="64"/>
      <c r="P102" s="10"/>
      <c r="Q102" s="10"/>
      <c r="R102" s="10"/>
      <c r="S102" s="10"/>
      <c r="T102" s="10"/>
      <c r="U102" s="10"/>
      <c r="V102" s="10"/>
      <c r="W102" s="10"/>
      <c r="X102" s="10"/>
      <c r="Y102" s="10"/>
      <c r="Z102" s="10"/>
      <c r="AA102" s="10"/>
      <c r="AB102" s="10"/>
      <c r="AC102" s="10"/>
    </row>
    <row r="103" ht="15.75" customHeight="1">
      <c r="A103" s="10"/>
      <c r="B103" s="10"/>
      <c r="C103" s="10"/>
      <c r="D103" s="10"/>
      <c r="E103" s="10"/>
      <c r="F103" s="10"/>
      <c r="G103" s="10"/>
      <c r="H103" s="64"/>
      <c r="I103" s="10"/>
      <c r="J103" s="10"/>
      <c r="K103" s="10"/>
      <c r="L103" s="10"/>
      <c r="M103" s="10"/>
      <c r="N103" s="10"/>
      <c r="O103" s="64"/>
      <c r="P103" s="10"/>
      <c r="Q103" s="10"/>
      <c r="R103" s="10"/>
      <c r="S103" s="10"/>
      <c r="T103" s="10"/>
      <c r="U103" s="10"/>
      <c r="V103" s="10"/>
      <c r="W103" s="10"/>
      <c r="X103" s="10"/>
      <c r="Y103" s="10"/>
      <c r="Z103" s="10"/>
      <c r="AA103" s="10"/>
      <c r="AB103" s="10"/>
      <c r="AC103" s="10"/>
    </row>
    <row r="104" ht="15.75" customHeight="1">
      <c r="A104" s="10"/>
      <c r="B104" s="10"/>
      <c r="C104" s="10"/>
      <c r="D104" s="10"/>
      <c r="E104" s="10"/>
      <c r="F104" s="10"/>
      <c r="G104" s="10"/>
      <c r="H104" s="64"/>
      <c r="I104" s="10"/>
      <c r="J104" s="10"/>
      <c r="K104" s="10"/>
      <c r="L104" s="10"/>
      <c r="M104" s="10"/>
      <c r="N104" s="10"/>
      <c r="O104" s="64"/>
      <c r="P104" s="10"/>
      <c r="Q104" s="10"/>
      <c r="R104" s="10"/>
      <c r="S104" s="10"/>
      <c r="T104" s="10"/>
      <c r="U104" s="10"/>
      <c r="V104" s="10"/>
      <c r="W104" s="10"/>
      <c r="X104" s="10"/>
      <c r="Y104" s="10"/>
      <c r="Z104" s="10"/>
      <c r="AA104" s="10"/>
      <c r="AB104" s="10"/>
      <c r="AC104" s="10"/>
    </row>
    <row r="105" ht="15.75" customHeight="1">
      <c r="A105" s="10"/>
      <c r="B105" s="10"/>
      <c r="C105" s="10"/>
      <c r="D105" s="10"/>
      <c r="E105" s="10"/>
      <c r="F105" s="10"/>
      <c r="G105" s="10"/>
      <c r="H105" s="64"/>
      <c r="I105" s="10"/>
      <c r="J105" s="10"/>
      <c r="K105" s="10"/>
      <c r="L105" s="10"/>
      <c r="M105" s="10"/>
      <c r="N105" s="10"/>
      <c r="O105" s="64"/>
      <c r="P105" s="10"/>
      <c r="Q105" s="10"/>
      <c r="R105" s="10"/>
      <c r="S105" s="10"/>
      <c r="T105" s="10"/>
      <c r="U105" s="10"/>
      <c r="V105" s="10"/>
      <c r="W105" s="10"/>
      <c r="X105" s="10"/>
      <c r="Y105" s="10"/>
      <c r="Z105" s="10"/>
      <c r="AA105" s="10"/>
      <c r="AB105" s="10"/>
      <c r="AC105" s="10"/>
    </row>
    <row r="106" ht="15.75" customHeight="1">
      <c r="A106" s="10"/>
      <c r="B106" s="10"/>
      <c r="C106" s="10"/>
      <c r="D106" s="10"/>
      <c r="E106" s="10"/>
      <c r="F106" s="10"/>
      <c r="G106" s="10"/>
      <c r="H106" s="64"/>
      <c r="I106" s="10"/>
      <c r="J106" s="10"/>
      <c r="K106" s="10"/>
      <c r="L106" s="10"/>
      <c r="M106" s="10"/>
      <c r="N106" s="10"/>
      <c r="O106" s="64"/>
      <c r="P106" s="10"/>
      <c r="Q106" s="10"/>
      <c r="R106" s="10"/>
      <c r="S106" s="10"/>
      <c r="T106" s="10"/>
      <c r="U106" s="10"/>
      <c r="V106" s="10"/>
      <c r="W106" s="10"/>
      <c r="X106" s="10"/>
      <c r="Y106" s="10"/>
      <c r="Z106" s="10"/>
      <c r="AA106" s="10"/>
      <c r="AB106" s="10"/>
      <c r="AC106" s="10"/>
    </row>
    <row r="107" ht="15.75" customHeight="1">
      <c r="A107" s="10"/>
      <c r="B107" s="10"/>
      <c r="C107" s="10"/>
      <c r="D107" s="10"/>
      <c r="E107" s="10"/>
      <c r="F107" s="10"/>
      <c r="G107" s="10"/>
      <c r="H107" s="64"/>
      <c r="I107" s="10"/>
      <c r="J107" s="10"/>
      <c r="K107" s="10"/>
      <c r="L107" s="10"/>
      <c r="M107" s="10"/>
      <c r="N107" s="10"/>
      <c r="O107" s="64"/>
      <c r="P107" s="10"/>
      <c r="Q107" s="10"/>
      <c r="R107" s="10"/>
      <c r="S107" s="10"/>
      <c r="T107" s="10"/>
      <c r="U107" s="10"/>
      <c r="V107" s="10"/>
      <c r="W107" s="10"/>
      <c r="X107" s="10"/>
      <c r="Y107" s="10"/>
      <c r="Z107" s="10"/>
      <c r="AA107" s="10"/>
      <c r="AB107" s="10"/>
      <c r="AC107" s="10"/>
    </row>
    <row r="108" ht="15.75" customHeight="1">
      <c r="A108" s="10"/>
      <c r="B108" s="10"/>
      <c r="C108" s="10"/>
      <c r="D108" s="10"/>
      <c r="E108" s="10"/>
      <c r="F108" s="10"/>
      <c r="G108" s="10"/>
      <c r="H108" s="64"/>
      <c r="I108" s="10"/>
      <c r="J108" s="10"/>
      <c r="K108" s="10"/>
      <c r="L108" s="10"/>
      <c r="M108" s="10"/>
      <c r="N108" s="10"/>
      <c r="O108" s="64"/>
      <c r="P108" s="10"/>
      <c r="Q108" s="10"/>
      <c r="R108" s="10"/>
      <c r="S108" s="10"/>
      <c r="T108" s="10"/>
      <c r="U108" s="10"/>
      <c r="V108" s="10"/>
      <c r="W108" s="10"/>
      <c r="X108" s="10"/>
      <c r="Y108" s="10"/>
      <c r="Z108" s="10"/>
      <c r="AA108" s="10"/>
      <c r="AB108" s="10"/>
      <c r="AC108" s="10"/>
    </row>
    <row r="109" ht="15.75" customHeight="1">
      <c r="A109" s="10"/>
      <c r="B109" s="10"/>
      <c r="C109" s="10"/>
      <c r="D109" s="10"/>
      <c r="E109" s="10"/>
      <c r="F109" s="10"/>
      <c r="G109" s="10"/>
      <c r="H109" s="64"/>
      <c r="I109" s="10"/>
      <c r="J109" s="10"/>
      <c r="K109" s="10"/>
      <c r="L109" s="10"/>
      <c r="M109" s="10"/>
      <c r="N109" s="10"/>
      <c r="O109" s="64"/>
      <c r="P109" s="10"/>
      <c r="Q109" s="10"/>
      <c r="R109" s="10"/>
      <c r="S109" s="10"/>
      <c r="T109" s="10"/>
      <c r="U109" s="10"/>
      <c r="V109" s="10"/>
      <c r="W109" s="10"/>
      <c r="X109" s="10"/>
      <c r="Y109" s="10"/>
      <c r="Z109" s="10"/>
      <c r="AA109" s="10"/>
      <c r="AB109" s="10"/>
      <c r="AC109" s="10"/>
    </row>
    <row r="110" ht="15.75" customHeight="1">
      <c r="A110" s="10"/>
      <c r="B110" s="10"/>
      <c r="C110" s="10"/>
      <c r="D110" s="10"/>
      <c r="E110" s="10"/>
      <c r="F110" s="10"/>
      <c r="G110" s="10"/>
      <c r="H110" s="64"/>
      <c r="I110" s="10"/>
      <c r="J110" s="10"/>
      <c r="K110" s="10"/>
      <c r="L110" s="10"/>
      <c r="M110" s="10"/>
      <c r="N110" s="10"/>
      <c r="O110" s="64"/>
      <c r="P110" s="10"/>
      <c r="Q110" s="10"/>
      <c r="R110" s="10"/>
      <c r="S110" s="10"/>
      <c r="T110" s="10"/>
      <c r="U110" s="10"/>
      <c r="V110" s="10"/>
      <c r="W110" s="10"/>
      <c r="X110" s="10"/>
      <c r="Y110" s="10"/>
      <c r="Z110" s="10"/>
      <c r="AA110" s="10"/>
      <c r="AB110" s="10"/>
      <c r="AC110" s="10"/>
    </row>
    <row r="111" ht="15.75" customHeight="1">
      <c r="A111" s="10"/>
      <c r="B111" s="10"/>
      <c r="C111" s="10"/>
      <c r="D111" s="10"/>
      <c r="E111" s="10"/>
      <c r="F111" s="10"/>
      <c r="G111" s="10"/>
      <c r="H111" s="64"/>
      <c r="I111" s="10"/>
      <c r="J111" s="10"/>
      <c r="K111" s="10"/>
      <c r="L111" s="10"/>
      <c r="M111" s="10"/>
      <c r="N111" s="10"/>
      <c r="O111" s="64"/>
      <c r="P111" s="10"/>
      <c r="Q111" s="10"/>
      <c r="R111" s="10"/>
      <c r="S111" s="10"/>
      <c r="T111" s="10"/>
      <c r="U111" s="10"/>
      <c r="V111" s="10"/>
      <c r="W111" s="10"/>
      <c r="X111" s="10"/>
      <c r="Y111" s="10"/>
      <c r="Z111" s="10"/>
      <c r="AA111" s="10"/>
      <c r="AB111" s="10"/>
      <c r="AC111" s="10"/>
    </row>
    <row r="112" ht="15.75" customHeight="1">
      <c r="A112" s="10"/>
      <c r="B112" s="10"/>
      <c r="C112" s="10"/>
      <c r="D112" s="10"/>
      <c r="E112" s="10"/>
      <c r="F112" s="10"/>
      <c r="G112" s="10"/>
      <c r="H112" s="64"/>
      <c r="I112" s="10"/>
      <c r="J112" s="10"/>
      <c r="K112" s="10"/>
      <c r="L112" s="10"/>
      <c r="M112" s="10"/>
      <c r="N112" s="10"/>
      <c r="O112" s="64"/>
      <c r="P112" s="10"/>
      <c r="Q112" s="10"/>
      <c r="R112" s="10"/>
      <c r="S112" s="10"/>
      <c r="T112" s="10"/>
      <c r="U112" s="10"/>
      <c r="V112" s="10"/>
      <c r="W112" s="10"/>
      <c r="X112" s="10"/>
      <c r="Y112" s="10"/>
      <c r="Z112" s="10"/>
      <c r="AA112" s="10"/>
      <c r="AB112" s="10"/>
      <c r="AC112" s="10"/>
    </row>
    <row r="113" ht="15.75" customHeight="1">
      <c r="A113" s="10"/>
      <c r="B113" s="10"/>
      <c r="C113" s="10"/>
      <c r="D113" s="10"/>
      <c r="E113" s="10"/>
      <c r="F113" s="10"/>
      <c r="G113" s="10"/>
      <c r="H113" s="64"/>
      <c r="I113" s="10"/>
      <c r="J113" s="10"/>
      <c r="K113" s="10"/>
      <c r="L113" s="10"/>
      <c r="M113" s="10"/>
      <c r="N113" s="10"/>
      <c r="O113" s="64"/>
      <c r="P113" s="10"/>
      <c r="Q113" s="10"/>
      <c r="R113" s="10"/>
      <c r="S113" s="10"/>
      <c r="T113" s="10"/>
      <c r="U113" s="10"/>
      <c r="V113" s="10"/>
      <c r="W113" s="10"/>
      <c r="X113" s="10"/>
      <c r="Y113" s="10"/>
      <c r="Z113" s="10"/>
      <c r="AA113" s="10"/>
      <c r="AB113" s="10"/>
      <c r="AC113" s="10"/>
    </row>
    <row r="114" ht="15.75" customHeight="1">
      <c r="A114" s="10"/>
      <c r="B114" s="10"/>
      <c r="C114" s="10"/>
      <c r="D114" s="10"/>
      <c r="E114" s="10"/>
      <c r="F114" s="10"/>
      <c r="G114" s="10"/>
      <c r="H114" s="64"/>
      <c r="I114" s="10"/>
      <c r="J114" s="10"/>
      <c r="K114" s="10"/>
      <c r="L114" s="10"/>
      <c r="M114" s="10"/>
      <c r="N114" s="10"/>
      <c r="O114" s="64"/>
      <c r="P114" s="10"/>
      <c r="Q114" s="10"/>
      <c r="R114" s="10"/>
      <c r="S114" s="10"/>
      <c r="T114" s="10"/>
      <c r="U114" s="10"/>
      <c r="V114" s="10"/>
      <c r="W114" s="10"/>
      <c r="X114" s="10"/>
      <c r="Y114" s="10"/>
      <c r="Z114" s="10"/>
      <c r="AA114" s="10"/>
      <c r="AB114" s="10"/>
      <c r="AC114" s="10"/>
    </row>
    <row r="115" ht="15.75" customHeight="1">
      <c r="A115" s="10"/>
      <c r="B115" s="10"/>
      <c r="C115" s="10"/>
      <c r="D115" s="10"/>
      <c r="E115" s="10"/>
      <c r="F115" s="10"/>
      <c r="G115" s="10"/>
      <c r="H115" s="64"/>
      <c r="I115" s="10"/>
      <c r="J115" s="10"/>
      <c r="K115" s="10"/>
      <c r="L115" s="10"/>
      <c r="M115" s="10"/>
      <c r="N115" s="10"/>
      <c r="O115" s="64"/>
      <c r="P115" s="10"/>
      <c r="Q115" s="10"/>
      <c r="R115" s="10"/>
      <c r="S115" s="10"/>
      <c r="T115" s="10"/>
      <c r="U115" s="10"/>
      <c r="V115" s="10"/>
      <c r="W115" s="10"/>
      <c r="X115" s="10"/>
      <c r="Y115" s="10"/>
      <c r="Z115" s="10"/>
      <c r="AA115" s="10"/>
      <c r="AB115" s="10"/>
      <c r="AC115" s="10"/>
    </row>
    <row r="116" ht="15.75" customHeight="1">
      <c r="A116" s="10"/>
      <c r="B116" s="10"/>
      <c r="C116" s="10"/>
      <c r="D116" s="10"/>
      <c r="E116" s="10"/>
      <c r="F116" s="10"/>
      <c r="G116" s="10"/>
      <c r="H116" s="64"/>
      <c r="I116" s="10"/>
      <c r="J116" s="10"/>
      <c r="K116" s="10"/>
      <c r="L116" s="10"/>
      <c r="M116" s="10"/>
      <c r="N116" s="10"/>
      <c r="O116" s="64"/>
      <c r="P116" s="10"/>
      <c r="Q116" s="10"/>
      <c r="R116" s="10"/>
      <c r="S116" s="10"/>
      <c r="T116" s="10"/>
      <c r="U116" s="10"/>
      <c r="V116" s="10"/>
      <c r="W116" s="10"/>
      <c r="X116" s="10"/>
      <c r="Y116" s="10"/>
      <c r="Z116" s="10"/>
      <c r="AA116" s="10"/>
      <c r="AB116" s="10"/>
      <c r="AC116" s="10"/>
    </row>
    <row r="117" ht="15.75" customHeight="1">
      <c r="A117" s="10"/>
      <c r="B117" s="10"/>
      <c r="C117" s="10"/>
      <c r="D117" s="10"/>
      <c r="E117" s="10"/>
      <c r="F117" s="10"/>
      <c r="G117" s="10"/>
      <c r="H117" s="64"/>
      <c r="I117" s="10"/>
      <c r="J117" s="10"/>
      <c r="K117" s="10"/>
      <c r="L117" s="10"/>
      <c r="M117" s="10"/>
      <c r="N117" s="10"/>
      <c r="O117" s="64"/>
      <c r="P117" s="10"/>
      <c r="Q117" s="10"/>
      <c r="R117" s="10"/>
      <c r="S117" s="10"/>
      <c r="T117" s="10"/>
      <c r="U117" s="10"/>
      <c r="V117" s="10"/>
      <c r="W117" s="10"/>
      <c r="X117" s="10"/>
      <c r="Y117" s="10"/>
      <c r="Z117" s="10"/>
      <c r="AA117" s="10"/>
      <c r="AB117" s="10"/>
      <c r="AC117" s="10"/>
    </row>
    <row r="118" ht="15.75" customHeight="1">
      <c r="A118" s="10"/>
      <c r="B118" s="10"/>
      <c r="C118" s="10"/>
      <c r="D118" s="10"/>
      <c r="E118" s="10"/>
      <c r="F118" s="10"/>
      <c r="G118" s="10"/>
      <c r="H118" s="64"/>
      <c r="I118" s="10"/>
      <c r="J118" s="10"/>
      <c r="K118" s="10"/>
      <c r="L118" s="10"/>
      <c r="M118" s="10"/>
      <c r="N118" s="10"/>
      <c r="O118" s="64"/>
      <c r="P118" s="10"/>
      <c r="Q118" s="10"/>
      <c r="R118" s="10"/>
      <c r="S118" s="10"/>
      <c r="T118" s="10"/>
      <c r="U118" s="10"/>
      <c r="V118" s="10"/>
      <c r="W118" s="10"/>
      <c r="X118" s="10"/>
      <c r="Y118" s="10"/>
      <c r="Z118" s="10"/>
      <c r="AA118" s="10"/>
      <c r="AB118" s="10"/>
      <c r="AC118" s="10"/>
    </row>
    <row r="119" ht="15.75" customHeight="1">
      <c r="A119" s="10"/>
      <c r="B119" s="10"/>
      <c r="C119" s="10"/>
      <c r="D119" s="10"/>
      <c r="E119" s="10"/>
      <c r="F119" s="10"/>
      <c r="G119" s="10"/>
      <c r="H119" s="64"/>
      <c r="I119" s="10"/>
      <c r="J119" s="10"/>
      <c r="K119" s="10"/>
      <c r="L119" s="10"/>
      <c r="M119" s="10"/>
      <c r="N119" s="10"/>
      <c r="O119" s="64"/>
      <c r="P119" s="10"/>
      <c r="Q119" s="10"/>
      <c r="R119" s="10"/>
      <c r="S119" s="10"/>
      <c r="T119" s="10"/>
      <c r="U119" s="10"/>
      <c r="V119" s="10"/>
      <c r="W119" s="10"/>
      <c r="X119" s="10"/>
      <c r="Y119" s="10"/>
      <c r="Z119" s="10"/>
      <c r="AA119" s="10"/>
      <c r="AB119" s="10"/>
      <c r="AC119" s="10"/>
    </row>
    <row r="120" ht="15.75" customHeight="1">
      <c r="A120" s="10"/>
      <c r="B120" s="10"/>
      <c r="C120" s="10"/>
      <c r="D120" s="10"/>
      <c r="E120" s="10"/>
      <c r="F120" s="10"/>
      <c r="G120" s="10"/>
      <c r="H120" s="64"/>
      <c r="I120" s="10"/>
      <c r="J120" s="10"/>
      <c r="K120" s="10"/>
      <c r="L120" s="10"/>
      <c r="M120" s="10"/>
      <c r="N120" s="10"/>
      <c r="O120" s="64"/>
      <c r="P120" s="10"/>
      <c r="Q120" s="10"/>
      <c r="R120" s="10"/>
      <c r="S120" s="10"/>
      <c r="T120" s="10"/>
      <c r="U120" s="10"/>
      <c r="V120" s="10"/>
      <c r="W120" s="10"/>
      <c r="X120" s="10"/>
      <c r="Y120" s="10"/>
      <c r="Z120" s="10"/>
      <c r="AA120" s="10"/>
      <c r="AB120" s="10"/>
      <c r="AC120" s="10"/>
    </row>
    <row r="121" ht="15.75" customHeight="1">
      <c r="A121" s="10"/>
      <c r="B121" s="10"/>
      <c r="C121" s="10"/>
      <c r="D121" s="10"/>
      <c r="E121" s="10"/>
      <c r="F121" s="10"/>
      <c r="G121" s="10"/>
      <c r="H121" s="64"/>
      <c r="I121" s="10"/>
      <c r="J121" s="10"/>
      <c r="K121" s="10"/>
      <c r="L121" s="10"/>
      <c r="M121" s="10"/>
      <c r="N121" s="10"/>
      <c r="O121" s="64"/>
      <c r="P121" s="10"/>
      <c r="Q121" s="10"/>
      <c r="R121" s="10"/>
      <c r="S121" s="10"/>
      <c r="T121" s="10"/>
      <c r="U121" s="10"/>
      <c r="V121" s="10"/>
      <c r="W121" s="10"/>
      <c r="X121" s="10"/>
      <c r="Y121" s="10"/>
      <c r="Z121" s="10"/>
      <c r="AA121" s="10"/>
      <c r="AB121" s="10"/>
      <c r="AC121" s="10"/>
    </row>
    <row r="122" ht="15.75" customHeight="1">
      <c r="A122" s="10"/>
      <c r="B122" s="10"/>
      <c r="C122" s="10"/>
      <c r="D122" s="10"/>
      <c r="E122" s="10"/>
      <c r="F122" s="10"/>
      <c r="G122" s="10"/>
      <c r="H122" s="64"/>
      <c r="I122" s="10"/>
      <c r="J122" s="10"/>
      <c r="K122" s="10"/>
      <c r="L122" s="10"/>
      <c r="M122" s="10"/>
      <c r="N122" s="10"/>
      <c r="O122" s="64"/>
      <c r="P122" s="10"/>
      <c r="Q122" s="10"/>
      <c r="R122" s="10"/>
      <c r="S122" s="10"/>
      <c r="T122" s="10"/>
      <c r="U122" s="10"/>
      <c r="V122" s="10"/>
      <c r="W122" s="10"/>
      <c r="X122" s="10"/>
      <c r="Y122" s="10"/>
      <c r="Z122" s="10"/>
      <c r="AA122" s="10"/>
      <c r="AB122" s="10"/>
      <c r="AC122" s="10"/>
    </row>
    <row r="123" ht="15.75" customHeight="1">
      <c r="A123" s="10"/>
      <c r="B123" s="10"/>
      <c r="C123" s="10"/>
      <c r="D123" s="10"/>
      <c r="E123" s="10"/>
      <c r="F123" s="10"/>
      <c r="G123" s="10"/>
      <c r="H123" s="64"/>
      <c r="I123" s="10"/>
      <c r="J123" s="10"/>
      <c r="K123" s="10"/>
      <c r="L123" s="10"/>
      <c r="M123" s="10"/>
      <c r="N123" s="10"/>
      <c r="O123" s="64"/>
      <c r="P123" s="10"/>
      <c r="Q123" s="10"/>
      <c r="R123" s="10"/>
      <c r="S123" s="10"/>
      <c r="T123" s="10"/>
      <c r="U123" s="10"/>
      <c r="V123" s="10"/>
      <c r="W123" s="10"/>
      <c r="X123" s="10"/>
      <c r="Y123" s="10"/>
      <c r="Z123" s="10"/>
      <c r="AA123" s="10"/>
      <c r="AB123" s="10"/>
      <c r="AC123" s="10"/>
    </row>
    <row r="124" ht="15.75" customHeight="1">
      <c r="A124" s="10"/>
      <c r="B124" s="10"/>
      <c r="C124" s="10"/>
      <c r="D124" s="10"/>
      <c r="E124" s="10"/>
      <c r="F124" s="10"/>
      <c r="G124" s="10"/>
      <c r="H124" s="64"/>
      <c r="I124" s="10"/>
      <c r="J124" s="10"/>
      <c r="K124" s="10"/>
      <c r="L124" s="10"/>
      <c r="M124" s="10"/>
      <c r="N124" s="10"/>
      <c r="O124" s="64"/>
      <c r="P124" s="10"/>
      <c r="Q124" s="10"/>
      <c r="R124" s="10"/>
      <c r="S124" s="10"/>
      <c r="T124" s="10"/>
      <c r="U124" s="10"/>
      <c r="V124" s="10"/>
      <c r="W124" s="10"/>
      <c r="X124" s="10"/>
      <c r="Y124" s="10"/>
      <c r="Z124" s="10"/>
      <c r="AA124" s="10"/>
      <c r="AB124" s="10"/>
      <c r="AC124" s="10"/>
    </row>
    <row r="125" ht="15.75" customHeight="1">
      <c r="A125" s="10"/>
      <c r="B125" s="10"/>
      <c r="C125" s="10"/>
      <c r="D125" s="10"/>
      <c r="E125" s="10"/>
      <c r="F125" s="10"/>
      <c r="G125" s="10"/>
      <c r="H125" s="64"/>
      <c r="I125" s="10"/>
      <c r="J125" s="10"/>
      <c r="K125" s="10"/>
      <c r="L125" s="10"/>
      <c r="M125" s="10"/>
      <c r="N125" s="10"/>
      <c r="O125" s="64"/>
      <c r="P125" s="10"/>
      <c r="Q125" s="10"/>
      <c r="R125" s="10"/>
      <c r="S125" s="10"/>
      <c r="T125" s="10"/>
      <c r="U125" s="10"/>
      <c r="V125" s="10"/>
      <c r="W125" s="10"/>
      <c r="X125" s="10"/>
      <c r="Y125" s="10"/>
      <c r="Z125" s="10"/>
      <c r="AA125" s="10"/>
      <c r="AB125" s="10"/>
      <c r="AC125" s="10"/>
    </row>
    <row r="126" ht="15.75" customHeight="1">
      <c r="A126" s="10"/>
      <c r="B126" s="10"/>
      <c r="C126" s="10"/>
      <c r="D126" s="10"/>
      <c r="E126" s="10"/>
      <c r="F126" s="10"/>
      <c r="G126" s="10"/>
      <c r="H126" s="64"/>
      <c r="I126" s="10"/>
      <c r="J126" s="10"/>
      <c r="K126" s="10"/>
      <c r="L126" s="10"/>
      <c r="M126" s="10"/>
      <c r="N126" s="10"/>
      <c r="O126" s="64"/>
      <c r="P126" s="10"/>
      <c r="Q126" s="10"/>
      <c r="R126" s="10"/>
      <c r="S126" s="10"/>
      <c r="T126" s="10"/>
      <c r="U126" s="10"/>
      <c r="V126" s="10"/>
      <c r="W126" s="10"/>
      <c r="X126" s="10"/>
      <c r="Y126" s="10"/>
      <c r="Z126" s="10"/>
      <c r="AA126" s="10"/>
      <c r="AB126" s="10"/>
      <c r="AC126" s="10"/>
    </row>
    <row r="127" ht="15.75" customHeight="1">
      <c r="A127" s="10"/>
      <c r="B127" s="10"/>
      <c r="C127" s="10"/>
      <c r="D127" s="10"/>
      <c r="E127" s="10"/>
      <c r="F127" s="10"/>
      <c r="G127" s="10"/>
      <c r="H127" s="64"/>
      <c r="I127" s="10"/>
      <c r="J127" s="10"/>
      <c r="K127" s="10"/>
      <c r="L127" s="10"/>
      <c r="M127" s="10"/>
      <c r="N127" s="10"/>
      <c r="O127" s="64"/>
      <c r="P127" s="10"/>
      <c r="Q127" s="10"/>
      <c r="R127" s="10"/>
      <c r="S127" s="10"/>
      <c r="T127" s="10"/>
      <c r="U127" s="10"/>
      <c r="V127" s="10"/>
      <c r="W127" s="10"/>
      <c r="X127" s="10"/>
      <c r="Y127" s="10"/>
      <c r="Z127" s="10"/>
      <c r="AA127" s="10"/>
      <c r="AB127" s="10"/>
      <c r="AC127" s="10"/>
    </row>
    <row r="128" ht="15.75" customHeight="1">
      <c r="A128" s="10"/>
      <c r="B128" s="10"/>
      <c r="C128" s="10"/>
      <c r="D128" s="10"/>
      <c r="E128" s="10"/>
      <c r="F128" s="10"/>
      <c r="G128" s="10"/>
      <c r="H128" s="64"/>
      <c r="I128" s="10"/>
      <c r="J128" s="10"/>
      <c r="K128" s="10"/>
      <c r="L128" s="10"/>
      <c r="M128" s="10"/>
      <c r="N128" s="10"/>
      <c r="O128" s="64"/>
      <c r="P128" s="10"/>
      <c r="Q128" s="10"/>
      <c r="R128" s="10"/>
      <c r="S128" s="10"/>
      <c r="T128" s="10"/>
      <c r="U128" s="10"/>
      <c r="V128" s="10"/>
      <c r="W128" s="10"/>
      <c r="X128" s="10"/>
      <c r="Y128" s="10"/>
      <c r="Z128" s="10"/>
      <c r="AA128" s="10"/>
      <c r="AB128" s="10"/>
      <c r="AC128" s="10"/>
    </row>
    <row r="129" ht="15.75" customHeight="1">
      <c r="A129" s="10"/>
      <c r="B129" s="10"/>
      <c r="C129" s="10"/>
      <c r="D129" s="10"/>
      <c r="E129" s="10"/>
      <c r="F129" s="10"/>
      <c r="G129" s="10"/>
      <c r="H129" s="64"/>
      <c r="I129" s="10"/>
      <c r="J129" s="10"/>
      <c r="K129" s="10"/>
      <c r="L129" s="10"/>
      <c r="M129" s="10"/>
      <c r="N129" s="10"/>
      <c r="O129" s="64"/>
      <c r="P129" s="10"/>
      <c r="Q129" s="10"/>
      <c r="R129" s="10"/>
      <c r="S129" s="10"/>
      <c r="T129" s="10"/>
      <c r="U129" s="10"/>
      <c r="V129" s="10"/>
      <c r="W129" s="10"/>
      <c r="X129" s="10"/>
      <c r="Y129" s="10"/>
      <c r="Z129" s="10"/>
      <c r="AA129" s="10"/>
      <c r="AB129" s="10"/>
      <c r="AC129" s="10"/>
    </row>
    <row r="130" ht="15.75" customHeight="1">
      <c r="A130" s="10"/>
      <c r="B130" s="10"/>
      <c r="C130" s="10"/>
      <c r="D130" s="10"/>
      <c r="E130" s="10"/>
      <c r="F130" s="10"/>
      <c r="G130" s="10"/>
      <c r="H130" s="64"/>
      <c r="I130" s="10"/>
      <c r="J130" s="10"/>
      <c r="K130" s="10"/>
      <c r="L130" s="10"/>
      <c r="M130" s="10"/>
      <c r="N130" s="10"/>
      <c r="O130" s="64"/>
      <c r="P130" s="10"/>
      <c r="Q130" s="10"/>
      <c r="R130" s="10"/>
      <c r="S130" s="10"/>
      <c r="T130" s="10"/>
      <c r="U130" s="10"/>
      <c r="V130" s="10"/>
      <c r="W130" s="10"/>
      <c r="X130" s="10"/>
      <c r="Y130" s="10"/>
      <c r="Z130" s="10"/>
      <c r="AA130" s="10"/>
      <c r="AB130" s="10"/>
      <c r="AC130" s="10"/>
    </row>
    <row r="131" ht="15.75" customHeight="1">
      <c r="A131" s="10"/>
      <c r="B131" s="10"/>
      <c r="C131" s="10"/>
      <c r="D131" s="10"/>
      <c r="E131" s="10"/>
      <c r="F131" s="10"/>
      <c r="G131" s="10"/>
      <c r="H131" s="64"/>
      <c r="I131" s="10"/>
      <c r="J131" s="10"/>
      <c r="K131" s="10"/>
      <c r="L131" s="10"/>
      <c r="M131" s="10"/>
      <c r="N131" s="10"/>
      <c r="O131" s="64"/>
      <c r="P131" s="10"/>
      <c r="Q131" s="10"/>
      <c r="R131" s="10"/>
      <c r="S131" s="10"/>
      <c r="T131" s="10"/>
      <c r="U131" s="10"/>
      <c r="V131" s="10"/>
      <c r="W131" s="10"/>
      <c r="X131" s="10"/>
      <c r="Y131" s="10"/>
      <c r="Z131" s="10"/>
      <c r="AA131" s="10"/>
      <c r="AB131" s="10"/>
      <c r="AC131" s="10"/>
    </row>
    <row r="132" ht="15.75" customHeight="1">
      <c r="A132" s="10"/>
      <c r="B132" s="10"/>
      <c r="C132" s="10"/>
      <c r="D132" s="10"/>
      <c r="E132" s="10"/>
      <c r="F132" s="10"/>
      <c r="G132" s="10"/>
      <c r="H132" s="64"/>
      <c r="I132" s="10"/>
      <c r="J132" s="10"/>
      <c r="K132" s="10"/>
      <c r="L132" s="10"/>
      <c r="M132" s="10"/>
      <c r="N132" s="10"/>
      <c r="O132" s="64"/>
      <c r="P132" s="10"/>
      <c r="Q132" s="10"/>
      <c r="R132" s="10"/>
      <c r="S132" s="10"/>
      <c r="T132" s="10"/>
      <c r="U132" s="10"/>
      <c r="V132" s="10"/>
      <c r="W132" s="10"/>
      <c r="X132" s="10"/>
      <c r="Y132" s="10"/>
      <c r="Z132" s="10"/>
      <c r="AA132" s="10"/>
      <c r="AB132" s="10"/>
      <c r="AC132" s="10"/>
    </row>
    <row r="133" ht="15.75" customHeight="1">
      <c r="A133" s="10"/>
      <c r="B133" s="10"/>
      <c r="C133" s="10"/>
      <c r="D133" s="10"/>
      <c r="E133" s="10"/>
      <c r="F133" s="10"/>
      <c r="G133" s="10"/>
      <c r="H133" s="64"/>
      <c r="I133" s="10"/>
      <c r="J133" s="10"/>
      <c r="K133" s="10"/>
      <c r="L133" s="10"/>
      <c r="M133" s="10"/>
      <c r="N133" s="10"/>
      <c r="O133" s="64"/>
      <c r="P133" s="10"/>
      <c r="Q133" s="10"/>
      <c r="R133" s="10"/>
      <c r="S133" s="10"/>
      <c r="T133" s="10"/>
      <c r="U133" s="10"/>
      <c r="V133" s="10"/>
      <c r="W133" s="10"/>
      <c r="X133" s="10"/>
      <c r="Y133" s="10"/>
      <c r="Z133" s="10"/>
      <c r="AA133" s="10"/>
      <c r="AB133" s="10"/>
      <c r="AC133" s="10"/>
    </row>
    <row r="134" ht="15.75" customHeight="1">
      <c r="A134" s="10"/>
      <c r="B134" s="10"/>
      <c r="C134" s="10"/>
      <c r="D134" s="10"/>
      <c r="E134" s="10"/>
      <c r="F134" s="10"/>
      <c r="G134" s="10"/>
      <c r="H134" s="64"/>
      <c r="I134" s="10"/>
      <c r="J134" s="10"/>
      <c r="K134" s="10"/>
      <c r="L134" s="10"/>
      <c r="M134" s="10"/>
      <c r="N134" s="10"/>
      <c r="O134" s="64"/>
      <c r="P134" s="10"/>
      <c r="Q134" s="10"/>
      <c r="R134" s="10"/>
      <c r="S134" s="10"/>
      <c r="T134" s="10"/>
      <c r="U134" s="10"/>
      <c r="V134" s="10"/>
      <c r="W134" s="10"/>
      <c r="X134" s="10"/>
      <c r="Y134" s="10"/>
      <c r="Z134" s="10"/>
      <c r="AA134" s="10"/>
      <c r="AB134" s="10"/>
      <c r="AC134" s="10"/>
    </row>
    <row r="135" ht="15.75" customHeight="1">
      <c r="A135" s="10"/>
      <c r="B135" s="10"/>
      <c r="C135" s="10"/>
      <c r="D135" s="10"/>
      <c r="E135" s="10"/>
      <c r="F135" s="10"/>
      <c r="G135" s="10"/>
      <c r="H135" s="64"/>
      <c r="I135" s="10"/>
      <c r="J135" s="10"/>
      <c r="K135" s="10"/>
      <c r="L135" s="10"/>
      <c r="M135" s="10"/>
      <c r="N135" s="10"/>
      <c r="O135" s="64"/>
      <c r="P135" s="10"/>
      <c r="Q135" s="10"/>
      <c r="R135" s="10"/>
      <c r="S135" s="10"/>
      <c r="T135" s="10"/>
      <c r="U135" s="10"/>
      <c r="V135" s="10"/>
      <c r="W135" s="10"/>
      <c r="X135" s="10"/>
      <c r="Y135" s="10"/>
      <c r="Z135" s="10"/>
      <c r="AA135" s="10"/>
      <c r="AB135" s="10"/>
      <c r="AC135" s="10"/>
    </row>
    <row r="136" ht="15.75" customHeight="1">
      <c r="A136" s="10"/>
      <c r="B136" s="10"/>
      <c r="C136" s="10"/>
      <c r="D136" s="10"/>
      <c r="E136" s="10"/>
      <c r="F136" s="10"/>
      <c r="G136" s="10"/>
      <c r="H136" s="64"/>
      <c r="I136" s="10"/>
      <c r="J136" s="10"/>
      <c r="K136" s="10"/>
      <c r="L136" s="10"/>
      <c r="M136" s="10"/>
      <c r="N136" s="10"/>
      <c r="O136" s="64"/>
      <c r="P136" s="10"/>
      <c r="Q136" s="10"/>
      <c r="R136" s="10"/>
      <c r="S136" s="10"/>
      <c r="T136" s="10"/>
      <c r="U136" s="10"/>
      <c r="V136" s="10"/>
      <c r="W136" s="10"/>
      <c r="X136" s="10"/>
      <c r="Y136" s="10"/>
      <c r="Z136" s="10"/>
      <c r="AA136" s="10"/>
      <c r="AB136" s="10"/>
      <c r="AC136" s="10"/>
    </row>
    <row r="137" ht="15.75" customHeight="1">
      <c r="A137" s="10"/>
      <c r="B137" s="10"/>
      <c r="C137" s="10"/>
      <c r="D137" s="10"/>
      <c r="E137" s="10"/>
      <c r="F137" s="10"/>
      <c r="G137" s="10"/>
      <c r="H137" s="64"/>
      <c r="I137" s="10"/>
      <c r="J137" s="10"/>
      <c r="K137" s="10"/>
      <c r="L137" s="10"/>
      <c r="M137" s="10"/>
      <c r="N137" s="10"/>
      <c r="O137" s="64"/>
      <c r="P137" s="10"/>
      <c r="Q137" s="10"/>
      <c r="R137" s="10"/>
      <c r="S137" s="10"/>
      <c r="T137" s="10"/>
      <c r="U137" s="10"/>
      <c r="V137" s="10"/>
      <c r="W137" s="10"/>
      <c r="X137" s="10"/>
      <c r="Y137" s="10"/>
      <c r="Z137" s="10"/>
      <c r="AA137" s="10"/>
      <c r="AB137" s="10"/>
      <c r="AC137" s="10"/>
    </row>
    <row r="138" ht="15.75" customHeight="1">
      <c r="A138" s="10"/>
      <c r="B138" s="10"/>
      <c r="C138" s="10"/>
      <c r="D138" s="10"/>
      <c r="E138" s="10"/>
      <c r="F138" s="10"/>
      <c r="G138" s="10"/>
      <c r="H138" s="64"/>
      <c r="I138" s="10"/>
      <c r="J138" s="10"/>
      <c r="K138" s="10"/>
      <c r="L138" s="10"/>
      <c r="M138" s="10"/>
      <c r="N138" s="10"/>
      <c r="O138" s="64"/>
      <c r="P138" s="10"/>
      <c r="Q138" s="10"/>
      <c r="R138" s="10"/>
      <c r="S138" s="10"/>
      <c r="T138" s="10"/>
      <c r="U138" s="10"/>
      <c r="V138" s="10"/>
      <c r="W138" s="10"/>
      <c r="X138" s="10"/>
      <c r="Y138" s="10"/>
      <c r="Z138" s="10"/>
      <c r="AA138" s="10"/>
      <c r="AB138" s="10"/>
      <c r="AC138" s="10"/>
    </row>
    <row r="139" ht="15.75" customHeight="1">
      <c r="A139" s="10"/>
      <c r="B139" s="10"/>
      <c r="C139" s="10"/>
      <c r="D139" s="10"/>
      <c r="E139" s="10"/>
      <c r="F139" s="10"/>
      <c r="G139" s="10"/>
      <c r="H139" s="64"/>
      <c r="I139" s="10"/>
      <c r="J139" s="10"/>
      <c r="K139" s="10"/>
      <c r="L139" s="10"/>
      <c r="M139" s="10"/>
      <c r="N139" s="10"/>
      <c r="O139" s="64"/>
      <c r="P139" s="10"/>
      <c r="Q139" s="10"/>
      <c r="R139" s="10"/>
      <c r="S139" s="10"/>
      <c r="T139" s="10"/>
      <c r="U139" s="10"/>
      <c r="V139" s="10"/>
      <c r="W139" s="10"/>
      <c r="X139" s="10"/>
      <c r="Y139" s="10"/>
      <c r="Z139" s="10"/>
      <c r="AA139" s="10"/>
      <c r="AB139" s="10"/>
      <c r="AC139" s="10"/>
    </row>
    <row r="140" ht="15.75" customHeight="1">
      <c r="A140" s="10"/>
      <c r="B140" s="10"/>
      <c r="C140" s="10"/>
      <c r="D140" s="10"/>
      <c r="E140" s="10"/>
      <c r="F140" s="10"/>
      <c r="G140" s="10"/>
      <c r="H140" s="64"/>
      <c r="I140" s="10"/>
      <c r="J140" s="10"/>
      <c r="K140" s="10"/>
      <c r="L140" s="10"/>
      <c r="M140" s="10"/>
      <c r="N140" s="10"/>
      <c r="O140" s="64"/>
      <c r="P140" s="10"/>
      <c r="Q140" s="10"/>
      <c r="R140" s="10"/>
      <c r="S140" s="10"/>
      <c r="T140" s="10"/>
      <c r="U140" s="10"/>
      <c r="V140" s="10"/>
      <c r="W140" s="10"/>
      <c r="X140" s="10"/>
      <c r="Y140" s="10"/>
      <c r="Z140" s="10"/>
      <c r="AA140" s="10"/>
      <c r="AB140" s="10"/>
      <c r="AC140" s="10"/>
    </row>
    <row r="141" ht="15.75" customHeight="1">
      <c r="A141" s="10"/>
      <c r="B141" s="10"/>
      <c r="C141" s="10"/>
      <c r="D141" s="10"/>
      <c r="E141" s="10"/>
      <c r="F141" s="10"/>
      <c r="G141" s="10"/>
      <c r="H141" s="64"/>
      <c r="I141" s="10"/>
      <c r="J141" s="10"/>
      <c r="K141" s="10"/>
      <c r="L141" s="10"/>
      <c r="M141" s="10"/>
      <c r="N141" s="10"/>
      <c r="O141" s="64"/>
      <c r="P141" s="10"/>
      <c r="Q141" s="10"/>
      <c r="R141" s="10"/>
      <c r="S141" s="10"/>
      <c r="T141" s="10"/>
      <c r="U141" s="10"/>
      <c r="V141" s="10"/>
      <c r="W141" s="10"/>
      <c r="X141" s="10"/>
      <c r="Y141" s="10"/>
      <c r="Z141" s="10"/>
      <c r="AA141" s="10"/>
      <c r="AB141" s="10"/>
      <c r="AC141" s="10"/>
    </row>
    <row r="142" ht="15.75" customHeight="1">
      <c r="A142" s="10"/>
      <c r="B142" s="10"/>
      <c r="C142" s="10"/>
      <c r="D142" s="10"/>
      <c r="E142" s="10"/>
      <c r="F142" s="10"/>
      <c r="G142" s="10"/>
      <c r="H142" s="64"/>
      <c r="I142" s="10"/>
      <c r="J142" s="10"/>
      <c r="K142" s="10"/>
      <c r="L142" s="10"/>
      <c r="M142" s="10"/>
      <c r="N142" s="10"/>
      <c r="O142" s="64"/>
      <c r="P142" s="10"/>
      <c r="Q142" s="10"/>
      <c r="R142" s="10"/>
      <c r="S142" s="10"/>
      <c r="T142" s="10"/>
      <c r="U142" s="10"/>
      <c r="V142" s="10"/>
      <c r="W142" s="10"/>
      <c r="X142" s="10"/>
      <c r="Y142" s="10"/>
      <c r="Z142" s="10"/>
      <c r="AA142" s="10"/>
      <c r="AB142" s="10"/>
      <c r="AC142" s="10"/>
    </row>
    <row r="143" ht="15.75" customHeight="1">
      <c r="A143" s="10"/>
      <c r="B143" s="10"/>
      <c r="C143" s="10"/>
      <c r="D143" s="10"/>
      <c r="E143" s="10"/>
      <c r="F143" s="10"/>
      <c r="G143" s="10"/>
      <c r="H143" s="64"/>
      <c r="I143" s="10"/>
      <c r="J143" s="10"/>
      <c r="K143" s="10"/>
      <c r="L143" s="10"/>
      <c r="M143" s="10"/>
      <c r="N143" s="10"/>
      <c r="O143" s="64"/>
      <c r="P143" s="10"/>
      <c r="Q143" s="10"/>
      <c r="R143" s="10"/>
      <c r="S143" s="10"/>
      <c r="T143" s="10"/>
      <c r="U143" s="10"/>
      <c r="V143" s="10"/>
      <c r="W143" s="10"/>
      <c r="X143" s="10"/>
      <c r="Y143" s="10"/>
      <c r="Z143" s="10"/>
      <c r="AA143" s="10"/>
      <c r="AB143" s="10"/>
      <c r="AC143" s="10"/>
    </row>
    <row r="144" ht="15.75" customHeight="1">
      <c r="A144" s="10"/>
      <c r="B144" s="10"/>
      <c r="C144" s="10"/>
      <c r="D144" s="10"/>
      <c r="E144" s="10"/>
      <c r="F144" s="10"/>
      <c r="G144" s="10"/>
      <c r="H144" s="64"/>
      <c r="I144" s="10"/>
      <c r="J144" s="10"/>
      <c r="K144" s="10"/>
      <c r="L144" s="10"/>
      <c r="M144" s="10"/>
      <c r="N144" s="10"/>
      <c r="O144" s="64"/>
      <c r="P144" s="10"/>
      <c r="Q144" s="10"/>
      <c r="R144" s="10"/>
      <c r="S144" s="10"/>
      <c r="T144" s="10"/>
      <c r="U144" s="10"/>
      <c r="V144" s="10"/>
      <c r="W144" s="10"/>
      <c r="X144" s="10"/>
      <c r="Y144" s="10"/>
      <c r="Z144" s="10"/>
      <c r="AA144" s="10"/>
      <c r="AB144" s="10"/>
      <c r="AC144" s="10"/>
    </row>
    <row r="145" ht="15.75" customHeight="1">
      <c r="A145" s="10"/>
      <c r="B145" s="10"/>
      <c r="C145" s="10"/>
      <c r="D145" s="10"/>
      <c r="E145" s="10"/>
      <c r="F145" s="10"/>
      <c r="G145" s="10"/>
      <c r="H145" s="64"/>
      <c r="I145" s="10"/>
      <c r="J145" s="10"/>
      <c r="K145" s="10"/>
      <c r="L145" s="10"/>
      <c r="M145" s="10"/>
      <c r="N145" s="10"/>
      <c r="O145" s="64"/>
      <c r="P145" s="10"/>
      <c r="Q145" s="10"/>
      <c r="R145" s="10"/>
      <c r="S145" s="10"/>
      <c r="T145" s="10"/>
      <c r="U145" s="10"/>
      <c r="V145" s="10"/>
      <c r="W145" s="10"/>
      <c r="X145" s="10"/>
      <c r="Y145" s="10"/>
      <c r="Z145" s="10"/>
      <c r="AA145" s="10"/>
      <c r="AB145" s="10"/>
      <c r="AC145" s="10"/>
    </row>
    <row r="146" ht="15.75" customHeight="1">
      <c r="A146" s="10"/>
      <c r="B146" s="10"/>
      <c r="C146" s="10"/>
      <c r="D146" s="10"/>
      <c r="E146" s="10"/>
      <c r="F146" s="10"/>
      <c r="G146" s="10"/>
      <c r="H146" s="64"/>
      <c r="I146" s="10"/>
      <c r="J146" s="10"/>
      <c r="K146" s="10"/>
      <c r="L146" s="10"/>
      <c r="M146" s="10"/>
      <c r="N146" s="10"/>
      <c r="O146" s="64"/>
      <c r="P146" s="10"/>
      <c r="Q146" s="10"/>
      <c r="R146" s="10"/>
      <c r="S146" s="10"/>
      <c r="T146" s="10"/>
      <c r="U146" s="10"/>
      <c r="V146" s="10"/>
      <c r="W146" s="10"/>
      <c r="X146" s="10"/>
      <c r="Y146" s="10"/>
      <c r="Z146" s="10"/>
      <c r="AA146" s="10"/>
      <c r="AB146" s="10"/>
      <c r="AC146" s="10"/>
    </row>
    <row r="147" ht="15.75" customHeight="1">
      <c r="A147" s="10"/>
      <c r="B147" s="10"/>
      <c r="C147" s="10"/>
      <c r="D147" s="10"/>
      <c r="E147" s="10"/>
      <c r="F147" s="10"/>
      <c r="G147" s="10"/>
      <c r="H147" s="64"/>
      <c r="I147" s="10"/>
      <c r="J147" s="10"/>
      <c r="K147" s="10"/>
      <c r="L147" s="10"/>
      <c r="M147" s="10"/>
      <c r="N147" s="10"/>
      <c r="O147" s="64"/>
      <c r="P147" s="10"/>
      <c r="Q147" s="10"/>
      <c r="R147" s="10"/>
      <c r="S147" s="10"/>
      <c r="T147" s="10"/>
      <c r="U147" s="10"/>
      <c r="V147" s="10"/>
      <c r="W147" s="10"/>
      <c r="X147" s="10"/>
      <c r="Y147" s="10"/>
      <c r="Z147" s="10"/>
      <c r="AA147" s="10"/>
      <c r="AB147" s="10"/>
      <c r="AC147" s="10"/>
    </row>
    <row r="148" ht="15.75" customHeight="1">
      <c r="A148" s="10"/>
      <c r="B148" s="10"/>
      <c r="C148" s="10"/>
      <c r="D148" s="10"/>
      <c r="E148" s="10"/>
      <c r="F148" s="10"/>
      <c r="G148" s="10"/>
      <c r="H148" s="64"/>
      <c r="I148" s="10"/>
      <c r="J148" s="10"/>
      <c r="K148" s="10"/>
      <c r="L148" s="10"/>
      <c r="M148" s="10"/>
      <c r="N148" s="10"/>
      <c r="O148" s="64"/>
      <c r="P148" s="10"/>
      <c r="Q148" s="10"/>
      <c r="R148" s="10"/>
      <c r="S148" s="10"/>
      <c r="T148" s="10"/>
      <c r="U148" s="10"/>
      <c r="V148" s="10"/>
      <c r="W148" s="10"/>
      <c r="X148" s="10"/>
      <c r="Y148" s="10"/>
      <c r="Z148" s="10"/>
      <c r="AA148" s="10"/>
      <c r="AB148" s="10"/>
      <c r="AC148" s="10"/>
    </row>
    <row r="149" ht="15.75" customHeight="1">
      <c r="A149" s="10"/>
      <c r="B149" s="10"/>
      <c r="C149" s="10"/>
      <c r="D149" s="10"/>
      <c r="E149" s="10"/>
      <c r="F149" s="10"/>
      <c r="G149" s="10"/>
      <c r="H149" s="64"/>
      <c r="I149" s="10"/>
      <c r="J149" s="10"/>
      <c r="K149" s="10"/>
      <c r="L149" s="10"/>
      <c r="M149" s="10"/>
      <c r="N149" s="10"/>
      <c r="O149" s="64"/>
      <c r="P149" s="10"/>
      <c r="Q149" s="10"/>
      <c r="R149" s="10"/>
      <c r="S149" s="10"/>
      <c r="T149" s="10"/>
      <c r="U149" s="10"/>
      <c r="V149" s="10"/>
      <c r="W149" s="10"/>
      <c r="X149" s="10"/>
      <c r="Y149" s="10"/>
      <c r="Z149" s="10"/>
      <c r="AA149" s="10"/>
      <c r="AB149" s="10"/>
      <c r="AC149" s="10"/>
    </row>
    <row r="150" ht="15.75" customHeight="1">
      <c r="A150" s="10"/>
      <c r="B150" s="10"/>
      <c r="C150" s="10"/>
      <c r="D150" s="10"/>
      <c r="E150" s="10"/>
      <c r="F150" s="10"/>
      <c r="G150" s="10"/>
      <c r="H150" s="64"/>
      <c r="I150" s="10"/>
      <c r="J150" s="10"/>
      <c r="K150" s="10"/>
      <c r="L150" s="10"/>
      <c r="M150" s="10"/>
      <c r="N150" s="10"/>
      <c r="O150" s="64"/>
      <c r="P150" s="10"/>
      <c r="Q150" s="10"/>
      <c r="R150" s="10"/>
      <c r="S150" s="10"/>
      <c r="T150" s="10"/>
      <c r="U150" s="10"/>
      <c r="V150" s="10"/>
      <c r="W150" s="10"/>
      <c r="X150" s="10"/>
      <c r="Y150" s="10"/>
      <c r="Z150" s="10"/>
      <c r="AA150" s="10"/>
      <c r="AB150" s="10"/>
      <c r="AC150" s="10"/>
    </row>
    <row r="151" ht="15.75" customHeight="1">
      <c r="A151" s="10"/>
      <c r="B151" s="10"/>
      <c r="C151" s="10"/>
      <c r="D151" s="10"/>
      <c r="E151" s="10"/>
      <c r="F151" s="10"/>
      <c r="G151" s="10"/>
      <c r="H151" s="64"/>
      <c r="I151" s="10"/>
      <c r="J151" s="10"/>
      <c r="K151" s="10"/>
      <c r="L151" s="10"/>
      <c r="M151" s="10"/>
      <c r="N151" s="10"/>
      <c r="O151" s="64"/>
      <c r="P151" s="10"/>
      <c r="Q151" s="10"/>
      <c r="R151" s="10"/>
      <c r="S151" s="10"/>
      <c r="T151" s="10"/>
      <c r="U151" s="10"/>
      <c r="V151" s="10"/>
      <c r="W151" s="10"/>
      <c r="X151" s="10"/>
      <c r="Y151" s="10"/>
      <c r="Z151" s="10"/>
      <c r="AA151" s="10"/>
      <c r="AB151" s="10"/>
      <c r="AC151" s="10"/>
    </row>
    <row r="152" ht="15.75" customHeight="1">
      <c r="A152" s="10"/>
      <c r="B152" s="10"/>
      <c r="C152" s="10"/>
      <c r="D152" s="10"/>
      <c r="E152" s="10"/>
      <c r="F152" s="10"/>
      <c r="G152" s="10"/>
      <c r="H152" s="64"/>
      <c r="I152" s="10"/>
      <c r="J152" s="10"/>
      <c r="K152" s="10"/>
      <c r="L152" s="10"/>
      <c r="M152" s="10"/>
      <c r="N152" s="10"/>
      <c r="O152" s="64"/>
      <c r="P152" s="10"/>
      <c r="Q152" s="10"/>
      <c r="R152" s="10"/>
      <c r="S152" s="10"/>
      <c r="T152" s="10"/>
      <c r="U152" s="10"/>
      <c r="V152" s="10"/>
      <c r="W152" s="10"/>
      <c r="X152" s="10"/>
      <c r="Y152" s="10"/>
      <c r="Z152" s="10"/>
      <c r="AA152" s="10"/>
      <c r="AB152" s="10"/>
      <c r="AC152" s="10"/>
    </row>
    <row r="153" ht="15.75" customHeight="1">
      <c r="A153" s="10"/>
      <c r="B153" s="10"/>
      <c r="C153" s="10"/>
      <c r="D153" s="10"/>
      <c r="E153" s="10"/>
      <c r="F153" s="10"/>
      <c r="G153" s="10"/>
      <c r="H153" s="64"/>
      <c r="I153" s="10"/>
      <c r="J153" s="10"/>
      <c r="K153" s="10"/>
      <c r="L153" s="10"/>
      <c r="M153" s="10"/>
      <c r="N153" s="10"/>
      <c r="O153" s="64"/>
      <c r="P153" s="10"/>
      <c r="Q153" s="10"/>
      <c r="R153" s="10"/>
      <c r="S153" s="10"/>
      <c r="T153" s="10"/>
      <c r="U153" s="10"/>
      <c r="V153" s="10"/>
      <c r="W153" s="10"/>
      <c r="X153" s="10"/>
      <c r="Y153" s="10"/>
      <c r="Z153" s="10"/>
      <c r="AA153" s="10"/>
      <c r="AB153" s="10"/>
      <c r="AC153" s="10"/>
    </row>
    <row r="154" ht="15.75" customHeight="1">
      <c r="A154" s="10"/>
      <c r="B154" s="10"/>
      <c r="C154" s="10"/>
      <c r="D154" s="10"/>
      <c r="E154" s="10"/>
      <c r="F154" s="10"/>
      <c r="G154" s="10"/>
      <c r="H154" s="64"/>
      <c r="I154" s="10"/>
      <c r="J154" s="10"/>
      <c r="K154" s="10"/>
      <c r="L154" s="10"/>
      <c r="M154" s="10"/>
      <c r="N154" s="10"/>
      <c r="O154" s="64"/>
      <c r="P154" s="10"/>
      <c r="Q154" s="10"/>
      <c r="R154" s="10"/>
      <c r="S154" s="10"/>
      <c r="T154" s="10"/>
      <c r="U154" s="10"/>
      <c r="V154" s="10"/>
      <c r="W154" s="10"/>
      <c r="X154" s="10"/>
      <c r="Y154" s="10"/>
      <c r="Z154" s="10"/>
      <c r="AA154" s="10"/>
      <c r="AB154" s="10"/>
      <c r="AC154" s="10"/>
    </row>
    <row r="155" ht="15.75" customHeight="1">
      <c r="A155" s="10"/>
      <c r="B155" s="10"/>
      <c r="C155" s="10"/>
      <c r="D155" s="10"/>
      <c r="E155" s="10"/>
      <c r="F155" s="10"/>
      <c r="G155" s="10"/>
      <c r="H155" s="64"/>
      <c r="I155" s="10"/>
      <c r="J155" s="10"/>
      <c r="K155" s="10"/>
      <c r="L155" s="10"/>
      <c r="M155" s="10"/>
      <c r="N155" s="10"/>
      <c r="O155" s="64"/>
      <c r="P155" s="10"/>
      <c r="Q155" s="10"/>
      <c r="R155" s="10"/>
      <c r="S155" s="10"/>
      <c r="T155" s="10"/>
      <c r="U155" s="10"/>
      <c r="V155" s="10"/>
      <c r="W155" s="10"/>
      <c r="X155" s="10"/>
      <c r="Y155" s="10"/>
      <c r="Z155" s="10"/>
      <c r="AA155" s="10"/>
      <c r="AB155" s="10"/>
      <c r="AC155" s="10"/>
    </row>
    <row r="156" ht="15.75" customHeight="1">
      <c r="A156" s="10"/>
      <c r="B156" s="10"/>
      <c r="C156" s="10"/>
      <c r="D156" s="10"/>
      <c r="E156" s="10"/>
      <c r="F156" s="10"/>
      <c r="G156" s="10"/>
      <c r="H156" s="64"/>
      <c r="I156" s="10"/>
      <c r="J156" s="10"/>
      <c r="K156" s="10"/>
      <c r="L156" s="10"/>
      <c r="M156" s="10"/>
      <c r="N156" s="10"/>
      <c r="O156" s="64"/>
      <c r="P156" s="10"/>
      <c r="Q156" s="10"/>
      <c r="R156" s="10"/>
      <c r="S156" s="10"/>
      <c r="T156" s="10"/>
      <c r="U156" s="10"/>
      <c r="V156" s="10"/>
      <c r="W156" s="10"/>
      <c r="X156" s="10"/>
      <c r="Y156" s="10"/>
      <c r="Z156" s="10"/>
      <c r="AA156" s="10"/>
      <c r="AB156" s="10"/>
      <c r="AC156" s="10"/>
    </row>
    <row r="157" ht="15.75" customHeight="1">
      <c r="A157" s="10"/>
      <c r="B157" s="10"/>
      <c r="C157" s="10"/>
      <c r="D157" s="10"/>
      <c r="E157" s="10"/>
      <c r="F157" s="10"/>
      <c r="G157" s="10"/>
      <c r="H157" s="64"/>
      <c r="I157" s="10"/>
      <c r="J157" s="10"/>
      <c r="K157" s="10"/>
      <c r="L157" s="10"/>
      <c r="M157" s="10"/>
      <c r="N157" s="10"/>
      <c r="O157" s="64"/>
      <c r="P157" s="10"/>
      <c r="Q157" s="10"/>
      <c r="R157" s="10"/>
      <c r="S157" s="10"/>
      <c r="T157" s="10"/>
      <c r="U157" s="10"/>
      <c r="V157" s="10"/>
      <c r="W157" s="10"/>
      <c r="X157" s="10"/>
      <c r="Y157" s="10"/>
      <c r="Z157" s="10"/>
      <c r="AA157" s="10"/>
      <c r="AB157" s="10"/>
      <c r="AC157" s="10"/>
    </row>
    <row r="158" ht="15.75" customHeight="1">
      <c r="A158" s="10"/>
      <c r="B158" s="10"/>
      <c r="C158" s="10"/>
      <c r="D158" s="10"/>
      <c r="E158" s="10"/>
      <c r="F158" s="10"/>
      <c r="G158" s="10"/>
      <c r="H158" s="64"/>
      <c r="I158" s="10"/>
      <c r="J158" s="10"/>
      <c r="K158" s="10"/>
      <c r="L158" s="10"/>
      <c r="M158" s="10"/>
      <c r="N158" s="10"/>
      <c r="O158" s="64"/>
      <c r="P158" s="10"/>
      <c r="Q158" s="10"/>
      <c r="R158" s="10"/>
      <c r="S158" s="10"/>
      <c r="T158" s="10"/>
      <c r="U158" s="10"/>
      <c r="V158" s="10"/>
      <c r="W158" s="10"/>
      <c r="X158" s="10"/>
      <c r="Y158" s="10"/>
      <c r="Z158" s="10"/>
      <c r="AA158" s="10"/>
      <c r="AB158" s="10"/>
      <c r="AC158" s="10"/>
    </row>
    <row r="159" ht="15.75" customHeight="1">
      <c r="A159" s="10"/>
      <c r="B159" s="10"/>
      <c r="C159" s="10"/>
      <c r="D159" s="10"/>
      <c r="E159" s="10"/>
      <c r="F159" s="10"/>
      <c r="G159" s="10"/>
      <c r="H159" s="64"/>
      <c r="I159" s="10"/>
      <c r="J159" s="10"/>
      <c r="K159" s="10"/>
      <c r="L159" s="10"/>
      <c r="M159" s="10"/>
      <c r="N159" s="10"/>
      <c r="O159" s="64"/>
      <c r="P159" s="10"/>
      <c r="Q159" s="10"/>
      <c r="R159" s="10"/>
      <c r="S159" s="10"/>
      <c r="T159" s="10"/>
      <c r="U159" s="10"/>
      <c r="V159" s="10"/>
      <c r="W159" s="10"/>
      <c r="X159" s="10"/>
      <c r="Y159" s="10"/>
      <c r="Z159" s="10"/>
      <c r="AA159" s="10"/>
      <c r="AB159" s="10"/>
      <c r="AC159" s="10"/>
    </row>
    <row r="160" ht="15.75" customHeight="1">
      <c r="A160" s="10"/>
      <c r="B160" s="10"/>
      <c r="C160" s="10"/>
      <c r="D160" s="10"/>
      <c r="E160" s="10"/>
      <c r="F160" s="10"/>
      <c r="G160" s="10"/>
      <c r="H160" s="64"/>
      <c r="I160" s="10"/>
      <c r="J160" s="10"/>
      <c r="K160" s="10"/>
      <c r="L160" s="10"/>
      <c r="M160" s="10"/>
      <c r="N160" s="10"/>
      <c r="O160" s="64"/>
      <c r="P160" s="10"/>
      <c r="Q160" s="10"/>
      <c r="R160" s="10"/>
      <c r="S160" s="10"/>
      <c r="T160" s="10"/>
      <c r="U160" s="10"/>
      <c r="V160" s="10"/>
      <c r="W160" s="10"/>
      <c r="X160" s="10"/>
      <c r="Y160" s="10"/>
      <c r="Z160" s="10"/>
      <c r="AA160" s="10"/>
      <c r="AB160" s="10"/>
      <c r="AC160" s="10"/>
    </row>
    <row r="161" ht="15.75" customHeight="1">
      <c r="A161" s="10"/>
      <c r="B161" s="10"/>
      <c r="C161" s="10"/>
      <c r="D161" s="10"/>
      <c r="E161" s="10"/>
      <c r="F161" s="10"/>
      <c r="G161" s="10"/>
      <c r="H161" s="64"/>
      <c r="I161" s="10"/>
      <c r="J161" s="10"/>
      <c r="K161" s="10"/>
      <c r="L161" s="10"/>
      <c r="M161" s="10"/>
      <c r="N161" s="10"/>
      <c r="O161" s="64"/>
      <c r="P161" s="10"/>
      <c r="Q161" s="10"/>
      <c r="R161" s="10"/>
      <c r="S161" s="10"/>
      <c r="T161" s="10"/>
      <c r="U161" s="10"/>
      <c r="V161" s="10"/>
      <c r="W161" s="10"/>
      <c r="X161" s="10"/>
      <c r="Y161" s="10"/>
      <c r="Z161" s="10"/>
      <c r="AA161" s="10"/>
      <c r="AB161" s="10"/>
      <c r="AC161" s="10"/>
    </row>
    <row r="162" ht="15.75" customHeight="1">
      <c r="A162" s="10"/>
      <c r="B162" s="10"/>
      <c r="C162" s="10"/>
      <c r="D162" s="10"/>
      <c r="E162" s="10"/>
      <c r="F162" s="10"/>
      <c r="G162" s="10"/>
      <c r="H162" s="64"/>
      <c r="I162" s="10"/>
      <c r="J162" s="10"/>
      <c r="K162" s="10"/>
      <c r="L162" s="10"/>
      <c r="M162" s="10"/>
      <c r="N162" s="10"/>
      <c r="O162" s="64"/>
      <c r="P162" s="10"/>
      <c r="Q162" s="10"/>
      <c r="R162" s="10"/>
      <c r="S162" s="10"/>
      <c r="T162" s="10"/>
      <c r="U162" s="10"/>
      <c r="V162" s="10"/>
      <c r="W162" s="10"/>
      <c r="X162" s="10"/>
      <c r="Y162" s="10"/>
      <c r="Z162" s="10"/>
      <c r="AA162" s="10"/>
      <c r="AB162" s="10"/>
      <c r="AC162" s="10"/>
    </row>
    <row r="163" ht="15.75" customHeight="1">
      <c r="A163" s="10"/>
      <c r="B163" s="10"/>
      <c r="C163" s="10"/>
      <c r="D163" s="10"/>
      <c r="E163" s="10"/>
      <c r="F163" s="10"/>
      <c r="G163" s="10"/>
      <c r="H163" s="64"/>
      <c r="I163" s="10"/>
      <c r="J163" s="10"/>
      <c r="K163" s="10"/>
      <c r="L163" s="10"/>
      <c r="M163" s="10"/>
      <c r="N163" s="10"/>
      <c r="O163" s="64"/>
      <c r="P163" s="10"/>
      <c r="Q163" s="10"/>
      <c r="R163" s="10"/>
      <c r="S163" s="10"/>
      <c r="T163" s="10"/>
      <c r="U163" s="10"/>
      <c r="V163" s="10"/>
      <c r="W163" s="10"/>
      <c r="X163" s="10"/>
      <c r="Y163" s="10"/>
      <c r="Z163" s="10"/>
      <c r="AA163" s="10"/>
      <c r="AB163" s="10"/>
      <c r="AC163" s="10"/>
    </row>
    <row r="164" ht="15.75" customHeight="1">
      <c r="A164" s="10"/>
      <c r="B164" s="10"/>
      <c r="C164" s="10"/>
      <c r="D164" s="10"/>
      <c r="E164" s="10"/>
      <c r="F164" s="10"/>
      <c r="G164" s="10"/>
      <c r="H164" s="64"/>
      <c r="I164" s="10"/>
      <c r="J164" s="10"/>
      <c r="K164" s="10"/>
      <c r="L164" s="10"/>
      <c r="M164" s="10"/>
      <c r="N164" s="10"/>
      <c r="O164" s="64"/>
      <c r="P164" s="10"/>
      <c r="Q164" s="10"/>
      <c r="R164" s="10"/>
      <c r="S164" s="10"/>
      <c r="T164" s="10"/>
      <c r="U164" s="10"/>
      <c r="V164" s="10"/>
      <c r="W164" s="10"/>
      <c r="X164" s="10"/>
      <c r="Y164" s="10"/>
      <c r="Z164" s="10"/>
      <c r="AA164" s="10"/>
      <c r="AB164" s="10"/>
      <c r="AC164" s="10"/>
    </row>
    <row r="165" ht="15.75" customHeight="1">
      <c r="A165" s="10"/>
      <c r="B165" s="10"/>
      <c r="C165" s="10"/>
      <c r="D165" s="10"/>
      <c r="E165" s="10"/>
      <c r="F165" s="10"/>
      <c r="G165" s="10"/>
      <c r="H165" s="64"/>
      <c r="I165" s="10"/>
      <c r="J165" s="10"/>
      <c r="K165" s="10"/>
      <c r="L165" s="10"/>
      <c r="M165" s="10"/>
      <c r="N165" s="10"/>
      <c r="O165" s="64"/>
      <c r="P165" s="10"/>
      <c r="Q165" s="10"/>
      <c r="R165" s="10"/>
      <c r="S165" s="10"/>
      <c r="T165" s="10"/>
      <c r="U165" s="10"/>
      <c r="V165" s="10"/>
      <c r="W165" s="10"/>
      <c r="X165" s="10"/>
      <c r="Y165" s="10"/>
      <c r="Z165" s="10"/>
      <c r="AA165" s="10"/>
      <c r="AB165" s="10"/>
      <c r="AC165" s="10"/>
    </row>
    <row r="166" ht="15.75" customHeight="1">
      <c r="A166" s="10"/>
      <c r="B166" s="10"/>
      <c r="C166" s="10"/>
      <c r="D166" s="10"/>
      <c r="E166" s="10"/>
      <c r="F166" s="10"/>
      <c r="G166" s="10"/>
      <c r="H166" s="64"/>
      <c r="I166" s="10"/>
      <c r="J166" s="10"/>
      <c r="K166" s="10"/>
      <c r="L166" s="10"/>
      <c r="M166" s="10"/>
      <c r="N166" s="10"/>
      <c r="O166" s="64"/>
      <c r="P166" s="10"/>
      <c r="Q166" s="10"/>
      <c r="R166" s="10"/>
      <c r="S166" s="10"/>
      <c r="T166" s="10"/>
      <c r="U166" s="10"/>
      <c r="V166" s="10"/>
      <c r="W166" s="10"/>
      <c r="X166" s="10"/>
      <c r="Y166" s="10"/>
      <c r="Z166" s="10"/>
      <c r="AA166" s="10"/>
      <c r="AB166" s="10"/>
      <c r="AC166" s="10"/>
    </row>
    <row r="167" ht="15.75" customHeight="1">
      <c r="A167" s="10"/>
      <c r="B167" s="10"/>
      <c r="C167" s="10"/>
      <c r="D167" s="10"/>
      <c r="E167" s="10"/>
      <c r="F167" s="10"/>
      <c r="G167" s="10"/>
      <c r="H167" s="64"/>
      <c r="I167" s="10"/>
      <c r="J167" s="10"/>
      <c r="K167" s="10"/>
      <c r="L167" s="10"/>
      <c r="M167" s="10"/>
      <c r="N167" s="10"/>
      <c r="O167" s="64"/>
      <c r="P167" s="10"/>
      <c r="Q167" s="10"/>
      <c r="R167" s="10"/>
      <c r="S167" s="10"/>
      <c r="T167" s="10"/>
      <c r="U167" s="10"/>
      <c r="V167" s="10"/>
      <c r="W167" s="10"/>
      <c r="X167" s="10"/>
      <c r="Y167" s="10"/>
      <c r="Z167" s="10"/>
      <c r="AA167" s="10"/>
      <c r="AB167" s="10"/>
      <c r="AC167" s="10"/>
    </row>
    <row r="168" ht="15.75" customHeight="1">
      <c r="A168" s="10"/>
      <c r="B168" s="10"/>
      <c r="C168" s="10"/>
      <c r="D168" s="10"/>
      <c r="E168" s="10"/>
      <c r="F168" s="10"/>
      <c r="G168" s="10"/>
      <c r="H168" s="64"/>
      <c r="I168" s="10"/>
      <c r="J168" s="10"/>
      <c r="K168" s="10"/>
      <c r="L168" s="10"/>
      <c r="M168" s="10"/>
      <c r="N168" s="10"/>
      <c r="O168" s="64"/>
      <c r="P168" s="10"/>
      <c r="Q168" s="10"/>
      <c r="R168" s="10"/>
      <c r="S168" s="10"/>
      <c r="T168" s="10"/>
      <c r="U168" s="10"/>
      <c r="V168" s="10"/>
      <c r="W168" s="10"/>
      <c r="X168" s="10"/>
      <c r="Y168" s="10"/>
      <c r="Z168" s="10"/>
      <c r="AA168" s="10"/>
      <c r="AB168" s="10"/>
      <c r="AC168" s="10"/>
    </row>
    <row r="169" ht="15.75" customHeight="1">
      <c r="A169" s="10"/>
      <c r="B169" s="10"/>
      <c r="C169" s="10"/>
      <c r="D169" s="10"/>
      <c r="E169" s="10"/>
      <c r="F169" s="10"/>
      <c r="G169" s="10"/>
      <c r="H169" s="64"/>
      <c r="I169" s="10"/>
      <c r="J169" s="10"/>
      <c r="K169" s="10"/>
      <c r="L169" s="10"/>
      <c r="M169" s="10"/>
      <c r="N169" s="10"/>
      <c r="O169" s="64"/>
      <c r="P169" s="10"/>
      <c r="Q169" s="10"/>
      <c r="R169" s="10"/>
      <c r="S169" s="10"/>
      <c r="T169" s="10"/>
      <c r="U169" s="10"/>
      <c r="V169" s="10"/>
      <c r="W169" s="10"/>
      <c r="X169" s="10"/>
      <c r="Y169" s="10"/>
      <c r="Z169" s="10"/>
      <c r="AA169" s="10"/>
      <c r="AB169" s="10"/>
      <c r="AC169" s="10"/>
    </row>
    <row r="170" ht="15.75" customHeight="1">
      <c r="A170" s="10"/>
      <c r="B170" s="10"/>
      <c r="C170" s="10"/>
      <c r="D170" s="10"/>
      <c r="E170" s="10"/>
      <c r="F170" s="10"/>
      <c r="G170" s="10"/>
      <c r="H170" s="64"/>
      <c r="I170" s="10"/>
      <c r="J170" s="10"/>
      <c r="K170" s="10"/>
      <c r="L170" s="10"/>
      <c r="M170" s="10"/>
      <c r="N170" s="10"/>
      <c r="O170" s="64"/>
      <c r="P170" s="10"/>
      <c r="Q170" s="10"/>
      <c r="R170" s="10"/>
      <c r="S170" s="10"/>
      <c r="T170" s="10"/>
      <c r="U170" s="10"/>
      <c r="V170" s="10"/>
      <c r="W170" s="10"/>
      <c r="X170" s="10"/>
      <c r="Y170" s="10"/>
      <c r="Z170" s="10"/>
      <c r="AA170" s="10"/>
      <c r="AB170" s="10"/>
      <c r="AC170" s="10"/>
    </row>
    <row r="171" ht="15.75" customHeight="1">
      <c r="A171" s="10"/>
      <c r="B171" s="10"/>
      <c r="C171" s="10"/>
      <c r="D171" s="10"/>
      <c r="E171" s="10"/>
      <c r="F171" s="10"/>
      <c r="G171" s="10"/>
      <c r="H171" s="64"/>
      <c r="I171" s="10"/>
      <c r="J171" s="10"/>
      <c r="K171" s="10"/>
      <c r="L171" s="10"/>
      <c r="M171" s="10"/>
      <c r="N171" s="10"/>
      <c r="O171" s="64"/>
      <c r="P171" s="10"/>
      <c r="Q171" s="10"/>
      <c r="R171" s="10"/>
      <c r="S171" s="10"/>
      <c r="T171" s="10"/>
      <c r="U171" s="10"/>
      <c r="V171" s="10"/>
      <c r="W171" s="10"/>
      <c r="X171" s="10"/>
      <c r="Y171" s="10"/>
      <c r="Z171" s="10"/>
      <c r="AA171" s="10"/>
      <c r="AB171" s="10"/>
      <c r="AC171" s="10"/>
    </row>
    <row r="172" ht="15.75" customHeight="1">
      <c r="A172" s="10"/>
      <c r="B172" s="10"/>
      <c r="C172" s="10"/>
      <c r="D172" s="10"/>
      <c r="E172" s="10"/>
      <c r="F172" s="10"/>
      <c r="G172" s="10"/>
      <c r="H172" s="64"/>
      <c r="I172" s="10"/>
      <c r="J172" s="10"/>
      <c r="K172" s="10"/>
      <c r="L172" s="10"/>
      <c r="M172" s="10"/>
      <c r="N172" s="10"/>
      <c r="O172" s="64"/>
      <c r="P172" s="10"/>
      <c r="Q172" s="10"/>
      <c r="R172" s="10"/>
      <c r="S172" s="10"/>
      <c r="T172" s="10"/>
      <c r="U172" s="10"/>
      <c r="V172" s="10"/>
      <c r="W172" s="10"/>
      <c r="X172" s="10"/>
      <c r="Y172" s="10"/>
      <c r="Z172" s="10"/>
      <c r="AA172" s="10"/>
      <c r="AB172" s="10"/>
      <c r="AC172" s="10"/>
    </row>
    <row r="173" ht="15.75" customHeight="1">
      <c r="A173" s="10"/>
      <c r="B173" s="10"/>
      <c r="C173" s="10"/>
      <c r="D173" s="10"/>
      <c r="E173" s="10"/>
      <c r="F173" s="10"/>
      <c r="G173" s="10"/>
      <c r="H173" s="64"/>
      <c r="I173" s="10"/>
      <c r="J173" s="10"/>
      <c r="K173" s="10"/>
      <c r="L173" s="10"/>
      <c r="M173" s="10"/>
      <c r="N173" s="10"/>
      <c r="O173" s="64"/>
      <c r="P173" s="10"/>
      <c r="Q173" s="10"/>
      <c r="R173" s="10"/>
      <c r="S173" s="10"/>
      <c r="T173" s="10"/>
      <c r="U173" s="10"/>
      <c r="V173" s="10"/>
      <c r="W173" s="10"/>
      <c r="X173" s="10"/>
      <c r="Y173" s="10"/>
      <c r="Z173" s="10"/>
      <c r="AA173" s="10"/>
      <c r="AB173" s="10"/>
      <c r="AC173" s="10"/>
    </row>
    <row r="174" ht="15.75" customHeight="1">
      <c r="A174" s="10"/>
      <c r="B174" s="10"/>
      <c r="C174" s="10"/>
      <c r="D174" s="10"/>
      <c r="E174" s="10"/>
      <c r="F174" s="10"/>
      <c r="G174" s="10"/>
      <c r="H174" s="64"/>
      <c r="I174" s="10"/>
      <c r="J174" s="10"/>
      <c r="K174" s="10"/>
      <c r="L174" s="10"/>
      <c r="M174" s="10"/>
      <c r="N174" s="10"/>
      <c r="O174" s="64"/>
      <c r="P174" s="10"/>
      <c r="Q174" s="10"/>
      <c r="R174" s="10"/>
      <c r="S174" s="10"/>
      <c r="T174" s="10"/>
      <c r="U174" s="10"/>
      <c r="V174" s="10"/>
      <c r="W174" s="10"/>
      <c r="X174" s="10"/>
      <c r="Y174" s="10"/>
      <c r="Z174" s="10"/>
      <c r="AA174" s="10"/>
      <c r="AB174" s="10"/>
      <c r="AC174" s="10"/>
    </row>
    <row r="175" ht="15.75" customHeight="1">
      <c r="A175" s="10"/>
      <c r="B175" s="10"/>
      <c r="C175" s="10"/>
      <c r="D175" s="10"/>
      <c r="E175" s="10"/>
      <c r="F175" s="10"/>
      <c r="G175" s="10"/>
      <c r="H175" s="64"/>
      <c r="I175" s="10"/>
      <c r="J175" s="10"/>
      <c r="K175" s="10"/>
      <c r="L175" s="10"/>
      <c r="M175" s="10"/>
      <c r="N175" s="10"/>
      <c r="O175" s="64"/>
      <c r="P175" s="10"/>
      <c r="Q175" s="10"/>
      <c r="R175" s="10"/>
      <c r="S175" s="10"/>
      <c r="T175" s="10"/>
      <c r="U175" s="10"/>
      <c r="V175" s="10"/>
      <c r="W175" s="10"/>
      <c r="X175" s="10"/>
      <c r="Y175" s="10"/>
      <c r="Z175" s="10"/>
      <c r="AA175" s="10"/>
      <c r="AB175" s="10"/>
      <c r="AC175" s="10"/>
    </row>
    <row r="176" ht="15.75" customHeight="1">
      <c r="A176" s="10"/>
      <c r="B176" s="10"/>
      <c r="C176" s="10"/>
      <c r="D176" s="10"/>
      <c r="E176" s="10"/>
      <c r="F176" s="10"/>
      <c r="G176" s="10"/>
      <c r="H176" s="64"/>
      <c r="I176" s="10"/>
      <c r="J176" s="10"/>
      <c r="K176" s="10"/>
      <c r="L176" s="10"/>
      <c r="M176" s="10"/>
      <c r="N176" s="10"/>
      <c r="O176" s="64"/>
      <c r="P176" s="10"/>
      <c r="Q176" s="10"/>
      <c r="R176" s="10"/>
      <c r="S176" s="10"/>
      <c r="T176" s="10"/>
      <c r="U176" s="10"/>
      <c r="V176" s="10"/>
      <c r="W176" s="10"/>
      <c r="X176" s="10"/>
      <c r="Y176" s="10"/>
      <c r="Z176" s="10"/>
      <c r="AA176" s="10"/>
      <c r="AB176" s="10"/>
      <c r="AC176" s="10"/>
    </row>
    <row r="177" ht="15.75" customHeight="1">
      <c r="A177" s="10"/>
      <c r="B177" s="10"/>
      <c r="C177" s="10"/>
      <c r="D177" s="10"/>
      <c r="E177" s="10"/>
      <c r="F177" s="10"/>
      <c r="G177" s="10"/>
      <c r="H177" s="64"/>
      <c r="I177" s="10"/>
      <c r="J177" s="10"/>
      <c r="K177" s="10"/>
      <c r="L177" s="10"/>
      <c r="M177" s="10"/>
      <c r="N177" s="10"/>
      <c r="O177" s="64"/>
      <c r="P177" s="10"/>
      <c r="Q177" s="10"/>
      <c r="R177" s="10"/>
      <c r="S177" s="10"/>
      <c r="T177" s="10"/>
      <c r="U177" s="10"/>
      <c r="V177" s="10"/>
      <c r="W177" s="10"/>
      <c r="X177" s="10"/>
      <c r="Y177" s="10"/>
      <c r="Z177" s="10"/>
      <c r="AA177" s="10"/>
      <c r="AB177" s="10"/>
      <c r="AC177" s="10"/>
    </row>
    <row r="178" ht="15.75" customHeight="1">
      <c r="A178" s="10"/>
      <c r="B178" s="10"/>
      <c r="C178" s="10"/>
      <c r="D178" s="10"/>
      <c r="E178" s="10"/>
      <c r="F178" s="10"/>
      <c r="G178" s="10"/>
      <c r="H178" s="64"/>
      <c r="I178" s="10"/>
      <c r="J178" s="10"/>
      <c r="K178" s="10"/>
      <c r="L178" s="10"/>
      <c r="M178" s="10"/>
      <c r="N178" s="10"/>
      <c r="O178" s="64"/>
      <c r="P178" s="10"/>
      <c r="Q178" s="10"/>
      <c r="R178" s="10"/>
      <c r="S178" s="10"/>
      <c r="T178" s="10"/>
      <c r="U178" s="10"/>
      <c r="V178" s="10"/>
      <c r="W178" s="10"/>
      <c r="X178" s="10"/>
      <c r="Y178" s="10"/>
      <c r="Z178" s="10"/>
      <c r="AA178" s="10"/>
      <c r="AB178" s="10"/>
      <c r="AC178" s="10"/>
    </row>
    <row r="179" ht="15.75" customHeight="1">
      <c r="A179" s="10"/>
      <c r="B179" s="10"/>
      <c r="C179" s="10"/>
      <c r="D179" s="10"/>
      <c r="E179" s="10"/>
      <c r="F179" s="10"/>
      <c r="G179" s="10"/>
      <c r="H179" s="64"/>
      <c r="I179" s="10"/>
      <c r="J179" s="10"/>
      <c r="K179" s="10"/>
      <c r="L179" s="10"/>
      <c r="M179" s="10"/>
      <c r="N179" s="10"/>
      <c r="O179" s="64"/>
      <c r="P179" s="10"/>
      <c r="Q179" s="10"/>
      <c r="R179" s="10"/>
      <c r="S179" s="10"/>
      <c r="T179" s="10"/>
      <c r="U179" s="10"/>
      <c r="V179" s="10"/>
      <c r="W179" s="10"/>
      <c r="X179" s="10"/>
      <c r="Y179" s="10"/>
      <c r="Z179" s="10"/>
      <c r="AA179" s="10"/>
      <c r="AB179" s="10"/>
      <c r="AC179" s="10"/>
    </row>
    <row r="180" ht="15.75" customHeight="1">
      <c r="A180" s="10"/>
      <c r="B180" s="10"/>
      <c r="C180" s="10"/>
      <c r="D180" s="10"/>
      <c r="E180" s="10"/>
      <c r="F180" s="10"/>
      <c r="G180" s="10"/>
      <c r="H180" s="64"/>
      <c r="I180" s="10"/>
      <c r="J180" s="10"/>
      <c r="K180" s="10"/>
      <c r="L180" s="10"/>
      <c r="M180" s="10"/>
      <c r="N180" s="10"/>
      <c r="O180" s="64"/>
      <c r="P180" s="10"/>
      <c r="Q180" s="10"/>
      <c r="R180" s="10"/>
      <c r="S180" s="10"/>
      <c r="T180" s="10"/>
      <c r="U180" s="10"/>
      <c r="V180" s="10"/>
      <c r="W180" s="10"/>
      <c r="X180" s="10"/>
      <c r="Y180" s="10"/>
      <c r="Z180" s="10"/>
      <c r="AA180" s="10"/>
      <c r="AB180" s="10"/>
      <c r="AC180" s="10"/>
    </row>
    <row r="181" ht="15.75" customHeight="1">
      <c r="A181" s="10"/>
      <c r="B181" s="10"/>
      <c r="C181" s="10"/>
      <c r="D181" s="10"/>
      <c r="E181" s="10"/>
      <c r="F181" s="10"/>
      <c r="G181" s="10"/>
      <c r="H181" s="64"/>
      <c r="I181" s="10"/>
      <c r="J181" s="10"/>
      <c r="K181" s="10"/>
      <c r="L181" s="10"/>
      <c r="M181" s="10"/>
      <c r="N181" s="10"/>
      <c r="O181" s="64"/>
      <c r="P181" s="10"/>
      <c r="Q181" s="10"/>
      <c r="R181" s="10"/>
      <c r="S181" s="10"/>
      <c r="T181" s="10"/>
      <c r="U181" s="10"/>
      <c r="V181" s="10"/>
      <c r="W181" s="10"/>
      <c r="X181" s="10"/>
      <c r="Y181" s="10"/>
      <c r="Z181" s="10"/>
      <c r="AA181" s="10"/>
      <c r="AB181" s="10"/>
      <c r="AC181" s="10"/>
    </row>
    <row r="182" ht="15.75" customHeight="1">
      <c r="A182" s="10"/>
      <c r="B182" s="10"/>
      <c r="C182" s="10"/>
      <c r="D182" s="10"/>
      <c r="E182" s="10"/>
      <c r="F182" s="10"/>
      <c r="G182" s="10"/>
      <c r="H182" s="64"/>
      <c r="I182" s="10"/>
      <c r="J182" s="10"/>
      <c r="K182" s="10"/>
      <c r="L182" s="10"/>
      <c r="M182" s="10"/>
      <c r="N182" s="10"/>
      <c r="O182" s="64"/>
      <c r="P182" s="10"/>
      <c r="Q182" s="10"/>
      <c r="R182" s="10"/>
      <c r="S182" s="10"/>
      <c r="T182" s="10"/>
      <c r="U182" s="10"/>
      <c r="V182" s="10"/>
      <c r="W182" s="10"/>
      <c r="X182" s="10"/>
      <c r="Y182" s="10"/>
      <c r="Z182" s="10"/>
      <c r="AA182" s="10"/>
      <c r="AB182" s="10"/>
      <c r="AC182" s="10"/>
    </row>
    <row r="183" ht="15.75" customHeight="1">
      <c r="A183" s="10"/>
      <c r="B183" s="10"/>
      <c r="C183" s="10"/>
      <c r="D183" s="10"/>
      <c r="E183" s="10"/>
      <c r="F183" s="10"/>
      <c r="G183" s="10"/>
      <c r="H183" s="64"/>
      <c r="I183" s="10"/>
      <c r="J183" s="10"/>
      <c r="K183" s="10"/>
      <c r="L183" s="10"/>
      <c r="M183" s="10"/>
      <c r="N183" s="10"/>
      <c r="O183" s="64"/>
      <c r="P183" s="10"/>
      <c r="Q183" s="10"/>
      <c r="R183" s="10"/>
      <c r="S183" s="10"/>
      <c r="T183" s="10"/>
      <c r="U183" s="10"/>
      <c r="V183" s="10"/>
      <c r="W183" s="10"/>
      <c r="X183" s="10"/>
      <c r="Y183" s="10"/>
      <c r="Z183" s="10"/>
      <c r="AA183" s="10"/>
      <c r="AB183" s="10"/>
      <c r="AC183" s="10"/>
    </row>
    <row r="184" ht="15.75" customHeight="1">
      <c r="A184" s="10"/>
      <c r="B184" s="10"/>
      <c r="C184" s="10"/>
      <c r="D184" s="10"/>
      <c r="E184" s="10"/>
      <c r="F184" s="10"/>
      <c r="G184" s="10"/>
      <c r="H184" s="64"/>
      <c r="I184" s="10"/>
      <c r="J184" s="10"/>
      <c r="K184" s="10"/>
      <c r="L184" s="10"/>
      <c r="M184" s="10"/>
      <c r="N184" s="10"/>
      <c r="O184" s="64"/>
      <c r="P184" s="10"/>
      <c r="Q184" s="10"/>
      <c r="R184" s="10"/>
      <c r="S184" s="10"/>
      <c r="T184" s="10"/>
      <c r="U184" s="10"/>
      <c r="V184" s="10"/>
      <c r="W184" s="10"/>
      <c r="X184" s="10"/>
      <c r="Y184" s="10"/>
      <c r="Z184" s="10"/>
      <c r="AA184" s="10"/>
      <c r="AB184" s="10"/>
      <c r="AC184" s="10"/>
    </row>
    <row r="185" ht="15.75" customHeight="1">
      <c r="A185" s="10"/>
      <c r="B185" s="10"/>
      <c r="C185" s="10"/>
      <c r="D185" s="10"/>
      <c r="E185" s="10"/>
      <c r="F185" s="10"/>
      <c r="G185" s="10"/>
      <c r="H185" s="64"/>
      <c r="I185" s="10"/>
      <c r="J185" s="10"/>
      <c r="K185" s="10"/>
      <c r="L185" s="10"/>
      <c r="M185" s="10"/>
      <c r="N185" s="10"/>
      <c r="O185" s="64"/>
      <c r="P185" s="10"/>
      <c r="Q185" s="10"/>
      <c r="R185" s="10"/>
      <c r="S185" s="10"/>
      <c r="T185" s="10"/>
      <c r="U185" s="10"/>
      <c r="V185" s="10"/>
      <c r="W185" s="10"/>
      <c r="X185" s="10"/>
      <c r="Y185" s="10"/>
      <c r="Z185" s="10"/>
      <c r="AA185" s="10"/>
      <c r="AB185" s="10"/>
      <c r="AC185" s="10"/>
    </row>
    <row r="186" ht="15.75" customHeight="1">
      <c r="A186" s="10"/>
      <c r="B186" s="10"/>
      <c r="C186" s="10"/>
      <c r="D186" s="10"/>
      <c r="E186" s="10"/>
      <c r="F186" s="10"/>
      <c r="G186" s="10"/>
      <c r="H186" s="64"/>
      <c r="I186" s="10"/>
      <c r="J186" s="10"/>
      <c r="K186" s="10"/>
      <c r="L186" s="10"/>
      <c r="M186" s="10"/>
      <c r="N186" s="10"/>
      <c r="O186" s="64"/>
      <c r="P186" s="10"/>
      <c r="Q186" s="10"/>
      <c r="R186" s="10"/>
      <c r="S186" s="10"/>
      <c r="T186" s="10"/>
      <c r="U186" s="10"/>
      <c r="V186" s="10"/>
      <c r="W186" s="10"/>
      <c r="X186" s="10"/>
      <c r="Y186" s="10"/>
      <c r="Z186" s="10"/>
      <c r="AA186" s="10"/>
      <c r="AB186" s="10"/>
      <c r="AC186" s="10"/>
    </row>
    <row r="187" ht="15.75" customHeight="1">
      <c r="A187" s="10"/>
      <c r="B187" s="10"/>
      <c r="C187" s="10"/>
      <c r="D187" s="10"/>
      <c r="E187" s="10"/>
      <c r="F187" s="10"/>
      <c r="G187" s="10"/>
      <c r="H187" s="64"/>
      <c r="I187" s="10"/>
      <c r="J187" s="10"/>
      <c r="K187" s="10"/>
      <c r="L187" s="10"/>
      <c r="M187" s="10"/>
      <c r="N187" s="10"/>
      <c r="O187" s="64"/>
      <c r="P187" s="10"/>
      <c r="Q187" s="10"/>
      <c r="R187" s="10"/>
      <c r="S187" s="10"/>
      <c r="T187" s="10"/>
      <c r="U187" s="10"/>
      <c r="V187" s="10"/>
      <c r="W187" s="10"/>
      <c r="X187" s="10"/>
      <c r="Y187" s="10"/>
      <c r="Z187" s="10"/>
      <c r="AA187" s="10"/>
      <c r="AB187" s="10"/>
      <c r="AC187" s="10"/>
    </row>
    <row r="188" ht="15.75" customHeight="1">
      <c r="A188" s="10"/>
      <c r="B188" s="10"/>
      <c r="C188" s="10"/>
      <c r="D188" s="10"/>
      <c r="E188" s="10"/>
      <c r="F188" s="10"/>
      <c r="G188" s="10"/>
      <c r="H188" s="64"/>
      <c r="I188" s="10"/>
      <c r="J188" s="10"/>
      <c r="K188" s="10"/>
      <c r="L188" s="10"/>
      <c r="M188" s="10"/>
      <c r="N188" s="10"/>
      <c r="O188" s="64"/>
      <c r="P188" s="10"/>
      <c r="Q188" s="10"/>
      <c r="R188" s="10"/>
      <c r="S188" s="10"/>
      <c r="T188" s="10"/>
      <c r="U188" s="10"/>
      <c r="V188" s="10"/>
      <c r="W188" s="10"/>
      <c r="X188" s="10"/>
      <c r="Y188" s="10"/>
      <c r="Z188" s="10"/>
      <c r="AA188" s="10"/>
      <c r="AB188" s="10"/>
      <c r="AC188" s="10"/>
    </row>
    <row r="189" ht="15.75" customHeight="1">
      <c r="A189" s="10"/>
      <c r="B189" s="10"/>
      <c r="C189" s="10"/>
      <c r="D189" s="10"/>
      <c r="E189" s="10"/>
      <c r="F189" s="10"/>
      <c r="G189" s="10"/>
      <c r="H189" s="64"/>
      <c r="I189" s="10"/>
      <c r="J189" s="10"/>
      <c r="K189" s="10"/>
      <c r="L189" s="10"/>
      <c r="M189" s="10"/>
      <c r="N189" s="10"/>
      <c r="O189" s="64"/>
      <c r="P189" s="10"/>
      <c r="Q189" s="10"/>
      <c r="R189" s="10"/>
      <c r="S189" s="10"/>
      <c r="T189" s="10"/>
      <c r="U189" s="10"/>
      <c r="V189" s="10"/>
      <c r="W189" s="10"/>
      <c r="X189" s="10"/>
      <c r="Y189" s="10"/>
      <c r="Z189" s="10"/>
      <c r="AA189" s="10"/>
      <c r="AB189" s="10"/>
      <c r="AC189" s="10"/>
    </row>
    <row r="190" ht="15.75" customHeight="1">
      <c r="A190" s="10"/>
      <c r="B190" s="10"/>
      <c r="C190" s="10"/>
      <c r="D190" s="10"/>
      <c r="E190" s="10"/>
      <c r="F190" s="10"/>
      <c r="G190" s="10"/>
      <c r="H190" s="64"/>
      <c r="I190" s="10"/>
      <c r="J190" s="10"/>
      <c r="K190" s="10"/>
      <c r="L190" s="10"/>
      <c r="M190" s="10"/>
      <c r="N190" s="10"/>
      <c r="O190" s="64"/>
      <c r="P190" s="10"/>
      <c r="Q190" s="10"/>
      <c r="R190" s="10"/>
      <c r="S190" s="10"/>
      <c r="T190" s="10"/>
      <c r="U190" s="10"/>
      <c r="V190" s="10"/>
      <c r="W190" s="10"/>
      <c r="X190" s="10"/>
      <c r="Y190" s="10"/>
      <c r="Z190" s="10"/>
      <c r="AA190" s="10"/>
      <c r="AB190" s="10"/>
      <c r="AC190" s="10"/>
    </row>
    <row r="191" ht="15.75" customHeight="1">
      <c r="A191" s="10"/>
      <c r="B191" s="10"/>
      <c r="C191" s="10"/>
      <c r="D191" s="10"/>
      <c r="E191" s="10"/>
      <c r="F191" s="10"/>
      <c r="G191" s="10"/>
      <c r="H191" s="64"/>
      <c r="I191" s="10"/>
      <c r="J191" s="10"/>
      <c r="K191" s="10"/>
      <c r="L191" s="10"/>
      <c r="M191" s="10"/>
      <c r="N191" s="10"/>
      <c r="O191" s="64"/>
      <c r="P191" s="10"/>
      <c r="Q191" s="10"/>
      <c r="R191" s="10"/>
      <c r="S191" s="10"/>
      <c r="T191" s="10"/>
      <c r="U191" s="10"/>
      <c r="V191" s="10"/>
      <c r="W191" s="10"/>
      <c r="X191" s="10"/>
      <c r="Y191" s="10"/>
      <c r="Z191" s="10"/>
      <c r="AA191" s="10"/>
      <c r="AB191" s="10"/>
      <c r="AC191" s="10"/>
    </row>
    <row r="192" ht="15.75" customHeight="1">
      <c r="A192" s="10"/>
      <c r="B192" s="10"/>
      <c r="C192" s="10"/>
      <c r="D192" s="10"/>
      <c r="E192" s="10"/>
      <c r="F192" s="10"/>
      <c r="G192" s="10"/>
      <c r="H192" s="64"/>
      <c r="I192" s="10"/>
      <c r="J192" s="10"/>
      <c r="K192" s="10"/>
      <c r="L192" s="10"/>
      <c r="M192" s="10"/>
      <c r="N192" s="10"/>
      <c r="O192" s="64"/>
      <c r="P192" s="10"/>
      <c r="Q192" s="10"/>
      <c r="R192" s="10"/>
      <c r="S192" s="10"/>
      <c r="T192" s="10"/>
      <c r="U192" s="10"/>
      <c r="V192" s="10"/>
      <c r="W192" s="10"/>
      <c r="X192" s="10"/>
      <c r="Y192" s="10"/>
      <c r="Z192" s="10"/>
      <c r="AA192" s="10"/>
      <c r="AB192" s="10"/>
      <c r="AC192" s="10"/>
    </row>
    <row r="193" ht="15.75" customHeight="1">
      <c r="A193" s="10"/>
      <c r="B193" s="10"/>
      <c r="C193" s="10"/>
      <c r="D193" s="10"/>
      <c r="E193" s="10"/>
      <c r="F193" s="10"/>
      <c r="G193" s="10"/>
      <c r="H193" s="64"/>
      <c r="I193" s="10"/>
      <c r="J193" s="10"/>
      <c r="K193" s="10"/>
      <c r="L193" s="10"/>
      <c r="M193" s="10"/>
      <c r="N193" s="10"/>
      <c r="O193" s="64"/>
      <c r="P193" s="10"/>
      <c r="Q193" s="10"/>
      <c r="R193" s="10"/>
      <c r="S193" s="10"/>
      <c r="T193" s="10"/>
      <c r="U193" s="10"/>
      <c r="V193" s="10"/>
      <c r="W193" s="10"/>
      <c r="X193" s="10"/>
      <c r="Y193" s="10"/>
      <c r="Z193" s="10"/>
      <c r="AA193" s="10"/>
      <c r="AB193" s="10"/>
      <c r="AC193" s="10"/>
    </row>
    <row r="194" ht="15.75" customHeight="1">
      <c r="A194" s="10"/>
      <c r="B194" s="10"/>
      <c r="C194" s="10"/>
      <c r="D194" s="10"/>
      <c r="E194" s="10"/>
      <c r="F194" s="10"/>
      <c r="G194" s="10"/>
      <c r="H194" s="64"/>
      <c r="I194" s="10"/>
      <c r="J194" s="10"/>
      <c r="K194" s="10"/>
      <c r="L194" s="10"/>
      <c r="M194" s="10"/>
      <c r="N194" s="10"/>
      <c r="O194" s="64"/>
      <c r="P194" s="10"/>
      <c r="Q194" s="10"/>
      <c r="R194" s="10"/>
      <c r="S194" s="10"/>
      <c r="T194" s="10"/>
      <c r="U194" s="10"/>
      <c r="V194" s="10"/>
      <c r="W194" s="10"/>
      <c r="X194" s="10"/>
      <c r="Y194" s="10"/>
      <c r="Z194" s="10"/>
      <c r="AA194" s="10"/>
      <c r="AB194" s="10"/>
      <c r="AC194" s="10"/>
    </row>
    <row r="195" ht="15.75" customHeight="1">
      <c r="A195" s="10"/>
      <c r="B195" s="10"/>
      <c r="C195" s="10"/>
      <c r="D195" s="10"/>
      <c r="E195" s="10"/>
      <c r="F195" s="10"/>
      <c r="G195" s="10"/>
      <c r="H195" s="64"/>
      <c r="I195" s="10"/>
      <c r="J195" s="10"/>
      <c r="K195" s="10"/>
      <c r="L195" s="10"/>
      <c r="M195" s="10"/>
      <c r="N195" s="10"/>
      <c r="O195" s="64"/>
      <c r="P195" s="10"/>
      <c r="Q195" s="10"/>
      <c r="R195" s="10"/>
      <c r="S195" s="10"/>
      <c r="T195" s="10"/>
      <c r="U195" s="10"/>
      <c r="V195" s="10"/>
      <c r="W195" s="10"/>
      <c r="X195" s="10"/>
      <c r="Y195" s="10"/>
      <c r="Z195" s="10"/>
      <c r="AA195" s="10"/>
      <c r="AB195" s="10"/>
      <c r="AC195" s="10"/>
    </row>
    <row r="196" ht="15.75" customHeight="1">
      <c r="A196" s="10"/>
      <c r="B196" s="10"/>
      <c r="C196" s="10"/>
      <c r="D196" s="10"/>
      <c r="E196" s="10"/>
      <c r="F196" s="10"/>
      <c r="G196" s="10"/>
      <c r="H196" s="64"/>
      <c r="I196" s="10"/>
      <c r="J196" s="10"/>
      <c r="K196" s="10"/>
      <c r="L196" s="10"/>
      <c r="M196" s="10"/>
      <c r="N196" s="10"/>
      <c r="O196" s="64"/>
      <c r="P196" s="10"/>
      <c r="Q196" s="10"/>
      <c r="R196" s="10"/>
      <c r="S196" s="10"/>
      <c r="T196" s="10"/>
      <c r="U196" s="10"/>
      <c r="V196" s="10"/>
      <c r="W196" s="10"/>
      <c r="X196" s="10"/>
      <c r="Y196" s="10"/>
      <c r="Z196" s="10"/>
      <c r="AA196" s="10"/>
      <c r="AB196" s="10"/>
      <c r="AC196" s="10"/>
    </row>
    <row r="197" ht="15.75" customHeight="1">
      <c r="A197" s="10"/>
      <c r="B197" s="10"/>
      <c r="C197" s="10"/>
      <c r="D197" s="10"/>
      <c r="E197" s="10"/>
      <c r="F197" s="10"/>
      <c r="G197" s="10"/>
      <c r="H197" s="64"/>
      <c r="I197" s="10"/>
      <c r="J197" s="10"/>
      <c r="K197" s="10"/>
      <c r="L197" s="10"/>
      <c r="M197" s="10"/>
      <c r="N197" s="10"/>
      <c r="O197" s="64"/>
      <c r="P197" s="10"/>
      <c r="Q197" s="10"/>
      <c r="R197" s="10"/>
      <c r="S197" s="10"/>
      <c r="T197" s="10"/>
      <c r="U197" s="10"/>
      <c r="V197" s="10"/>
      <c r="W197" s="10"/>
      <c r="X197" s="10"/>
      <c r="Y197" s="10"/>
      <c r="Z197" s="10"/>
      <c r="AA197" s="10"/>
      <c r="AB197" s="10"/>
      <c r="AC197" s="10"/>
    </row>
    <row r="198" ht="15.75" customHeight="1">
      <c r="A198" s="10"/>
      <c r="B198" s="10"/>
      <c r="C198" s="10"/>
      <c r="D198" s="10"/>
      <c r="E198" s="10"/>
      <c r="F198" s="10"/>
      <c r="G198" s="10"/>
      <c r="H198" s="64"/>
      <c r="I198" s="10"/>
      <c r="J198" s="10"/>
      <c r="K198" s="10"/>
      <c r="L198" s="10"/>
      <c r="M198" s="10"/>
      <c r="N198" s="10"/>
      <c r="O198" s="64"/>
      <c r="P198" s="10"/>
      <c r="Q198" s="10"/>
      <c r="R198" s="10"/>
      <c r="S198" s="10"/>
      <c r="T198" s="10"/>
      <c r="U198" s="10"/>
      <c r="V198" s="10"/>
      <c r="W198" s="10"/>
      <c r="X198" s="10"/>
      <c r="Y198" s="10"/>
      <c r="Z198" s="10"/>
      <c r="AA198" s="10"/>
      <c r="AB198" s="10"/>
      <c r="AC198" s="10"/>
    </row>
    <row r="199" ht="15.75" customHeight="1">
      <c r="A199" s="10"/>
      <c r="B199" s="10"/>
      <c r="C199" s="10"/>
      <c r="D199" s="10"/>
      <c r="E199" s="10"/>
      <c r="F199" s="10"/>
      <c r="G199" s="10"/>
      <c r="H199" s="64"/>
      <c r="I199" s="10"/>
      <c r="J199" s="10"/>
      <c r="K199" s="10"/>
      <c r="L199" s="10"/>
      <c r="M199" s="10"/>
      <c r="N199" s="10"/>
      <c r="O199" s="64"/>
      <c r="P199" s="10"/>
      <c r="Q199" s="10"/>
      <c r="R199" s="10"/>
      <c r="S199" s="10"/>
      <c r="T199" s="10"/>
      <c r="U199" s="10"/>
      <c r="V199" s="10"/>
      <c r="W199" s="10"/>
      <c r="X199" s="10"/>
      <c r="Y199" s="10"/>
      <c r="Z199" s="10"/>
      <c r="AA199" s="10"/>
      <c r="AB199" s="10"/>
      <c r="AC199" s="10"/>
    </row>
    <row r="200" ht="15.75" customHeight="1">
      <c r="A200" s="10"/>
      <c r="B200" s="10"/>
      <c r="C200" s="10"/>
      <c r="D200" s="10"/>
      <c r="E200" s="10"/>
      <c r="F200" s="10"/>
      <c r="G200" s="10"/>
      <c r="H200" s="64"/>
      <c r="I200" s="10"/>
      <c r="J200" s="10"/>
      <c r="K200" s="10"/>
      <c r="L200" s="10"/>
      <c r="M200" s="10"/>
      <c r="N200" s="10"/>
      <c r="O200" s="64"/>
      <c r="P200" s="10"/>
      <c r="Q200" s="10"/>
      <c r="R200" s="10"/>
      <c r="S200" s="10"/>
      <c r="T200" s="10"/>
      <c r="U200" s="10"/>
      <c r="V200" s="10"/>
      <c r="W200" s="10"/>
      <c r="X200" s="10"/>
      <c r="Y200" s="10"/>
      <c r="Z200" s="10"/>
      <c r="AA200" s="10"/>
      <c r="AB200" s="10"/>
      <c r="AC200" s="10"/>
    </row>
    <row r="201" ht="15.75" customHeight="1">
      <c r="A201" s="10"/>
      <c r="B201" s="10"/>
      <c r="C201" s="10"/>
      <c r="D201" s="10"/>
      <c r="E201" s="10"/>
      <c r="F201" s="10"/>
      <c r="G201" s="10"/>
      <c r="H201" s="64"/>
      <c r="I201" s="10"/>
      <c r="J201" s="10"/>
      <c r="K201" s="10"/>
      <c r="L201" s="10"/>
      <c r="M201" s="10"/>
      <c r="N201" s="10"/>
      <c r="O201" s="64"/>
      <c r="P201" s="10"/>
      <c r="Q201" s="10"/>
      <c r="R201" s="10"/>
      <c r="S201" s="10"/>
      <c r="T201" s="10"/>
      <c r="U201" s="10"/>
      <c r="V201" s="10"/>
      <c r="W201" s="10"/>
      <c r="X201" s="10"/>
      <c r="Y201" s="10"/>
      <c r="Z201" s="10"/>
      <c r="AA201" s="10"/>
      <c r="AB201" s="10"/>
      <c r="AC201" s="10"/>
    </row>
    <row r="202" ht="15.75" customHeight="1">
      <c r="A202" s="10"/>
      <c r="B202" s="10"/>
      <c r="C202" s="10"/>
      <c r="D202" s="10"/>
      <c r="E202" s="10"/>
      <c r="F202" s="10"/>
      <c r="G202" s="10"/>
      <c r="H202" s="64"/>
      <c r="I202" s="10"/>
      <c r="J202" s="10"/>
      <c r="K202" s="10"/>
      <c r="L202" s="10"/>
      <c r="M202" s="10"/>
      <c r="N202" s="10"/>
      <c r="O202" s="64"/>
      <c r="P202" s="10"/>
      <c r="Q202" s="10"/>
      <c r="R202" s="10"/>
      <c r="S202" s="10"/>
      <c r="T202" s="10"/>
      <c r="U202" s="10"/>
      <c r="V202" s="10"/>
      <c r="W202" s="10"/>
      <c r="X202" s="10"/>
      <c r="Y202" s="10"/>
      <c r="Z202" s="10"/>
      <c r="AA202" s="10"/>
      <c r="AB202" s="10"/>
      <c r="AC202" s="10"/>
    </row>
    <row r="203" ht="15.75" customHeight="1">
      <c r="A203" s="10"/>
      <c r="B203" s="10"/>
      <c r="C203" s="10"/>
      <c r="D203" s="10"/>
      <c r="E203" s="10"/>
      <c r="F203" s="10"/>
      <c r="G203" s="10"/>
      <c r="H203" s="64"/>
      <c r="I203" s="10"/>
      <c r="J203" s="10"/>
      <c r="K203" s="10"/>
      <c r="L203" s="10"/>
      <c r="M203" s="10"/>
      <c r="N203" s="10"/>
      <c r="O203" s="64"/>
      <c r="P203" s="10"/>
      <c r="Q203" s="10"/>
      <c r="R203" s="10"/>
      <c r="S203" s="10"/>
      <c r="T203" s="10"/>
      <c r="U203" s="10"/>
      <c r="V203" s="10"/>
      <c r="W203" s="10"/>
      <c r="X203" s="10"/>
      <c r="Y203" s="10"/>
      <c r="Z203" s="10"/>
      <c r="AA203" s="10"/>
      <c r="AB203" s="10"/>
      <c r="AC203" s="10"/>
    </row>
    <row r="204" ht="15.75" customHeight="1">
      <c r="A204" s="10"/>
      <c r="B204" s="10"/>
      <c r="C204" s="10"/>
      <c r="D204" s="10"/>
      <c r="E204" s="10"/>
      <c r="F204" s="10"/>
      <c r="G204" s="10"/>
      <c r="H204" s="64"/>
      <c r="I204" s="10"/>
      <c r="J204" s="10"/>
      <c r="K204" s="10"/>
      <c r="L204" s="10"/>
      <c r="M204" s="10"/>
      <c r="N204" s="10"/>
      <c r="O204" s="64"/>
      <c r="P204" s="10"/>
      <c r="Q204" s="10"/>
      <c r="R204" s="10"/>
      <c r="S204" s="10"/>
      <c r="T204" s="10"/>
      <c r="U204" s="10"/>
      <c r="V204" s="10"/>
      <c r="W204" s="10"/>
      <c r="X204" s="10"/>
      <c r="Y204" s="10"/>
      <c r="Z204" s="10"/>
      <c r="AA204" s="10"/>
      <c r="AB204" s="10"/>
      <c r="AC204" s="10"/>
    </row>
    <row r="205" ht="15.75" customHeight="1">
      <c r="A205" s="10"/>
      <c r="B205" s="10"/>
      <c r="C205" s="10"/>
      <c r="D205" s="10"/>
      <c r="E205" s="10"/>
      <c r="F205" s="10"/>
      <c r="G205" s="10"/>
      <c r="H205" s="64"/>
      <c r="I205" s="10"/>
      <c r="J205" s="10"/>
      <c r="K205" s="10"/>
      <c r="L205" s="10"/>
      <c r="M205" s="10"/>
      <c r="N205" s="10"/>
      <c r="O205" s="64"/>
      <c r="P205" s="10"/>
      <c r="Q205" s="10"/>
      <c r="R205" s="10"/>
      <c r="S205" s="10"/>
      <c r="T205" s="10"/>
      <c r="U205" s="10"/>
      <c r="V205" s="10"/>
      <c r="W205" s="10"/>
      <c r="X205" s="10"/>
      <c r="Y205" s="10"/>
      <c r="Z205" s="10"/>
      <c r="AA205" s="10"/>
      <c r="AB205" s="10"/>
      <c r="AC205" s="10"/>
    </row>
    <row r="206" ht="15.75" customHeight="1">
      <c r="A206" s="10"/>
      <c r="B206" s="10"/>
      <c r="C206" s="10"/>
      <c r="D206" s="10"/>
      <c r="E206" s="10"/>
      <c r="F206" s="10"/>
      <c r="G206" s="10"/>
      <c r="H206" s="64"/>
      <c r="I206" s="10"/>
      <c r="J206" s="10"/>
      <c r="K206" s="10"/>
      <c r="L206" s="10"/>
      <c r="M206" s="10"/>
      <c r="N206" s="10"/>
      <c r="O206" s="64"/>
      <c r="P206" s="10"/>
      <c r="Q206" s="10"/>
      <c r="R206" s="10"/>
      <c r="S206" s="10"/>
      <c r="T206" s="10"/>
      <c r="U206" s="10"/>
      <c r="V206" s="10"/>
      <c r="W206" s="10"/>
      <c r="X206" s="10"/>
      <c r="Y206" s="10"/>
      <c r="Z206" s="10"/>
      <c r="AA206" s="10"/>
      <c r="AB206" s="10"/>
      <c r="AC206" s="10"/>
    </row>
    <row r="207" ht="15.75" customHeight="1">
      <c r="A207" s="10"/>
      <c r="B207" s="10"/>
      <c r="C207" s="10"/>
      <c r="D207" s="10"/>
      <c r="E207" s="10"/>
      <c r="F207" s="10"/>
      <c r="G207" s="10"/>
      <c r="H207" s="64"/>
      <c r="I207" s="10"/>
      <c r="J207" s="10"/>
      <c r="K207" s="10"/>
      <c r="L207" s="10"/>
      <c r="M207" s="10"/>
      <c r="N207" s="10"/>
      <c r="O207" s="64"/>
      <c r="P207" s="10"/>
      <c r="Q207" s="10"/>
      <c r="R207" s="10"/>
      <c r="S207" s="10"/>
      <c r="T207" s="10"/>
      <c r="U207" s="10"/>
      <c r="V207" s="10"/>
      <c r="W207" s="10"/>
      <c r="X207" s="10"/>
      <c r="Y207" s="10"/>
      <c r="Z207" s="10"/>
      <c r="AA207" s="10"/>
      <c r="AB207" s="10"/>
      <c r="AC207" s="10"/>
    </row>
    <row r="208" ht="15.75" customHeight="1">
      <c r="A208" s="10"/>
      <c r="B208" s="10"/>
      <c r="C208" s="10"/>
      <c r="D208" s="10"/>
      <c r="E208" s="10"/>
      <c r="F208" s="10"/>
      <c r="G208" s="10"/>
      <c r="H208" s="64"/>
      <c r="I208" s="10"/>
      <c r="J208" s="10"/>
      <c r="K208" s="10"/>
      <c r="L208" s="10"/>
      <c r="M208" s="10"/>
      <c r="N208" s="10"/>
      <c r="O208" s="64"/>
      <c r="P208" s="10"/>
      <c r="Q208" s="10"/>
      <c r="R208" s="10"/>
      <c r="S208" s="10"/>
      <c r="T208" s="10"/>
      <c r="U208" s="10"/>
      <c r="V208" s="10"/>
      <c r="W208" s="10"/>
      <c r="X208" s="10"/>
      <c r="Y208" s="10"/>
      <c r="Z208" s="10"/>
      <c r="AA208" s="10"/>
      <c r="AB208" s="10"/>
      <c r="AC208" s="10"/>
    </row>
    <row r="209" ht="15.75" customHeight="1">
      <c r="A209" s="10"/>
      <c r="B209" s="10"/>
      <c r="C209" s="10"/>
      <c r="D209" s="10"/>
      <c r="E209" s="10"/>
      <c r="F209" s="10"/>
      <c r="G209" s="10"/>
      <c r="H209" s="64"/>
      <c r="I209" s="10"/>
      <c r="J209" s="10"/>
      <c r="K209" s="10"/>
      <c r="L209" s="10"/>
      <c r="M209" s="10"/>
      <c r="N209" s="10"/>
      <c r="O209" s="64"/>
      <c r="P209" s="10"/>
      <c r="Q209" s="10"/>
      <c r="R209" s="10"/>
      <c r="S209" s="10"/>
      <c r="T209" s="10"/>
      <c r="U209" s="10"/>
      <c r="V209" s="10"/>
      <c r="W209" s="10"/>
      <c r="X209" s="10"/>
      <c r="Y209" s="10"/>
      <c r="Z209" s="10"/>
      <c r="AA209" s="10"/>
      <c r="AB209" s="10"/>
      <c r="AC209" s="10"/>
    </row>
    <row r="210" ht="15.75" customHeight="1">
      <c r="A210" s="10"/>
      <c r="B210" s="10"/>
      <c r="C210" s="10"/>
      <c r="D210" s="10"/>
      <c r="E210" s="10"/>
      <c r="F210" s="10"/>
      <c r="G210" s="10"/>
      <c r="H210" s="64"/>
      <c r="I210" s="10"/>
      <c r="J210" s="10"/>
      <c r="K210" s="10"/>
      <c r="L210" s="10"/>
      <c r="M210" s="10"/>
      <c r="N210" s="10"/>
      <c r="O210" s="64"/>
      <c r="P210" s="10"/>
      <c r="Q210" s="10"/>
      <c r="R210" s="10"/>
      <c r="S210" s="10"/>
      <c r="T210" s="10"/>
      <c r="U210" s="10"/>
      <c r="V210" s="10"/>
      <c r="W210" s="10"/>
      <c r="X210" s="10"/>
      <c r="Y210" s="10"/>
      <c r="Z210" s="10"/>
      <c r="AA210" s="10"/>
      <c r="AB210" s="10"/>
      <c r="AC210" s="10"/>
    </row>
    <row r="211" ht="15.75" customHeight="1">
      <c r="A211" s="10"/>
      <c r="B211" s="10"/>
      <c r="C211" s="10"/>
      <c r="D211" s="10"/>
      <c r="E211" s="10"/>
      <c r="F211" s="10"/>
      <c r="G211" s="10"/>
      <c r="H211" s="64"/>
      <c r="I211" s="10"/>
      <c r="J211" s="10"/>
      <c r="K211" s="10"/>
      <c r="L211" s="10"/>
      <c r="M211" s="10"/>
      <c r="N211" s="10"/>
      <c r="O211" s="64"/>
      <c r="P211" s="10"/>
      <c r="Q211" s="10"/>
      <c r="R211" s="10"/>
      <c r="S211" s="10"/>
      <c r="T211" s="10"/>
      <c r="U211" s="10"/>
      <c r="V211" s="10"/>
      <c r="W211" s="10"/>
      <c r="X211" s="10"/>
      <c r="Y211" s="10"/>
      <c r="Z211" s="10"/>
      <c r="AA211" s="10"/>
      <c r="AB211" s="10"/>
      <c r="AC211" s="10"/>
    </row>
    <row r="212" ht="15.75" customHeight="1">
      <c r="A212" s="10"/>
      <c r="B212" s="10"/>
      <c r="C212" s="10"/>
      <c r="D212" s="10"/>
      <c r="E212" s="10"/>
      <c r="F212" s="10"/>
      <c r="G212" s="10"/>
      <c r="H212" s="64"/>
      <c r="I212" s="10"/>
      <c r="J212" s="10"/>
      <c r="K212" s="10"/>
      <c r="L212" s="10"/>
      <c r="M212" s="10"/>
      <c r="N212" s="10"/>
      <c r="O212" s="64"/>
      <c r="P212" s="10"/>
      <c r="Q212" s="10"/>
      <c r="R212" s="10"/>
      <c r="S212" s="10"/>
      <c r="T212" s="10"/>
      <c r="U212" s="10"/>
      <c r="V212" s="10"/>
      <c r="W212" s="10"/>
      <c r="X212" s="10"/>
      <c r="Y212" s="10"/>
      <c r="Z212" s="10"/>
      <c r="AA212" s="10"/>
      <c r="AB212" s="10"/>
      <c r="AC212" s="10"/>
    </row>
    <row r="213" ht="15.75" customHeight="1">
      <c r="A213" s="10"/>
      <c r="B213" s="10"/>
      <c r="C213" s="10"/>
      <c r="D213" s="10"/>
      <c r="E213" s="10"/>
      <c r="F213" s="10"/>
      <c r="G213" s="10"/>
      <c r="H213" s="64"/>
      <c r="I213" s="10"/>
      <c r="J213" s="10"/>
      <c r="K213" s="10"/>
      <c r="L213" s="10"/>
      <c r="M213" s="10"/>
      <c r="N213" s="10"/>
      <c r="O213" s="64"/>
      <c r="P213" s="10"/>
      <c r="Q213" s="10"/>
      <c r="R213" s="10"/>
      <c r="S213" s="10"/>
      <c r="T213" s="10"/>
      <c r="U213" s="10"/>
      <c r="V213" s="10"/>
      <c r="W213" s="10"/>
      <c r="X213" s="10"/>
      <c r="Y213" s="10"/>
      <c r="Z213" s="10"/>
      <c r="AA213" s="10"/>
      <c r="AB213" s="10"/>
      <c r="AC213" s="10"/>
    </row>
    <row r="214" ht="15.75" customHeight="1">
      <c r="A214" s="10"/>
      <c r="B214" s="10"/>
      <c r="C214" s="10"/>
      <c r="D214" s="10"/>
      <c r="E214" s="10"/>
      <c r="F214" s="10"/>
      <c r="G214" s="10"/>
      <c r="H214" s="64"/>
      <c r="I214" s="10"/>
      <c r="J214" s="10"/>
      <c r="K214" s="10"/>
      <c r="L214" s="10"/>
      <c r="M214" s="10"/>
      <c r="N214" s="10"/>
      <c r="O214" s="64"/>
      <c r="P214" s="10"/>
      <c r="Q214" s="10"/>
      <c r="R214" s="10"/>
      <c r="S214" s="10"/>
      <c r="T214" s="10"/>
      <c r="U214" s="10"/>
      <c r="V214" s="10"/>
      <c r="W214" s="10"/>
      <c r="X214" s="10"/>
      <c r="Y214" s="10"/>
      <c r="Z214" s="10"/>
      <c r="AA214" s="10"/>
      <c r="AB214" s="10"/>
      <c r="AC214" s="10"/>
    </row>
    <row r="215" ht="15.75" customHeight="1">
      <c r="A215" s="10"/>
      <c r="B215" s="10"/>
      <c r="C215" s="10"/>
      <c r="D215" s="10"/>
      <c r="E215" s="10"/>
      <c r="F215" s="10"/>
      <c r="G215" s="10"/>
      <c r="H215" s="64"/>
      <c r="I215" s="10"/>
      <c r="J215" s="10"/>
      <c r="K215" s="10"/>
      <c r="L215" s="10"/>
      <c r="M215" s="10"/>
      <c r="N215" s="10"/>
      <c r="O215" s="64"/>
      <c r="P215" s="10"/>
      <c r="Q215" s="10"/>
      <c r="R215" s="10"/>
      <c r="S215" s="10"/>
      <c r="T215" s="10"/>
      <c r="U215" s="10"/>
      <c r="V215" s="10"/>
      <c r="W215" s="10"/>
      <c r="X215" s="10"/>
      <c r="Y215" s="10"/>
      <c r="Z215" s="10"/>
      <c r="AA215" s="10"/>
      <c r="AB215" s="10"/>
      <c r="AC215" s="10"/>
    </row>
    <row r="216" ht="15.75" customHeight="1">
      <c r="A216" s="10"/>
      <c r="B216" s="10"/>
      <c r="C216" s="10"/>
      <c r="D216" s="10"/>
      <c r="E216" s="10"/>
      <c r="F216" s="10"/>
      <c r="G216" s="10"/>
      <c r="H216" s="64"/>
      <c r="I216" s="10"/>
      <c r="J216" s="10"/>
      <c r="K216" s="10"/>
      <c r="L216" s="10"/>
      <c r="M216" s="10"/>
      <c r="N216" s="10"/>
      <c r="O216" s="64"/>
      <c r="P216" s="10"/>
      <c r="Q216" s="10"/>
      <c r="R216" s="10"/>
      <c r="S216" s="10"/>
      <c r="T216" s="10"/>
      <c r="U216" s="10"/>
      <c r="V216" s="10"/>
      <c r="W216" s="10"/>
      <c r="X216" s="10"/>
      <c r="Y216" s="10"/>
      <c r="Z216" s="10"/>
      <c r="AA216" s="10"/>
      <c r="AB216" s="10"/>
      <c r="AC216" s="10"/>
    </row>
    <row r="217" ht="15.75" customHeight="1">
      <c r="A217" s="10"/>
      <c r="B217" s="10"/>
      <c r="C217" s="10"/>
      <c r="D217" s="10"/>
      <c r="E217" s="10"/>
      <c r="F217" s="10"/>
      <c r="G217" s="10"/>
      <c r="H217" s="64"/>
      <c r="I217" s="10"/>
      <c r="J217" s="10"/>
      <c r="K217" s="10"/>
      <c r="L217" s="10"/>
      <c r="M217" s="10"/>
      <c r="N217" s="10"/>
      <c r="O217" s="64"/>
      <c r="P217" s="10"/>
      <c r="Q217" s="10"/>
      <c r="R217" s="10"/>
      <c r="S217" s="10"/>
      <c r="T217" s="10"/>
      <c r="U217" s="10"/>
      <c r="V217" s="10"/>
      <c r="W217" s="10"/>
      <c r="X217" s="10"/>
      <c r="Y217" s="10"/>
      <c r="Z217" s="10"/>
      <c r="AA217" s="10"/>
      <c r="AB217" s="10"/>
      <c r="AC217" s="10"/>
    </row>
    <row r="218" ht="15.75" customHeight="1">
      <c r="A218" s="10"/>
      <c r="B218" s="10"/>
      <c r="C218" s="10"/>
      <c r="D218" s="10"/>
      <c r="E218" s="10"/>
      <c r="F218" s="10"/>
      <c r="G218" s="10"/>
      <c r="H218" s="64"/>
      <c r="I218" s="10"/>
      <c r="J218" s="10"/>
      <c r="K218" s="10"/>
      <c r="L218" s="10"/>
      <c r="M218" s="10"/>
      <c r="N218" s="10"/>
      <c r="O218" s="64"/>
      <c r="P218" s="10"/>
      <c r="Q218" s="10"/>
      <c r="R218" s="10"/>
      <c r="S218" s="10"/>
      <c r="T218" s="10"/>
      <c r="U218" s="10"/>
      <c r="V218" s="10"/>
      <c r="W218" s="10"/>
      <c r="X218" s="10"/>
      <c r="Y218" s="10"/>
      <c r="Z218" s="10"/>
      <c r="AA218" s="10"/>
      <c r="AB218" s="10"/>
      <c r="AC218" s="10"/>
    </row>
    <row r="219" ht="15.75" customHeight="1">
      <c r="A219" s="10"/>
      <c r="B219" s="10"/>
      <c r="C219" s="10"/>
      <c r="D219" s="10"/>
      <c r="E219" s="10"/>
      <c r="F219" s="10"/>
      <c r="G219" s="10"/>
      <c r="H219" s="64"/>
      <c r="I219" s="10"/>
      <c r="J219" s="10"/>
      <c r="K219" s="10"/>
      <c r="L219" s="10"/>
      <c r="M219" s="10"/>
      <c r="N219" s="10"/>
      <c r="O219" s="64"/>
      <c r="P219" s="10"/>
      <c r="Q219" s="10"/>
      <c r="R219" s="10"/>
      <c r="S219" s="10"/>
      <c r="T219" s="10"/>
      <c r="U219" s="10"/>
      <c r="V219" s="10"/>
      <c r="W219" s="10"/>
      <c r="X219" s="10"/>
      <c r="Y219" s="10"/>
      <c r="Z219" s="10"/>
      <c r="AA219" s="10"/>
      <c r="AB219" s="10"/>
      <c r="AC219" s="10"/>
    </row>
    <row r="220" ht="15.75" customHeight="1">
      <c r="A220" s="10"/>
      <c r="B220" s="10"/>
      <c r="C220" s="10"/>
      <c r="D220" s="10"/>
      <c r="E220" s="10"/>
      <c r="F220" s="10"/>
      <c r="G220" s="10"/>
      <c r="H220" s="64"/>
      <c r="I220" s="10"/>
      <c r="J220" s="10"/>
      <c r="K220" s="10"/>
      <c r="L220" s="10"/>
      <c r="M220" s="10"/>
      <c r="N220" s="10"/>
      <c r="O220" s="64"/>
      <c r="P220" s="10"/>
      <c r="Q220" s="10"/>
      <c r="R220" s="10"/>
      <c r="S220" s="10"/>
      <c r="T220" s="10"/>
      <c r="U220" s="10"/>
      <c r="V220" s="10"/>
      <c r="W220" s="10"/>
      <c r="X220" s="10"/>
      <c r="Y220" s="10"/>
      <c r="Z220" s="10"/>
      <c r="AA220" s="10"/>
      <c r="AB220" s="10"/>
      <c r="AC220" s="10"/>
    </row>
    <row r="221" ht="15.75" customHeight="1">
      <c r="A221" s="10"/>
      <c r="B221" s="10"/>
      <c r="C221" s="10"/>
      <c r="D221" s="10"/>
      <c r="E221" s="10"/>
      <c r="F221" s="10"/>
      <c r="G221" s="10"/>
      <c r="H221" s="64"/>
      <c r="I221" s="10"/>
      <c r="J221" s="10"/>
      <c r="K221" s="10"/>
      <c r="L221" s="10"/>
      <c r="M221" s="10"/>
      <c r="N221" s="10"/>
      <c r="O221" s="64"/>
      <c r="P221" s="10"/>
      <c r="Q221" s="10"/>
      <c r="R221" s="10"/>
      <c r="S221" s="10"/>
      <c r="T221" s="10"/>
      <c r="U221" s="10"/>
      <c r="V221" s="10"/>
      <c r="W221" s="10"/>
      <c r="X221" s="10"/>
      <c r="Y221" s="10"/>
      <c r="Z221" s="10"/>
      <c r="AA221" s="10"/>
      <c r="AB221" s="10"/>
      <c r="AC221" s="10"/>
    </row>
    <row r="222" ht="15.75" customHeight="1">
      <c r="A222" s="10"/>
      <c r="B222" s="10"/>
      <c r="C222" s="10"/>
      <c r="D222" s="10"/>
      <c r="E222" s="10"/>
      <c r="F222" s="10"/>
      <c r="G222" s="10"/>
      <c r="H222" s="64"/>
      <c r="I222" s="10"/>
      <c r="J222" s="10"/>
      <c r="K222" s="10"/>
      <c r="L222" s="10"/>
      <c r="M222" s="10"/>
      <c r="N222" s="10"/>
      <c r="O222" s="64"/>
      <c r="P222" s="10"/>
      <c r="Q222" s="10"/>
      <c r="R222" s="10"/>
      <c r="S222" s="10"/>
      <c r="T222" s="10"/>
      <c r="U222" s="10"/>
      <c r="V222" s="10"/>
      <c r="W222" s="10"/>
      <c r="X222" s="10"/>
      <c r="Y222" s="10"/>
      <c r="Z222" s="10"/>
      <c r="AA222" s="10"/>
      <c r="AB222" s="10"/>
      <c r="AC222" s="10"/>
    </row>
    <row r="223" ht="15.75" customHeight="1">
      <c r="A223" s="10"/>
      <c r="B223" s="10"/>
      <c r="C223" s="10"/>
      <c r="D223" s="10"/>
      <c r="E223" s="10"/>
      <c r="F223" s="10"/>
      <c r="G223" s="10"/>
      <c r="H223" s="64"/>
      <c r="I223" s="10"/>
      <c r="J223" s="10"/>
      <c r="K223" s="10"/>
      <c r="L223" s="10"/>
      <c r="M223" s="10"/>
      <c r="N223" s="10"/>
      <c r="O223" s="64"/>
      <c r="P223" s="10"/>
      <c r="Q223" s="10"/>
      <c r="R223" s="10"/>
      <c r="S223" s="10"/>
      <c r="T223" s="10"/>
      <c r="U223" s="10"/>
      <c r="V223" s="10"/>
      <c r="W223" s="10"/>
      <c r="X223" s="10"/>
      <c r="Y223" s="10"/>
      <c r="Z223" s="10"/>
      <c r="AA223" s="10"/>
      <c r="AB223" s="10"/>
      <c r="AC223" s="10"/>
    </row>
    <row r="224" ht="15.75" customHeight="1">
      <c r="A224" s="10"/>
      <c r="B224" s="10"/>
      <c r="C224" s="10"/>
      <c r="D224" s="10"/>
      <c r="E224" s="10"/>
      <c r="F224" s="10"/>
      <c r="G224" s="10"/>
      <c r="H224" s="64"/>
      <c r="I224" s="10"/>
      <c r="J224" s="10"/>
      <c r="K224" s="10"/>
      <c r="L224" s="10"/>
      <c r="M224" s="10"/>
      <c r="N224" s="10"/>
      <c r="O224" s="64"/>
      <c r="P224" s="10"/>
      <c r="Q224" s="10"/>
      <c r="R224" s="10"/>
      <c r="S224" s="10"/>
      <c r="T224" s="10"/>
      <c r="U224" s="10"/>
      <c r="V224" s="10"/>
      <c r="W224" s="10"/>
      <c r="X224" s="10"/>
      <c r="Y224" s="10"/>
      <c r="Z224" s="10"/>
      <c r="AA224" s="10"/>
      <c r="AB224" s="10"/>
      <c r="AC224" s="10"/>
    </row>
    <row r="225" ht="15.75" customHeight="1">
      <c r="A225" s="10"/>
      <c r="B225" s="10"/>
      <c r="C225" s="10"/>
      <c r="D225" s="10"/>
      <c r="E225" s="10"/>
      <c r="F225" s="10"/>
      <c r="G225" s="10"/>
      <c r="H225" s="64"/>
      <c r="I225" s="10"/>
      <c r="J225" s="10"/>
      <c r="K225" s="10"/>
      <c r="L225" s="10"/>
      <c r="M225" s="10"/>
      <c r="N225" s="10"/>
      <c r="O225" s="64"/>
      <c r="P225" s="10"/>
      <c r="Q225" s="10"/>
      <c r="R225" s="10"/>
      <c r="S225" s="10"/>
      <c r="T225" s="10"/>
      <c r="U225" s="10"/>
      <c r="V225" s="10"/>
      <c r="W225" s="10"/>
      <c r="X225" s="10"/>
      <c r="Y225" s="10"/>
      <c r="Z225" s="10"/>
      <c r="AA225" s="10"/>
      <c r="AB225" s="10"/>
      <c r="AC225" s="10"/>
    </row>
    <row r="226" ht="15.75" customHeight="1">
      <c r="A226" s="10"/>
      <c r="B226" s="10"/>
      <c r="C226" s="10"/>
      <c r="D226" s="10"/>
      <c r="E226" s="10"/>
      <c r="F226" s="10"/>
      <c r="G226" s="10"/>
      <c r="H226" s="64"/>
      <c r="I226" s="10"/>
      <c r="J226" s="10"/>
      <c r="K226" s="10"/>
      <c r="L226" s="10"/>
      <c r="M226" s="10"/>
      <c r="N226" s="10"/>
      <c r="O226" s="64"/>
      <c r="P226" s="10"/>
      <c r="Q226" s="10"/>
      <c r="R226" s="10"/>
      <c r="S226" s="10"/>
      <c r="T226" s="10"/>
      <c r="U226" s="10"/>
      <c r="V226" s="10"/>
      <c r="W226" s="10"/>
      <c r="X226" s="10"/>
      <c r="Y226" s="10"/>
      <c r="Z226" s="10"/>
      <c r="AA226" s="10"/>
      <c r="AB226" s="10"/>
      <c r="AC226" s="10"/>
    </row>
    <row r="227" ht="15.75" customHeight="1">
      <c r="A227" s="10"/>
      <c r="B227" s="10"/>
      <c r="C227" s="10"/>
      <c r="D227" s="10"/>
      <c r="E227" s="10"/>
      <c r="F227" s="10"/>
      <c r="G227" s="10"/>
      <c r="H227" s="64"/>
      <c r="I227" s="10"/>
      <c r="J227" s="10"/>
      <c r="K227" s="10"/>
      <c r="L227" s="10"/>
      <c r="M227" s="10"/>
      <c r="N227" s="10"/>
      <c r="O227" s="64"/>
      <c r="P227" s="10"/>
      <c r="Q227" s="10"/>
      <c r="R227" s="10"/>
      <c r="S227" s="10"/>
      <c r="T227" s="10"/>
      <c r="U227" s="10"/>
      <c r="V227" s="10"/>
      <c r="W227" s="10"/>
      <c r="X227" s="10"/>
      <c r="Y227" s="10"/>
      <c r="Z227" s="10"/>
      <c r="AA227" s="10"/>
      <c r="AB227" s="10"/>
      <c r="AC227" s="10"/>
    </row>
    <row r="228" ht="15.75" customHeight="1">
      <c r="A228" s="10"/>
      <c r="B228" s="10"/>
      <c r="C228" s="10"/>
      <c r="D228" s="10"/>
      <c r="E228" s="10"/>
      <c r="F228" s="10"/>
      <c r="G228" s="10"/>
      <c r="H228" s="64"/>
      <c r="I228" s="10"/>
      <c r="J228" s="10"/>
      <c r="K228" s="10"/>
      <c r="L228" s="10"/>
      <c r="M228" s="10"/>
      <c r="N228" s="10"/>
      <c r="O228" s="64"/>
      <c r="P228" s="10"/>
      <c r="Q228" s="10"/>
      <c r="R228" s="10"/>
      <c r="S228" s="10"/>
      <c r="T228" s="10"/>
      <c r="U228" s="10"/>
      <c r="V228" s="10"/>
      <c r="W228" s="10"/>
      <c r="X228" s="10"/>
      <c r="Y228" s="10"/>
      <c r="Z228" s="10"/>
      <c r="AA228" s="10"/>
      <c r="AB228" s="10"/>
      <c r="AC228" s="10"/>
    </row>
    <row r="229" ht="15.75" customHeight="1">
      <c r="A229" s="10"/>
      <c r="B229" s="10"/>
      <c r="C229" s="10"/>
      <c r="D229" s="10"/>
      <c r="E229" s="10"/>
      <c r="F229" s="10"/>
      <c r="G229" s="10"/>
      <c r="H229" s="64"/>
      <c r="I229" s="10"/>
      <c r="J229" s="10"/>
      <c r="K229" s="10"/>
      <c r="L229" s="10"/>
      <c r="M229" s="10"/>
      <c r="N229" s="10"/>
      <c r="O229" s="64"/>
      <c r="P229" s="10"/>
      <c r="Q229" s="10"/>
      <c r="R229" s="10"/>
      <c r="S229" s="10"/>
      <c r="T229" s="10"/>
      <c r="U229" s="10"/>
      <c r="V229" s="10"/>
      <c r="W229" s="10"/>
      <c r="X229" s="10"/>
      <c r="Y229" s="10"/>
      <c r="Z229" s="10"/>
      <c r="AA229" s="10"/>
      <c r="AB229" s="10"/>
      <c r="AC229" s="10"/>
    </row>
    <row r="230" ht="15.75" customHeight="1">
      <c r="A230" s="10"/>
      <c r="B230" s="10"/>
      <c r="C230" s="10"/>
      <c r="D230" s="10"/>
      <c r="E230" s="10"/>
      <c r="F230" s="10"/>
      <c r="G230" s="10"/>
      <c r="H230" s="64"/>
      <c r="I230" s="10"/>
      <c r="J230" s="10"/>
      <c r="K230" s="10"/>
      <c r="L230" s="10"/>
      <c r="M230" s="10"/>
      <c r="N230" s="10"/>
      <c r="O230" s="64"/>
      <c r="P230" s="10"/>
      <c r="Q230" s="10"/>
      <c r="R230" s="10"/>
      <c r="S230" s="10"/>
      <c r="T230" s="10"/>
      <c r="U230" s="10"/>
      <c r="V230" s="10"/>
      <c r="W230" s="10"/>
      <c r="X230" s="10"/>
      <c r="Y230" s="10"/>
      <c r="Z230" s="10"/>
      <c r="AA230" s="10"/>
      <c r="AB230" s="10"/>
      <c r="AC230" s="10"/>
    </row>
    <row r="231" ht="15.75" customHeight="1">
      <c r="A231" s="10"/>
      <c r="B231" s="10"/>
      <c r="C231" s="10"/>
      <c r="D231" s="10"/>
      <c r="E231" s="10"/>
      <c r="F231" s="10"/>
      <c r="G231" s="10"/>
      <c r="H231" s="64"/>
      <c r="I231" s="10"/>
      <c r="J231" s="10"/>
      <c r="K231" s="10"/>
      <c r="L231" s="10"/>
      <c r="M231" s="10"/>
      <c r="N231" s="10"/>
      <c r="O231" s="64"/>
      <c r="P231" s="10"/>
      <c r="Q231" s="10"/>
      <c r="R231" s="10"/>
      <c r="S231" s="10"/>
      <c r="T231" s="10"/>
      <c r="U231" s="10"/>
      <c r="V231" s="10"/>
      <c r="W231" s="10"/>
      <c r="X231" s="10"/>
      <c r="Y231" s="10"/>
      <c r="Z231" s="10"/>
      <c r="AA231" s="10"/>
      <c r="AB231" s="10"/>
      <c r="AC231" s="10"/>
    </row>
    <row r="232" ht="15.75" customHeight="1">
      <c r="A232" s="10"/>
      <c r="B232" s="10"/>
      <c r="C232" s="10"/>
      <c r="D232" s="10"/>
      <c r="E232" s="10"/>
      <c r="F232" s="10"/>
      <c r="G232" s="10"/>
      <c r="H232" s="64"/>
      <c r="I232" s="10"/>
      <c r="J232" s="10"/>
      <c r="K232" s="10"/>
      <c r="L232" s="10"/>
      <c r="M232" s="10"/>
      <c r="N232" s="10"/>
      <c r="O232" s="64"/>
      <c r="P232" s="10"/>
      <c r="Q232" s="10"/>
      <c r="R232" s="10"/>
      <c r="S232" s="10"/>
      <c r="T232" s="10"/>
      <c r="U232" s="10"/>
      <c r="V232" s="10"/>
      <c r="W232" s="10"/>
      <c r="X232" s="10"/>
      <c r="Y232" s="10"/>
      <c r="Z232" s="10"/>
      <c r="AA232" s="10"/>
      <c r="AB232" s="10"/>
      <c r="AC232" s="10"/>
    </row>
    <row r="233" ht="15.75" customHeight="1">
      <c r="A233" s="10"/>
      <c r="B233" s="10"/>
      <c r="C233" s="10"/>
      <c r="D233" s="10"/>
      <c r="E233" s="10"/>
      <c r="F233" s="10"/>
      <c r="G233" s="10"/>
      <c r="H233" s="64"/>
      <c r="I233" s="10"/>
      <c r="J233" s="10"/>
      <c r="K233" s="10"/>
      <c r="L233" s="10"/>
      <c r="M233" s="10"/>
      <c r="N233" s="10"/>
      <c r="O233" s="64"/>
      <c r="P233" s="10"/>
      <c r="Q233" s="10"/>
      <c r="R233" s="10"/>
      <c r="S233" s="10"/>
      <c r="T233" s="10"/>
      <c r="U233" s="10"/>
      <c r="V233" s="10"/>
      <c r="W233" s="10"/>
      <c r="X233" s="10"/>
      <c r="Y233" s="10"/>
      <c r="Z233" s="10"/>
      <c r="AA233" s="10"/>
      <c r="AB233" s="10"/>
      <c r="AC233" s="10"/>
    </row>
    <row r="234" ht="15.75" customHeight="1">
      <c r="A234" s="10"/>
      <c r="B234" s="10"/>
      <c r="C234" s="10"/>
      <c r="D234" s="10"/>
      <c r="E234" s="10"/>
      <c r="F234" s="10"/>
      <c r="G234" s="10"/>
      <c r="H234" s="64"/>
      <c r="I234" s="10"/>
      <c r="J234" s="10"/>
      <c r="K234" s="10"/>
      <c r="L234" s="10"/>
      <c r="M234" s="10"/>
      <c r="N234" s="10"/>
      <c r="O234" s="64"/>
      <c r="P234" s="10"/>
      <c r="Q234" s="10"/>
      <c r="R234" s="10"/>
      <c r="S234" s="10"/>
      <c r="T234" s="10"/>
      <c r="U234" s="10"/>
      <c r="V234" s="10"/>
      <c r="W234" s="10"/>
      <c r="X234" s="10"/>
      <c r="Y234" s="10"/>
      <c r="Z234" s="10"/>
      <c r="AA234" s="10"/>
      <c r="AB234" s="10"/>
      <c r="AC234" s="10"/>
    </row>
    <row r="235" ht="15.75" customHeight="1">
      <c r="A235" s="10"/>
      <c r="B235" s="10"/>
      <c r="C235" s="10"/>
      <c r="D235" s="10"/>
      <c r="E235" s="10"/>
      <c r="F235" s="10"/>
      <c r="G235" s="10"/>
      <c r="H235" s="64"/>
      <c r="I235" s="10"/>
      <c r="J235" s="10"/>
      <c r="K235" s="10"/>
      <c r="L235" s="10"/>
      <c r="M235" s="10"/>
      <c r="N235" s="10"/>
      <c r="O235" s="64"/>
      <c r="P235" s="10"/>
      <c r="Q235" s="10"/>
      <c r="R235" s="10"/>
      <c r="S235" s="10"/>
      <c r="T235" s="10"/>
      <c r="U235" s="10"/>
      <c r="V235" s="10"/>
      <c r="W235" s="10"/>
      <c r="X235" s="10"/>
      <c r="Y235" s="10"/>
      <c r="Z235" s="10"/>
      <c r="AA235" s="10"/>
      <c r="AB235" s="10"/>
      <c r="AC235" s="10"/>
    </row>
    <row r="236" ht="15.75" customHeight="1">
      <c r="A236" s="10"/>
      <c r="B236" s="10"/>
      <c r="C236" s="10"/>
      <c r="D236" s="10"/>
      <c r="E236" s="10"/>
      <c r="F236" s="10"/>
      <c r="G236" s="10"/>
      <c r="H236" s="64"/>
      <c r="I236" s="10"/>
      <c r="J236" s="10"/>
      <c r="K236" s="10"/>
      <c r="L236" s="10"/>
      <c r="M236" s="10"/>
      <c r="N236" s="10"/>
      <c r="O236" s="64"/>
      <c r="P236" s="10"/>
      <c r="Q236" s="10"/>
      <c r="R236" s="10"/>
      <c r="S236" s="10"/>
      <c r="T236" s="10"/>
      <c r="U236" s="10"/>
      <c r="V236" s="10"/>
      <c r="W236" s="10"/>
      <c r="X236" s="10"/>
      <c r="Y236" s="10"/>
      <c r="Z236" s="10"/>
      <c r="AA236" s="10"/>
      <c r="AB236" s="10"/>
      <c r="AC236" s="10"/>
    </row>
    <row r="237" ht="15.75" customHeight="1">
      <c r="A237" s="10"/>
      <c r="B237" s="10"/>
      <c r="C237" s="10"/>
      <c r="D237" s="10"/>
      <c r="E237" s="10"/>
      <c r="F237" s="10"/>
      <c r="G237" s="10"/>
      <c r="H237" s="64"/>
      <c r="I237" s="10"/>
      <c r="J237" s="10"/>
      <c r="K237" s="10"/>
      <c r="L237" s="10"/>
      <c r="M237" s="10"/>
      <c r="N237" s="10"/>
      <c r="O237" s="64"/>
      <c r="P237" s="10"/>
      <c r="Q237" s="10"/>
      <c r="R237" s="10"/>
      <c r="S237" s="10"/>
      <c r="T237" s="10"/>
      <c r="U237" s="10"/>
      <c r="V237" s="10"/>
      <c r="W237" s="10"/>
      <c r="X237" s="10"/>
      <c r="Y237" s="10"/>
      <c r="Z237" s="10"/>
      <c r="AA237" s="10"/>
      <c r="AB237" s="10"/>
      <c r="AC237" s="10"/>
    </row>
    <row r="238" ht="15.75" customHeight="1">
      <c r="A238" s="10"/>
      <c r="B238" s="10"/>
      <c r="C238" s="10"/>
      <c r="D238" s="10"/>
      <c r="E238" s="10"/>
      <c r="F238" s="10"/>
      <c r="G238" s="10"/>
      <c r="H238" s="64"/>
      <c r="I238" s="10"/>
      <c r="J238" s="10"/>
      <c r="K238" s="10"/>
      <c r="L238" s="10"/>
      <c r="M238" s="10"/>
      <c r="N238" s="10"/>
      <c r="O238" s="64"/>
      <c r="P238" s="10"/>
      <c r="Q238" s="10"/>
      <c r="R238" s="10"/>
      <c r="S238" s="10"/>
      <c r="T238" s="10"/>
      <c r="U238" s="10"/>
      <c r="V238" s="10"/>
      <c r="W238" s="10"/>
      <c r="X238" s="10"/>
      <c r="Y238" s="10"/>
      <c r="Z238" s="10"/>
      <c r="AA238" s="10"/>
      <c r="AB238" s="10"/>
      <c r="AC238" s="10"/>
    </row>
    <row r="239" ht="15.75" customHeight="1">
      <c r="A239" s="10"/>
      <c r="B239" s="10"/>
      <c r="C239" s="10"/>
      <c r="D239" s="10"/>
      <c r="E239" s="10"/>
      <c r="F239" s="10"/>
      <c r="G239" s="10"/>
      <c r="H239" s="64"/>
      <c r="I239" s="10"/>
      <c r="J239" s="10"/>
      <c r="K239" s="10"/>
      <c r="L239" s="10"/>
      <c r="M239" s="10"/>
      <c r="N239" s="10"/>
      <c r="O239" s="64"/>
      <c r="P239" s="10"/>
      <c r="Q239" s="10"/>
      <c r="R239" s="10"/>
      <c r="S239" s="10"/>
      <c r="T239" s="10"/>
      <c r="U239" s="10"/>
      <c r="V239" s="10"/>
      <c r="W239" s="10"/>
      <c r="X239" s="10"/>
      <c r="Y239" s="10"/>
      <c r="Z239" s="10"/>
      <c r="AA239" s="10"/>
      <c r="AB239" s="10"/>
      <c r="AC239" s="10"/>
    </row>
    <row r="240" ht="15.75" customHeight="1">
      <c r="A240" s="10"/>
      <c r="B240" s="10"/>
      <c r="C240" s="10"/>
      <c r="D240" s="10"/>
      <c r="E240" s="10"/>
      <c r="F240" s="10"/>
      <c r="G240" s="10"/>
      <c r="H240" s="64"/>
      <c r="I240" s="10"/>
      <c r="J240" s="10"/>
      <c r="K240" s="10"/>
      <c r="L240" s="10"/>
      <c r="M240" s="10"/>
      <c r="N240" s="10"/>
      <c r="O240" s="64"/>
      <c r="P240" s="10"/>
      <c r="Q240" s="10"/>
      <c r="R240" s="10"/>
      <c r="S240" s="10"/>
      <c r="T240" s="10"/>
      <c r="U240" s="10"/>
      <c r="V240" s="10"/>
      <c r="W240" s="10"/>
      <c r="X240" s="10"/>
      <c r="Y240" s="10"/>
      <c r="Z240" s="10"/>
      <c r="AA240" s="10"/>
      <c r="AB240" s="10"/>
      <c r="AC240" s="10"/>
    </row>
    <row r="241" ht="15.75" customHeight="1">
      <c r="A241" s="10"/>
      <c r="B241" s="10"/>
      <c r="C241" s="10"/>
      <c r="D241" s="10"/>
      <c r="E241" s="10"/>
      <c r="F241" s="10"/>
      <c r="G241" s="10"/>
      <c r="H241" s="64"/>
      <c r="I241" s="10"/>
      <c r="J241" s="10"/>
      <c r="K241" s="10"/>
      <c r="L241" s="10"/>
      <c r="M241" s="10"/>
      <c r="N241" s="10"/>
      <c r="O241" s="64"/>
      <c r="P241" s="10"/>
      <c r="Q241" s="10"/>
      <c r="R241" s="10"/>
      <c r="S241" s="10"/>
      <c r="T241" s="10"/>
      <c r="U241" s="10"/>
      <c r="V241" s="10"/>
      <c r="W241" s="10"/>
      <c r="X241" s="10"/>
      <c r="Y241" s="10"/>
      <c r="Z241" s="10"/>
      <c r="AA241" s="10"/>
      <c r="AB241" s="10"/>
      <c r="AC241" s="10"/>
    </row>
    <row r="242" ht="15.75" customHeight="1">
      <c r="A242" s="10"/>
      <c r="B242" s="10"/>
      <c r="C242" s="10"/>
      <c r="D242" s="10"/>
      <c r="E242" s="10"/>
      <c r="F242" s="10"/>
      <c r="G242" s="10"/>
      <c r="H242" s="64"/>
      <c r="I242" s="10"/>
      <c r="J242" s="10"/>
      <c r="K242" s="10"/>
      <c r="L242" s="10"/>
      <c r="M242" s="10"/>
      <c r="N242" s="10"/>
      <c r="O242" s="64"/>
      <c r="P242" s="10"/>
      <c r="Q242" s="10"/>
      <c r="R242" s="10"/>
      <c r="S242" s="10"/>
      <c r="T242" s="10"/>
      <c r="U242" s="10"/>
      <c r="V242" s="10"/>
      <c r="W242" s="10"/>
      <c r="X242" s="10"/>
      <c r="Y242" s="10"/>
      <c r="Z242" s="10"/>
      <c r="AA242" s="10"/>
      <c r="AB242" s="10"/>
      <c r="AC242" s="10"/>
    </row>
    <row r="243" ht="15.75" customHeight="1">
      <c r="A243" s="10"/>
      <c r="B243" s="10"/>
      <c r="C243" s="10"/>
      <c r="D243" s="10"/>
      <c r="E243" s="10"/>
      <c r="F243" s="10"/>
      <c r="G243" s="10"/>
      <c r="H243" s="64"/>
      <c r="I243" s="10"/>
      <c r="J243" s="10"/>
      <c r="K243" s="10"/>
      <c r="L243" s="10"/>
      <c r="M243" s="10"/>
      <c r="N243" s="10"/>
      <c r="O243" s="64"/>
      <c r="P243" s="10"/>
      <c r="Q243" s="10"/>
      <c r="R243" s="10"/>
      <c r="S243" s="10"/>
      <c r="T243" s="10"/>
      <c r="U243" s="10"/>
      <c r="V243" s="10"/>
      <c r="W243" s="10"/>
      <c r="X243" s="10"/>
      <c r="Y243" s="10"/>
      <c r="Z243" s="10"/>
      <c r="AA243" s="10"/>
      <c r="AB243" s="10"/>
      <c r="AC243" s="10"/>
    </row>
    <row r="244" ht="15.75" customHeight="1">
      <c r="A244" s="10"/>
      <c r="B244" s="10"/>
      <c r="C244" s="10"/>
      <c r="D244" s="10"/>
      <c r="E244" s="10"/>
      <c r="F244" s="10"/>
      <c r="G244" s="10"/>
      <c r="H244" s="64"/>
      <c r="I244" s="10"/>
      <c r="J244" s="10"/>
      <c r="K244" s="10"/>
      <c r="L244" s="10"/>
      <c r="M244" s="10"/>
      <c r="N244" s="10"/>
      <c r="O244" s="64"/>
      <c r="P244" s="10"/>
      <c r="Q244" s="10"/>
      <c r="R244" s="10"/>
      <c r="S244" s="10"/>
      <c r="T244" s="10"/>
      <c r="U244" s="10"/>
      <c r="V244" s="10"/>
      <c r="W244" s="10"/>
      <c r="X244" s="10"/>
      <c r="Y244" s="10"/>
      <c r="Z244" s="10"/>
      <c r="AA244" s="10"/>
      <c r="AB244" s="10"/>
      <c r="AC244" s="10"/>
    </row>
    <row r="245" ht="15.75" customHeight="1">
      <c r="A245" s="10"/>
      <c r="B245" s="10"/>
      <c r="C245" s="10"/>
      <c r="D245" s="10"/>
      <c r="E245" s="10"/>
      <c r="F245" s="10"/>
      <c r="G245" s="10"/>
      <c r="H245" s="64"/>
      <c r="I245" s="10"/>
      <c r="J245" s="10"/>
      <c r="K245" s="10"/>
      <c r="L245" s="10"/>
      <c r="M245" s="10"/>
      <c r="N245" s="10"/>
      <c r="O245" s="64"/>
      <c r="P245" s="10"/>
      <c r="Q245" s="10"/>
      <c r="R245" s="10"/>
      <c r="S245" s="10"/>
      <c r="T245" s="10"/>
      <c r="U245" s="10"/>
      <c r="V245" s="10"/>
      <c r="W245" s="10"/>
      <c r="X245" s="10"/>
      <c r="Y245" s="10"/>
      <c r="Z245" s="10"/>
      <c r="AA245" s="10"/>
      <c r="AB245" s="10"/>
      <c r="AC245" s="10"/>
    </row>
    <row r="246" ht="15.75" customHeight="1">
      <c r="A246" s="10"/>
      <c r="B246" s="10"/>
      <c r="C246" s="10"/>
      <c r="D246" s="10"/>
      <c r="E246" s="10"/>
      <c r="F246" s="10"/>
      <c r="G246" s="10"/>
      <c r="H246" s="64"/>
      <c r="I246" s="10"/>
      <c r="J246" s="10"/>
      <c r="K246" s="10"/>
      <c r="L246" s="10"/>
      <c r="M246" s="10"/>
      <c r="N246" s="10"/>
      <c r="O246" s="64"/>
      <c r="P246" s="10"/>
      <c r="Q246" s="10"/>
      <c r="R246" s="10"/>
      <c r="S246" s="10"/>
      <c r="T246" s="10"/>
      <c r="U246" s="10"/>
      <c r="V246" s="10"/>
      <c r="W246" s="10"/>
      <c r="X246" s="10"/>
      <c r="Y246" s="10"/>
      <c r="Z246" s="10"/>
      <c r="AA246" s="10"/>
      <c r="AB246" s="10"/>
      <c r="AC246" s="10"/>
    </row>
    <row r="247" ht="15.75" customHeight="1">
      <c r="A247" s="10"/>
      <c r="B247" s="10"/>
      <c r="C247" s="10"/>
      <c r="D247" s="10"/>
      <c r="E247" s="10"/>
      <c r="F247" s="10"/>
      <c r="G247" s="10"/>
      <c r="H247" s="64"/>
      <c r="I247" s="10"/>
      <c r="J247" s="10"/>
      <c r="K247" s="10"/>
      <c r="L247" s="10"/>
      <c r="M247" s="10"/>
      <c r="N247" s="10"/>
      <c r="O247" s="64"/>
      <c r="P247" s="10"/>
      <c r="Q247" s="10"/>
      <c r="R247" s="10"/>
      <c r="S247" s="10"/>
      <c r="T247" s="10"/>
      <c r="U247" s="10"/>
      <c r="V247" s="10"/>
      <c r="W247" s="10"/>
      <c r="X247" s="10"/>
      <c r="Y247" s="10"/>
      <c r="Z247" s="10"/>
      <c r="AA247" s="10"/>
      <c r="AB247" s="10"/>
      <c r="AC247" s="10"/>
    </row>
    <row r="248" ht="15.75" customHeight="1">
      <c r="A248" s="10"/>
      <c r="B248" s="10"/>
      <c r="C248" s="10"/>
      <c r="D248" s="10"/>
      <c r="E248" s="10"/>
      <c r="F248" s="10"/>
      <c r="G248" s="10"/>
      <c r="H248" s="64"/>
      <c r="I248" s="10"/>
      <c r="J248" s="10"/>
      <c r="K248" s="10"/>
      <c r="L248" s="10"/>
      <c r="M248" s="10"/>
      <c r="N248" s="10"/>
      <c r="O248" s="64"/>
      <c r="P248" s="10"/>
      <c r="Q248" s="10"/>
      <c r="R248" s="10"/>
      <c r="S248" s="10"/>
      <c r="T248" s="10"/>
      <c r="U248" s="10"/>
      <c r="V248" s="10"/>
      <c r="W248" s="10"/>
      <c r="X248" s="10"/>
      <c r="Y248" s="10"/>
      <c r="Z248" s="10"/>
      <c r="AA248" s="10"/>
      <c r="AB248" s="10"/>
      <c r="AC248" s="10"/>
    </row>
    <row r="249" ht="15.75" customHeight="1">
      <c r="A249" s="10"/>
      <c r="B249" s="10"/>
      <c r="C249" s="10"/>
      <c r="D249" s="10"/>
      <c r="E249" s="10"/>
      <c r="F249" s="10"/>
      <c r="G249" s="10"/>
      <c r="H249" s="64"/>
      <c r="I249" s="10"/>
      <c r="J249" s="10"/>
      <c r="K249" s="10"/>
      <c r="L249" s="10"/>
      <c r="M249" s="10"/>
      <c r="N249" s="10"/>
      <c r="O249" s="64"/>
      <c r="P249" s="10"/>
      <c r="Q249" s="10"/>
      <c r="R249" s="10"/>
      <c r="S249" s="10"/>
      <c r="T249" s="10"/>
      <c r="U249" s="10"/>
      <c r="V249" s="10"/>
      <c r="W249" s="10"/>
      <c r="X249" s="10"/>
      <c r="Y249" s="10"/>
      <c r="Z249" s="10"/>
      <c r="AA249" s="10"/>
      <c r="AB249" s="10"/>
      <c r="AC249" s="10"/>
    </row>
    <row r="250" ht="15.75" customHeight="1">
      <c r="A250" s="10"/>
      <c r="B250" s="10"/>
      <c r="C250" s="10"/>
      <c r="D250" s="10"/>
      <c r="E250" s="10"/>
      <c r="F250" s="10"/>
      <c r="G250" s="10"/>
      <c r="H250" s="64"/>
      <c r="I250" s="10"/>
      <c r="J250" s="10"/>
      <c r="K250" s="10"/>
      <c r="L250" s="10"/>
      <c r="M250" s="10"/>
      <c r="N250" s="10"/>
      <c r="O250" s="64"/>
      <c r="P250" s="10"/>
      <c r="Q250" s="10"/>
      <c r="R250" s="10"/>
      <c r="S250" s="10"/>
      <c r="T250" s="10"/>
      <c r="U250" s="10"/>
      <c r="V250" s="10"/>
      <c r="W250" s="10"/>
      <c r="X250" s="10"/>
      <c r="Y250" s="10"/>
      <c r="Z250" s="10"/>
      <c r="AA250" s="10"/>
      <c r="AB250" s="10"/>
      <c r="AC250" s="10"/>
    </row>
    <row r="251" ht="15.75" customHeight="1">
      <c r="A251" s="10"/>
      <c r="B251" s="10"/>
      <c r="C251" s="10"/>
      <c r="D251" s="10"/>
      <c r="E251" s="10"/>
      <c r="F251" s="10"/>
      <c r="G251" s="10"/>
      <c r="H251" s="64"/>
      <c r="I251" s="10"/>
      <c r="J251" s="10"/>
      <c r="K251" s="10"/>
      <c r="L251" s="10"/>
      <c r="M251" s="10"/>
      <c r="N251" s="10"/>
      <c r="O251" s="64"/>
      <c r="P251" s="10"/>
      <c r="Q251" s="10"/>
      <c r="R251" s="10"/>
      <c r="S251" s="10"/>
      <c r="T251" s="10"/>
      <c r="U251" s="10"/>
      <c r="V251" s="10"/>
      <c r="W251" s="10"/>
      <c r="X251" s="10"/>
      <c r="Y251" s="10"/>
      <c r="Z251" s="10"/>
      <c r="AA251" s="10"/>
      <c r="AB251" s="10"/>
      <c r="AC251" s="10"/>
    </row>
    <row r="252" ht="15.75" customHeight="1">
      <c r="A252" s="10"/>
      <c r="B252" s="10"/>
      <c r="C252" s="10"/>
      <c r="D252" s="10"/>
      <c r="E252" s="10"/>
      <c r="F252" s="10"/>
      <c r="G252" s="10"/>
      <c r="H252" s="64"/>
      <c r="I252" s="10"/>
      <c r="J252" s="10"/>
      <c r="K252" s="10"/>
      <c r="L252" s="10"/>
      <c r="M252" s="10"/>
      <c r="N252" s="10"/>
      <c r="O252" s="64"/>
      <c r="P252" s="10"/>
      <c r="Q252" s="10"/>
      <c r="R252" s="10"/>
      <c r="S252" s="10"/>
      <c r="T252" s="10"/>
      <c r="U252" s="10"/>
      <c r="V252" s="10"/>
      <c r="W252" s="10"/>
      <c r="X252" s="10"/>
      <c r="Y252" s="10"/>
      <c r="Z252" s="10"/>
      <c r="AA252" s="10"/>
      <c r="AB252" s="10"/>
      <c r="AC252" s="10"/>
    </row>
    <row r="253" ht="15.75" customHeight="1">
      <c r="A253" s="10"/>
      <c r="B253" s="10"/>
      <c r="C253" s="10"/>
      <c r="D253" s="10"/>
      <c r="E253" s="10"/>
      <c r="F253" s="10"/>
      <c r="G253" s="10"/>
      <c r="H253" s="64"/>
      <c r="I253" s="10"/>
      <c r="J253" s="10"/>
      <c r="K253" s="10"/>
      <c r="L253" s="10"/>
      <c r="M253" s="10"/>
      <c r="N253" s="10"/>
      <c r="O253" s="64"/>
      <c r="P253" s="10"/>
      <c r="Q253" s="10"/>
      <c r="R253" s="10"/>
      <c r="S253" s="10"/>
      <c r="T253" s="10"/>
      <c r="U253" s="10"/>
      <c r="V253" s="10"/>
      <c r="W253" s="10"/>
      <c r="X253" s="10"/>
      <c r="Y253" s="10"/>
      <c r="Z253" s="10"/>
      <c r="AA253" s="10"/>
      <c r="AB253" s="10"/>
      <c r="AC253" s="10"/>
    </row>
    <row r="254" ht="15.75" customHeight="1">
      <c r="A254" s="10"/>
      <c r="B254" s="10"/>
      <c r="C254" s="10"/>
      <c r="D254" s="10"/>
      <c r="E254" s="10"/>
      <c r="F254" s="10"/>
      <c r="G254" s="10"/>
      <c r="H254" s="64"/>
      <c r="I254" s="10"/>
      <c r="J254" s="10"/>
      <c r="K254" s="10"/>
      <c r="L254" s="10"/>
      <c r="M254" s="10"/>
      <c r="N254" s="10"/>
      <c r="O254" s="64"/>
      <c r="P254" s="10"/>
      <c r="Q254" s="10"/>
      <c r="R254" s="10"/>
      <c r="S254" s="10"/>
      <c r="T254" s="10"/>
      <c r="U254" s="10"/>
      <c r="V254" s="10"/>
      <c r="W254" s="10"/>
      <c r="X254" s="10"/>
      <c r="Y254" s="10"/>
      <c r="Z254" s="10"/>
      <c r="AA254" s="10"/>
      <c r="AB254" s="10"/>
      <c r="AC254" s="10"/>
    </row>
    <row r="255" ht="15.75" customHeight="1">
      <c r="A255" s="10"/>
      <c r="B255" s="10"/>
      <c r="C255" s="10"/>
      <c r="D255" s="10"/>
      <c r="E255" s="10"/>
      <c r="F255" s="10"/>
      <c r="G255" s="10"/>
      <c r="H255" s="64"/>
      <c r="I255" s="10"/>
      <c r="J255" s="10"/>
      <c r="K255" s="10"/>
      <c r="L255" s="10"/>
      <c r="M255" s="10"/>
      <c r="N255" s="10"/>
      <c r="O255" s="64"/>
      <c r="P255" s="10"/>
      <c r="Q255" s="10"/>
      <c r="R255" s="10"/>
      <c r="S255" s="10"/>
      <c r="T255" s="10"/>
      <c r="U255" s="10"/>
      <c r="V255" s="10"/>
      <c r="W255" s="10"/>
      <c r="X255" s="10"/>
      <c r="Y255" s="10"/>
      <c r="Z255" s="10"/>
      <c r="AA255" s="10"/>
      <c r="AB255" s="10"/>
      <c r="AC255" s="10"/>
    </row>
    <row r="256" ht="15.75" customHeight="1">
      <c r="A256" s="10"/>
      <c r="B256" s="10"/>
      <c r="C256" s="10"/>
      <c r="D256" s="10"/>
      <c r="E256" s="10"/>
      <c r="F256" s="10"/>
      <c r="G256" s="10"/>
      <c r="H256" s="64"/>
      <c r="I256" s="10"/>
      <c r="J256" s="10"/>
      <c r="K256" s="10"/>
      <c r="L256" s="10"/>
      <c r="M256" s="10"/>
      <c r="N256" s="10"/>
      <c r="O256" s="64"/>
      <c r="P256" s="10"/>
      <c r="Q256" s="10"/>
      <c r="R256" s="10"/>
      <c r="S256" s="10"/>
      <c r="T256" s="10"/>
      <c r="U256" s="10"/>
      <c r="V256" s="10"/>
      <c r="W256" s="10"/>
      <c r="X256" s="10"/>
      <c r="Y256" s="10"/>
      <c r="Z256" s="10"/>
      <c r="AA256" s="10"/>
      <c r="AB256" s="10"/>
      <c r="AC256" s="10"/>
    </row>
    <row r="257" ht="15.75" customHeight="1">
      <c r="A257" s="10"/>
      <c r="B257" s="10"/>
      <c r="C257" s="10"/>
      <c r="D257" s="10"/>
      <c r="E257" s="10"/>
      <c r="F257" s="10"/>
      <c r="G257" s="10"/>
      <c r="H257" s="64"/>
      <c r="I257" s="10"/>
      <c r="J257" s="10"/>
      <c r="K257" s="10"/>
      <c r="L257" s="10"/>
      <c r="M257" s="10"/>
      <c r="N257" s="10"/>
      <c r="O257" s="64"/>
      <c r="P257" s="10"/>
      <c r="Q257" s="10"/>
      <c r="R257" s="10"/>
      <c r="S257" s="10"/>
      <c r="T257" s="10"/>
      <c r="U257" s="10"/>
      <c r="V257" s="10"/>
      <c r="W257" s="10"/>
      <c r="X257" s="10"/>
      <c r="Y257" s="10"/>
      <c r="Z257" s="10"/>
      <c r="AA257" s="10"/>
      <c r="AB257" s="10"/>
      <c r="AC257" s="10"/>
    </row>
    <row r="258" ht="15.75" customHeight="1">
      <c r="A258" s="10"/>
      <c r="B258" s="10"/>
      <c r="C258" s="10"/>
      <c r="D258" s="10"/>
      <c r="E258" s="10"/>
      <c r="F258" s="10"/>
      <c r="G258" s="10"/>
      <c r="H258" s="64"/>
      <c r="I258" s="10"/>
      <c r="J258" s="10"/>
      <c r="K258" s="10"/>
      <c r="L258" s="10"/>
      <c r="M258" s="10"/>
      <c r="N258" s="10"/>
      <c r="O258" s="64"/>
      <c r="P258" s="10"/>
      <c r="Q258" s="10"/>
      <c r="R258" s="10"/>
      <c r="S258" s="10"/>
      <c r="T258" s="10"/>
      <c r="U258" s="10"/>
      <c r="V258" s="10"/>
      <c r="W258" s="10"/>
      <c r="X258" s="10"/>
      <c r="Y258" s="10"/>
      <c r="Z258" s="10"/>
      <c r="AA258" s="10"/>
      <c r="AB258" s="10"/>
      <c r="AC258" s="10"/>
    </row>
    <row r="259" ht="15.75" customHeight="1">
      <c r="A259" s="10"/>
      <c r="B259" s="10"/>
      <c r="C259" s="10"/>
      <c r="D259" s="10"/>
      <c r="E259" s="10"/>
      <c r="F259" s="10"/>
      <c r="G259" s="10"/>
      <c r="H259" s="64"/>
      <c r="I259" s="10"/>
      <c r="J259" s="10"/>
      <c r="K259" s="10"/>
      <c r="L259" s="10"/>
      <c r="M259" s="10"/>
      <c r="N259" s="10"/>
      <c r="O259" s="64"/>
      <c r="P259" s="10"/>
      <c r="Q259" s="10"/>
      <c r="R259" s="10"/>
      <c r="S259" s="10"/>
      <c r="T259" s="10"/>
      <c r="U259" s="10"/>
      <c r="V259" s="10"/>
      <c r="W259" s="10"/>
      <c r="X259" s="10"/>
      <c r="Y259" s="10"/>
      <c r="Z259" s="10"/>
      <c r="AA259" s="10"/>
      <c r="AB259" s="10"/>
      <c r="AC259" s="10"/>
    </row>
    <row r="260" ht="15.75" customHeight="1">
      <c r="A260" s="10"/>
      <c r="B260" s="10"/>
      <c r="C260" s="10"/>
      <c r="D260" s="10"/>
      <c r="E260" s="10"/>
      <c r="F260" s="10"/>
      <c r="G260" s="10"/>
      <c r="H260" s="64"/>
      <c r="I260" s="10"/>
      <c r="J260" s="10"/>
      <c r="K260" s="10"/>
      <c r="L260" s="10"/>
      <c r="M260" s="10"/>
      <c r="N260" s="10"/>
      <c r="O260" s="64"/>
      <c r="P260" s="10"/>
      <c r="Q260" s="10"/>
      <c r="R260" s="10"/>
      <c r="S260" s="10"/>
      <c r="T260" s="10"/>
      <c r="U260" s="10"/>
      <c r="V260" s="10"/>
      <c r="W260" s="10"/>
      <c r="X260" s="10"/>
      <c r="Y260" s="10"/>
      <c r="Z260" s="10"/>
      <c r="AA260" s="10"/>
      <c r="AB260" s="10"/>
      <c r="AC260" s="10"/>
    </row>
    <row r="261" ht="15.75" customHeight="1">
      <c r="A261" s="10"/>
      <c r="B261" s="10"/>
      <c r="C261" s="10"/>
      <c r="D261" s="10"/>
      <c r="E261" s="10"/>
      <c r="F261" s="10"/>
      <c r="G261" s="10"/>
      <c r="H261" s="64"/>
      <c r="I261" s="10"/>
      <c r="J261" s="10"/>
      <c r="K261" s="10"/>
      <c r="L261" s="10"/>
      <c r="M261" s="10"/>
      <c r="N261" s="10"/>
      <c r="O261" s="64"/>
      <c r="P261" s="10"/>
      <c r="Q261" s="10"/>
      <c r="R261" s="10"/>
      <c r="S261" s="10"/>
      <c r="T261" s="10"/>
      <c r="U261" s="10"/>
      <c r="V261" s="10"/>
      <c r="W261" s="10"/>
      <c r="X261" s="10"/>
      <c r="Y261" s="10"/>
      <c r="Z261" s="10"/>
      <c r="AA261" s="10"/>
      <c r="AB261" s="10"/>
      <c r="AC261" s="10"/>
    </row>
    <row r="262" ht="15.75" customHeight="1">
      <c r="A262" s="10"/>
      <c r="B262" s="10"/>
      <c r="C262" s="10"/>
      <c r="D262" s="10"/>
      <c r="E262" s="10"/>
      <c r="F262" s="10"/>
      <c r="G262" s="10"/>
      <c r="H262" s="64"/>
      <c r="I262" s="10"/>
      <c r="J262" s="10"/>
      <c r="K262" s="10"/>
      <c r="L262" s="10"/>
      <c r="M262" s="10"/>
      <c r="N262" s="10"/>
      <c r="O262" s="64"/>
      <c r="P262" s="10"/>
      <c r="Q262" s="10"/>
      <c r="R262" s="10"/>
      <c r="S262" s="10"/>
      <c r="T262" s="10"/>
      <c r="U262" s="10"/>
      <c r="V262" s="10"/>
      <c r="W262" s="10"/>
      <c r="X262" s="10"/>
      <c r="Y262" s="10"/>
      <c r="Z262" s="10"/>
      <c r="AA262" s="10"/>
      <c r="AB262" s="10"/>
      <c r="AC262" s="10"/>
    </row>
    <row r="263" ht="15.75" customHeight="1">
      <c r="A263" s="10"/>
      <c r="B263" s="10"/>
      <c r="C263" s="10"/>
      <c r="D263" s="10"/>
      <c r="E263" s="10"/>
      <c r="F263" s="10"/>
      <c r="G263" s="10"/>
      <c r="H263" s="64"/>
      <c r="I263" s="10"/>
      <c r="J263" s="10"/>
      <c r="K263" s="10"/>
      <c r="L263" s="10"/>
      <c r="M263" s="10"/>
      <c r="N263" s="10"/>
      <c r="O263" s="64"/>
      <c r="P263" s="10"/>
      <c r="Q263" s="10"/>
      <c r="R263" s="10"/>
      <c r="S263" s="10"/>
      <c r="T263" s="10"/>
      <c r="U263" s="10"/>
      <c r="V263" s="10"/>
      <c r="W263" s="10"/>
      <c r="X263" s="10"/>
      <c r="Y263" s="10"/>
      <c r="Z263" s="10"/>
      <c r="AA263" s="10"/>
      <c r="AB263" s="10"/>
      <c r="AC263" s="10"/>
    </row>
    <row r="264" ht="15.75" customHeight="1">
      <c r="A264" s="10"/>
      <c r="B264" s="10"/>
      <c r="C264" s="10"/>
      <c r="D264" s="10"/>
      <c r="E264" s="10"/>
      <c r="F264" s="10"/>
      <c r="G264" s="10"/>
      <c r="H264" s="64"/>
      <c r="I264" s="10"/>
      <c r="J264" s="10"/>
      <c r="K264" s="10"/>
      <c r="L264" s="10"/>
      <c r="M264" s="10"/>
      <c r="N264" s="10"/>
      <c r="O264" s="64"/>
      <c r="P264" s="10"/>
      <c r="Q264" s="10"/>
      <c r="R264" s="10"/>
      <c r="S264" s="10"/>
      <c r="T264" s="10"/>
      <c r="U264" s="10"/>
      <c r="V264" s="10"/>
      <c r="W264" s="10"/>
      <c r="X264" s="10"/>
      <c r="Y264" s="10"/>
      <c r="Z264" s="10"/>
      <c r="AA264" s="10"/>
      <c r="AB264" s="10"/>
      <c r="AC264" s="10"/>
    </row>
    <row r="265" ht="15.75" customHeight="1">
      <c r="A265" s="10"/>
      <c r="B265" s="10"/>
      <c r="C265" s="10"/>
      <c r="D265" s="10"/>
      <c r="E265" s="10"/>
      <c r="F265" s="10"/>
      <c r="G265" s="10"/>
      <c r="H265" s="64"/>
      <c r="I265" s="10"/>
      <c r="J265" s="10"/>
      <c r="K265" s="10"/>
      <c r="L265" s="10"/>
      <c r="M265" s="10"/>
      <c r="N265" s="10"/>
      <c r="O265" s="64"/>
      <c r="P265" s="10"/>
      <c r="Q265" s="10"/>
      <c r="R265" s="10"/>
      <c r="S265" s="10"/>
      <c r="T265" s="10"/>
      <c r="U265" s="10"/>
      <c r="V265" s="10"/>
      <c r="W265" s="10"/>
      <c r="X265" s="10"/>
      <c r="Y265" s="10"/>
      <c r="Z265" s="10"/>
      <c r="AA265" s="10"/>
      <c r="AB265" s="10"/>
      <c r="AC265" s="10"/>
    </row>
    <row r="266" ht="15.75" customHeight="1">
      <c r="A266" s="10"/>
      <c r="B266" s="10"/>
      <c r="C266" s="10"/>
      <c r="D266" s="10"/>
      <c r="E266" s="10"/>
      <c r="F266" s="10"/>
      <c r="G266" s="10"/>
      <c r="H266" s="64"/>
      <c r="I266" s="10"/>
      <c r="J266" s="10"/>
      <c r="K266" s="10"/>
      <c r="L266" s="10"/>
      <c r="M266" s="10"/>
      <c r="N266" s="10"/>
      <c r="O266" s="64"/>
      <c r="P266" s="10"/>
      <c r="Q266" s="10"/>
      <c r="R266" s="10"/>
      <c r="S266" s="10"/>
      <c r="T266" s="10"/>
      <c r="U266" s="10"/>
      <c r="V266" s="10"/>
      <c r="W266" s="10"/>
      <c r="X266" s="10"/>
      <c r="Y266" s="10"/>
      <c r="Z266" s="10"/>
      <c r="AA266" s="10"/>
      <c r="AB266" s="10"/>
      <c r="AC266" s="10"/>
    </row>
    <row r="267" ht="15.75" customHeight="1">
      <c r="A267" s="10"/>
      <c r="B267" s="10"/>
      <c r="C267" s="10"/>
      <c r="D267" s="10"/>
      <c r="E267" s="10"/>
      <c r="F267" s="10"/>
      <c r="G267" s="10"/>
      <c r="H267" s="64"/>
      <c r="I267" s="10"/>
      <c r="J267" s="10"/>
      <c r="K267" s="10"/>
      <c r="L267" s="10"/>
      <c r="M267" s="10"/>
      <c r="N267" s="10"/>
      <c r="O267" s="64"/>
      <c r="P267" s="10"/>
      <c r="Q267" s="10"/>
      <c r="R267" s="10"/>
      <c r="S267" s="10"/>
      <c r="T267" s="10"/>
      <c r="U267" s="10"/>
      <c r="V267" s="10"/>
      <c r="W267" s="10"/>
      <c r="X267" s="10"/>
      <c r="Y267" s="10"/>
      <c r="Z267" s="10"/>
      <c r="AA267" s="10"/>
      <c r="AB267" s="10"/>
      <c r="AC267" s="10"/>
    </row>
    <row r="268" ht="15.75" customHeight="1">
      <c r="A268" s="10"/>
      <c r="B268" s="10"/>
      <c r="C268" s="10"/>
      <c r="D268" s="10"/>
      <c r="E268" s="10"/>
      <c r="F268" s="10"/>
      <c r="G268" s="10"/>
      <c r="H268" s="64"/>
      <c r="I268" s="10"/>
      <c r="J268" s="10"/>
      <c r="K268" s="10"/>
      <c r="L268" s="10"/>
      <c r="M268" s="10"/>
      <c r="N268" s="10"/>
      <c r="O268" s="64"/>
      <c r="P268" s="10"/>
      <c r="Q268" s="10"/>
      <c r="R268" s="10"/>
      <c r="S268" s="10"/>
      <c r="T268" s="10"/>
      <c r="U268" s="10"/>
      <c r="V268" s="10"/>
      <c r="W268" s="10"/>
      <c r="X268" s="10"/>
      <c r="Y268" s="10"/>
      <c r="Z268" s="10"/>
      <c r="AA268" s="10"/>
      <c r="AB268" s="10"/>
      <c r="AC268" s="10"/>
    </row>
    <row r="269" ht="15.75" customHeight="1">
      <c r="A269" s="10"/>
      <c r="B269" s="10"/>
      <c r="C269" s="10"/>
      <c r="D269" s="10"/>
      <c r="E269" s="10"/>
      <c r="F269" s="10"/>
      <c r="G269" s="10"/>
      <c r="H269" s="64"/>
      <c r="I269" s="10"/>
      <c r="J269" s="10"/>
      <c r="K269" s="10"/>
      <c r="L269" s="10"/>
      <c r="M269" s="10"/>
      <c r="N269" s="10"/>
      <c r="O269" s="64"/>
      <c r="P269" s="10"/>
      <c r="Q269" s="10"/>
      <c r="R269" s="10"/>
      <c r="S269" s="10"/>
      <c r="T269" s="10"/>
      <c r="U269" s="10"/>
      <c r="V269" s="10"/>
      <c r="W269" s="10"/>
      <c r="X269" s="10"/>
      <c r="Y269" s="10"/>
      <c r="Z269" s="10"/>
      <c r="AA269" s="10"/>
      <c r="AB269" s="10"/>
      <c r="AC269" s="10"/>
    </row>
    <row r="270" ht="15.75" customHeight="1">
      <c r="A270" s="10"/>
      <c r="B270" s="10"/>
      <c r="C270" s="10"/>
      <c r="D270" s="10"/>
      <c r="E270" s="10"/>
      <c r="F270" s="10"/>
      <c r="G270" s="10"/>
      <c r="H270" s="64"/>
      <c r="I270" s="10"/>
      <c r="J270" s="10"/>
      <c r="K270" s="10"/>
      <c r="L270" s="10"/>
      <c r="M270" s="10"/>
      <c r="N270" s="10"/>
      <c r="O270" s="64"/>
      <c r="P270" s="10"/>
      <c r="Q270" s="10"/>
      <c r="R270" s="10"/>
      <c r="S270" s="10"/>
      <c r="T270" s="10"/>
      <c r="U270" s="10"/>
      <c r="V270" s="10"/>
      <c r="W270" s="10"/>
      <c r="X270" s="10"/>
      <c r="Y270" s="10"/>
      <c r="Z270" s="10"/>
      <c r="AA270" s="10"/>
      <c r="AB270" s="10"/>
      <c r="AC270" s="10"/>
    </row>
    <row r="271" ht="15.75" customHeight="1">
      <c r="A271" s="10"/>
      <c r="B271" s="10"/>
      <c r="C271" s="10"/>
      <c r="D271" s="10"/>
      <c r="E271" s="10"/>
      <c r="F271" s="10"/>
      <c r="G271" s="10"/>
      <c r="H271" s="64"/>
      <c r="I271" s="10"/>
      <c r="J271" s="10"/>
      <c r="K271" s="10"/>
      <c r="L271" s="10"/>
      <c r="M271" s="10"/>
      <c r="N271" s="10"/>
      <c r="O271" s="64"/>
      <c r="P271" s="10"/>
      <c r="Q271" s="10"/>
      <c r="R271" s="10"/>
      <c r="S271" s="10"/>
      <c r="T271" s="10"/>
      <c r="U271" s="10"/>
      <c r="V271" s="10"/>
      <c r="W271" s="10"/>
      <c r="X271" s="10"/>
      <c r="Y271" s="10"/>
      <c r="Z271" s="10"/>
      <c r="AA271" s="10"/>
      <c r="AB271" s="10"/>
      <c r="AC271" s="10"/>
    </row>
    <row r="272" ht="15.75" customHeight="1">
      <c r="A272" s="10"/>
      <c r="B272" s="10"/>
      <c r="C272" s="10"/>
      <c r="D272" s="10"/>
      <c r="E272" s="10"/>
      <c r="F272" s="10"/>
      <c r="G272" s="10"/>
      <c r="H272" s="64"/>
      <c r="I272" s="10"/>
      <c r="J272" s="10"/>
      <c r="K272" s="10"/>
      <c r="L272" s="10"/>
      <c r="M272" s="10"/>
      <c r="N272" s="10"/>
      <c r="O272" s="64"/>
      <c r="P272" s="10"/>
      <c r="Q272" s="10"/>
      <c r="R272" s="10"/>
      <c r="S272" s="10"/>
      <c r="T272" s="10"/>
      <c r="U272" s="10"/>
      <c r="V272" s="10"/>
      <c r="W272" s="10"/>
      <c r="X272" s="10"/>
      <c r="Y272" s="10"/>
      <c r="Z272" s="10"/>
      <c r="AA272" s="10"/>
      <c r="AB272" s="10"/>
      <c r="AC272" s="10"/>
    </row>
    <row r="273" ht="15.75" customHeight="1">
      <c r="A273" s="10"/>
      <c r="B273" s="10"/>
      <c r="C273" s="10"/>
      <c r="D273" s="10"/>
      <c r="E273" s="10"/>
      <c r="F273" s="10"/>
      <c r="G273" s="10"/>
      <c r="H273" s="64"/>
      <c r="I273" s="10"/>
      <c r="J273" s="10"/>
      <c r="K273" s="10"/>
      <c r="L273" s="10"/>
      <c r="M273" s="10"/>
      <c r="N273" s="10"/>
      <c r="O273" s="64"/>
      <c r="P273" s="10"/>
      <c r="Q273" s="10"/>
      <c r="R273" s="10"/>
      <c r="S273" s="10"/>
      <c r="T273" s="10"/>
      <c r="U273" s="10"/>
      <c r="V273" s="10"/>
      <c r="W273" s="10"/>
      <c r="X273" s="10"/>
      <c r="Y273" s="10"/>
      <c r="Z273" s="10"/>
      <c r="AA273" s="10"/>
      <c r="AB273" s="10"/>
      <c r="AC273" s="10"/>
    </row>
    <row r="274" ht="15.75" customHeight="1">
      <c r="A274" s="10"/>
      <c r="B274" s="10"/>
      <c r="C274" s="10"/>
      <c r="D274" s="10"/>
      <c r="E274" s="10"/>
      <c r="F274" s="10"/>
      <c r="G274" s="10"/>
      <c r="H274" s="64"/>
      <c r="I274" s="10"/>
      <c r="J274" s="10"/>
      <c r="K274" s="10"/>
      <c r="L274" s="10"/>
      <c r="M274" s="10"/>
      <c r="N274" s="10"/>
      <c r="O274" s="64"/>
      <c r="P274" s="10"/>
      <c r="Q274" s="10"/>
      <c r="R274" s="10"/>
      <c r="S274" s="10"/>
      <c r="T274" s="10"/>
      <c r="U274" s="10"/>
      <c r="V274" s="10"/>
      <c r="W274" s="10"/>
      <c r="X274" s="10"/>
      <c r="Y274" s="10"/>
      <c r="Z274" s="10"/>
      <c r="AA274" s="10"/>
      <c r="AB274" s="10"/>
      <c r="AC274" s="10"/>
    </row>
    <row r="275" ht="15.75" customHeight="1">
      <c r="A275" s="10"/>
      <c r="B275" s="10"/>
      <c r="C275" s="10"/>
      <c r="D275" s="10"/>
      <c r="E275" s="10"/>
      <c r="F275" s="10"/>
      <c r="G275" s="10"/>
      <c r="H275" s="64"/>
      <c r="I275" s="10"/>
      <c r="J275" s="10"/>
      <c r="K275" s="10"/>
      <c r="L275" s="10"/>
      <c r="M275" s="10"/>
      <c r="N275" s="10"/>
      <c r="O275" s="64"/>
      <c r="P275" s="10"/>
      <c r="Q275" s="10"/>
      <c r="R275" s="10"/>
      <c r="S275" s="10"/>
      <c r="T275" s="10"/>
      <c r="U275" s="10"/>
      <c r="V275" s="10"/>
      <c r="W275" s="10"/>
      <c r="X275" s="10"/>
      <c r="Y275" s="10"/>
      <c r="Z275" s="10"/>
      <c r="AA275" s="10"/>
      <c r="AB275" s="10"/>
      <c r="AC275" s="10"/>
    </row>
    <row r="276" ht="15.75" customHeight="1">
      <c r="A276" s="10"/>
      <c r="B276" s="10"/>
      <c r="C276" s="10"/>
      <c r="D276" s="10"/>
      <c r="E276" s="10"/>
      <c r="F276" s="10"/>
      <c r="G276" s="10"/>
      <c r="H276" s="64"/>
      <c r="I276" s="10"/>
      <c r="J276" s="10"/>
      <c r="K276" s="10"/>
      <c r="L276" s="10"/>
      <c r="M276" s="10"/>
      <c r="N276" s="10"/>
      <c r="O276" s="64"/>
      <c r="P276" s="10"/>
      <c r="Q276" s="10"/>
      <c r="R276" s="10"/>
      <c r="S276" s="10"/>
      <c r="T276" s="10"/>
      <c r="U276" s="10"/>
      <c r="V276" s="10"/>
      <c r="W276" s="10"/>
      <c r="X276" s="10"/>
      <c r="Y276" s="10"/>
      <c r="Z276" s="10"/>
      <c r="AA276" s="10"/>
      <c r="AB276" s="10"/>
      <c r="AC276" s="10"/>
    </row>
    <row r="277" ht="15.75" customHeight="1">
      <c r="A277" s="10"/>
      <c r="B277" s="10"/>
      <c r="C277" s="10"/>
      <c r="D277" s="10"/>
      <c r="E277" s="10"/>
      <c r="F277" s="10"/>
      <c r="G277" s="10"/>
      <c r="H277" s="64"/>
      <c r="I277" s="10"/>
      <c r="J277" s="10"/>
      <c r="K277" s="10"/>
      <c r="L277" s="10"/>
      <c r="M277" s="10"/>
      <c r="N277" s="10"/>
      <c r="O277" s="64"/>
      <c r="P277" s="10"/>
      <c r="Q277" s="10"/>
      <c r="R277" s="10"/>
      <c r="S277" s="10"/>
      <c r="T277" s="10"/>
      <c r="U277" s="10"/>
      <c r="V277" s="10"/>
      <c r="W277" s="10"/>
      <c r="X277" s="10"/>
      <c r="Y277" s="10"/>
      <c r="Z277" s="10"/>
      <c r="AA277" s="10"/>
      <c r="AB277" s="10"/>
      <c r="AC277" s="10"/>
    </row>
    <row r="278" ht="15.75" customHeight="1">
      <c r="A278" s="10"/>
      <c r="B278" s="10"/>
      <c r="C278" s="10"/>
      <c r="D278" s="10"/>
      <c r="E278" s="10"/>
      <c r="F278" s="10"/>
      <c r="G278" s="10"/>
      <c r="H278" s="64"/>
      <c r="I278" s="10"/>
      <c r="J278" s="10"/>
      <c r="K278" s="10"/>
      <c r="L278" s="10"/>
      <c r="M278" s="10"/>
      <c r="N278" s="10"/>
      <c r="O278" s="64"/>
      <c r="P278" s="10"/>
      <c r="Q278" s="10"/>
      <c r="R278" s="10"/>
      <c r="S278" s="10"/>
      <c r="T278" s="10"/>
      <c r="U278" s="10"/>
      <c r="V278" s="10"/>
      <c r="W278" s="10"/>
      <c r="X278" s="10"/>
      <c r="Y278" s="10"/>
      <c r="Z278" s="10"/>
      <c r="AA278" s="10"/>
      <c r="AB278" s="10"/>
      <c r="AC278" s="10"/>
    </row>
    <row r="279" ht="15.75" customHeight="1">
      <c r="A279" s="10"/>
      <c r="B279" s="10"/>
      <c r="C279" s="10"/>
      <c r="D279" s="10"/>
      <c r="E279" s="10"/>
      <c r="F279" s="10"/>
      <c r="G279" s="10"/>
      <c r="H279" s="64"/>
      <c r="I279" s="10"/>
      <c r="J279" s="10"/>
      <c r="K279" s="10"/>
      <c r="L279" s="10"/>
      <c r="M279" s="10"/>
      <c r="N279" s="10"/>
      <c r="O279" s="64"/>
      <c r="P279" s="10"/>
      <c r="Q279" s="10"/>
      <c r="R279" s="10"/>
      <c r="S279" s="10"/>
      <c r="T279" s="10"/>
      <c r="U279" s="10"/>
      <c r="V279" s="10"/>
      <c r="W279" s="10"/>
      <c r="X279" s="10"/>
      <c r="Y279" s="10"/>
      <c r="Z279" s="10"/>
      <c r="AA279" s="10"/>
      <c r="AB279" s="10"/>
      <c r="AC279" s="10"/>
    </row>
    <row r="280" ht="15.75" customHeight="1">
      <c r="A280" s="10"/>
      <c r="B280" s="10"/>
      <c r="C280" s="10"/>
      <c r="D280" s="10"/>
      <c r="E280" s="10"/>
      <c r="F280" s="10"/>
      <c r="G280" s="10"/>
      <c r="H280" s="64"/>
      <c r="I280" s="10"/>
      <c r="J280" s="10"/>
      <c r="K280" s="10"/>
      <c r="L280" s="10"/>
      <c r="M280" s="10"/>
      <c r="N280" s="10"/>
      <c r="O280" s="64"/>
      <c r="P280" s="10"/>
      <c r="Q280" s="10"/>
      <c r="R280" s="10"/>
      <c r="S280" s="10"/>
      <c r="T280" s="10"/>
      <c r="U280" s="10"/>
      <c r="V280" s="10"/>
      <c r="W280" s="10"/>
      <c r="X280" s="10"/>
      <c r="Y280" s="10"/>
      <c r="Z280" s="10"/>
      <c r="AA280" s="10"/>
      <c r="AB280" s="10"/>
      <c r="AC280" s="10"/>
    </row>
    <row r="281" ht="15.75" customHeight="1">
      <c r="A281" s="10"/>
      <c r="B281" s="10"/>
      <c r="C281" s="10"/>
      <c r="D281" s="10"/>
      <c r="E281" s="10"/>
      <c r="F281" s="10"/>
      <c r="G281" s="10"/>
      <c r="H281" s="64"/>
      <c r="I281" s="10"/>
      <c r="J281" s="10"/>
      <c r="K281" s="10"/>
      <c r="L281" s="10"/>
      <c r="M281" s="10"/>
      <c r="N281" s="10"/>
      <c r="O281" s="64"/>
      <c r="P281" s="10"/>
      <c r="Q281" s="10"/>
      <c r="R281" s="10"/>
      <c r="S281" s="10"/>
      <c r="T281" s="10"/>
      <c r="U281" s="10"/>
      <c r="V281" s="10"/>
      <c r="W281" s="10"/>
      <c r="X281" s="10"/>
      <c r="Y281" s="10"/>
      <c r="Z281" s="10"/>
      <c r="AA281" s="10"/>
      <c r="AB281" s="10"/>
      <c r="AC281" s="10"/>
    </row>
  </sheetData>
  <mergeCells count="39">
    <mergeCell ref="AB9:AB10"/>
    <mergeCell ref="AC9:AC10"/>
    <mergeCell ref="AC19:AC20"/>
    <mergeCell ref="AB14:AB15"/>
    <mergeCell ref="AC14:AC15"/>
    <mergeCell ref="AB19:AB20"/>
    <mergeCell ref="Z4:Z5"/>
    <mergeCell ref="W1:X2"/>
    <mergeCell ref="X4:X5"/>
    <mergeCell ref="W4:W5"/>
    <mergeCell ref="A4:B5"/>
    <mergeCell ref="C4:C5"/>
    <mergeCell ref="D4:G4"/>
    <mergeCell ref="I4:I5"/>
    <mergeCell ref="J4:J5"/>
    <mergeCell ref="Q4:Q5"/>
    <mergeCell ref="S4:S5"/>
    <mergeCell ref="R4:R5"/>
    <mergeCell ref="AB4:AB5"/>
    <mergeCell ref="L4:L5"/>
    <mergeCell ref="M4:M5"/>
    <mergeCell ref="N4:N5"/>
    <mergeCell ref="P4:P5"/>
    <mergeCell ref="AC4:AC5"/>
    <mergeCell ref="K4:K5"/>
    <mergeCell ref="V19:V20"/>
    <mergeCell ref="W19:W20"/>
    <mergeCell ref="X19:X20"/>
    <mergeCell ref="Z19:Z20"/>
    <mergeCell ref="W9:W10"/>
    <mergeCell ref="X9:X10"/>
    <mergeCell ref="T4:T5"/>
    <mergeCell ref="V4:V5"/>
    <mergeCell ref="V9:V10"/>
    <mergeCell ref="V14:V15"/>
    <mergeCell ref="W14:W15"/>
    <mergeCell ref="X14:X15"/>
    <mergeCell ref="Z14:Z15"/>
    <mergeCell ref="Z9:Z1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2" width="39.86"/>
    <col customWidth="1" min="3" max="3" width="20.71"/>
    <col customWidth="1" min="4" max="4" width="16.14"/>
    <col customWidth="1" min="5" max="5" width="12.0"/>
    <col customWidth="1" min="6" max="6" width="13.71"/>
    <col customWidth="1" min="7" max="7" width="17.57"/>
    <col customWidth="1" min="8" max="9" width="21.29"/>
    <col customWidth="1" min="10" max="10" width="28.57"/>
    <col customWidth="1" min="11" max="11" width="12.43"/>
  </cols>
  <sheetData>
    <row r="1" ht="15.75" customHeight="1">
      <c r="A1" s="115"/>
      <c r="B1" s="115"/>
      <c r="C1" s="115"/>
      <c r="D1" s="115"/>
      <c r="E1" s="115"/>
      <c r="F1" s="115"/>
      <c r="G1" s="115"/>
      <c r="H1" s="115"/>
      <c r="I1" s="115"/>
      <c r="J1" s="115"/>
      <c r="K1" s="115"/>
    </row>
    <row r="2" ht="15.75" customHeight="1">
      <c r="A2" s="116" t="s">
        <v>206</v>
      </c>
      <c r="K2" s="115"/>
    </row>
    <row r="3" ht="15.75" customHeight="1">
      <c r="K3" s="115"/>
    </row>
    <row r="4" ht="15.75" customHeight="1">
      <c r="A4" s="115"/>
      <c r="B4" s="115" t="s">
        <v>207</v>
      </c>
      <c r="C4" s="115">
        <v>30.0</v>
      </c>
      <c r="D4" s="115"/>
      <c r="E4" s="115"/>
      <c r="F4" s="115"/>
      <c r="G4" s="115"/>
      <c r="H4" s="115"/>
      <c r="I4" s="115"/>
      <c r="J4" s="115"/>
      <c r="K4" s="115"/>
    </row>
    <row r="5" ht="15.75" customHeight="1">
      <c r="A5" s="115"/>
      <c r="B5" s="115" t="s">
        <v>208</v>
      </c>
      <c r="C5" s="115">
        <v>60.0</v>
      </c>
      <c r="D5" s="115"/>
      <c r="E5" s="115"/>
      <c r="F5" s="115"/>
      <c r="G5" s="115"/>
      <c r="H5" s="115"/>
      <c r="I5" s="115"/>
      <c r="J5" s="115"/>
      <c r="K5" s="115"/>
    </row>
    <row r="6" ht="15.75" customHeight="1">
      <c r="A6" s="115"/>
      <c r="B6" s="115"/>
      <c r="C6" s="115"/>
      <c r="D6" s="115"/>
      <c r="E6" s="115"/>
      <c r="F6" s="115"/>
      <c r="G6" s="115"/>
      <c r="H6" s="115"/>
      <c r="I6" s="115"/>
      <c r="J6" s="115"/>
      <c r="K6" s="115"/>
    </row>
    <row r="7" ht="15.75" customHeight="1">
      <c r="A7" s="117" t="s">
        <v>77</v>
      </c>
      <c r="B7" s="117" t="s">
        <v>209</v>
      </c>
      <c r="C7" s="117" t="s">
        <v>210</v>
      </c>
      <c r="D7" s="117" t="s">
        <v>211</v>
      </c>
      <c r="E7" s="117" t="s">
        <v>212</v>
      </c>
      <c r="F7" s="117" t="s">
        <v>213</v>
      </c>
      <c r="G7" s="117" t="s">
        <v>214</v>
      </c>
      <c r="H7" s="117" t="s">
        <v>215</v>
      </c>
      <c r="I7" s="117" t="s">
        <v>216</v>
      </c>
      <c r="J7" s="117" t="s">
        <v>217</v>
      </c>
      <c r="K7" s="115"/>
    </row>
    <row r="8" ht="15.75" customHeight="1">
      <c r="A8" s="118">
        <v>1.0</v>
      </c>
      <c r="B8" s="118" t="s">
        <v>218</v>
      </c>
      <c r="C8" s="118" t="s">
        <v>207</v>
      </c>
      <c r="D8" s="119">
        <v>45902.0</v>
      </c>
      <c r="E8" s="118" t="s">
        <v>219</v>
      </c>
      <c r="F8" s="120" t="str">
        <f t="shared" ref="F8:F22" si="1">IF(C8=$B$4,$C$4,$C$5)</f>
        <v>30 Hari</v>
      </c>
      <c r="G8" s="121">
        <v>1.2E7</v>
      </c>
      <c r="H8" s="119" t="str">
        <f t="shared" ref="H8:H22" si="2">D8+F8</f>
        <v>2-Oct-25</v>
      </c>
      <c r="I8" s="119" t="str">
        <f t="shared" ref="I8:I22" si="3">DATE(2025,10,31)</f>
        <v>31-Oct-25</v>
      </c>
      <c r="J8" s="120" t="str">
        <f t="shared" ref="J8:J22" si="4">I8-H8</f>
        <v>29 Hari</v>
      </c>
      <c r="K8" s="115"/>
    </row>
    <row r="9" ht="15.75" customHeight="1">
      <c r="A9" s="118">
        <v>2.0</v>
      </c>
      <c r="B9" s="118" t="s">
        <v>220</v>
      </c>
      <c r="C9" s="118" t="s">
        <v>207</v>
      </c>
      <c r="D9" s="119">
        <v>45879.0</v>
      </c>
      <c r="E9" s="118" t="s">
        <v>221</v>
      </c>
      <c r="F9" s="120" t="str">
        <f t="shared" si="1"/>
        <v>30 Hari</v>
      </c>
      <c r="G9" s="121">
        <v>8500000.0</v>
      </c>
      <c r="H9" s="119" t="str">
        <f t="shared" si="2"/>
        <v>9-Sep-25</v>
      </c>
      <c r="I9" s="119" t="str">
        <f t="shared" si="3"/>
        <v>31-Oct-25</v>
      </c>
      <c r="J9" s="120" t="str">
        <f t="shared" si="4"/>
        <v>52 Hari</v>
      </c>
      <c r="K9" s="115"/>
    </row>
    <row r="10" ht="15.75" customHeight="1">
      <c r="A10" s="118">
        <v>3.0</v>
      </c>
      <c r="B10" s="118" t="s">
        <v>222</v>
      </c>
      <c r="C10" s="118" t="s">
        <v>207</v>
      </c>
      <c r="D10" s="119">
        <v>45860.0</v>
      </c>
      <c r="E10" s="118" t="s">
        <v>223</v>
      </c>
      <c r="F10" s="120" t="str">
        <f t="shared" si="1"/>
        <v>30 Hari</v>
      </c>
      <c r="G10" s="121">
        <v>1.575E7</v>
      </c>
      <c r="H10" s="119" t="str">
        <f t="shared" si="2"/>
        <v>21-Aug-25</v>
      </c>
      <c r="I10" s="119" t="str">
        <f t="shared" si="3"/>
        <v>31-Oct-25</v>
      </c>
      <c r="J10" s="120" t="str">
        <f t="shared" si="4"/>
        <v>71 Hari</v>
      </c>
      <c r="K10" s="115"/>
    </row>
    <row r="11" ht="15.75" customHeight="1">
      <c r="A11" s="118">
        <v>4.0</v>
      </c>
      <c r="B11" s="118" t="s">
        <v>224</v>
      </c>
      <c r="C11" s="118" t="s">
        <v>207</v>
      </c>
      <c r="D11" s="119">
        <v>45935.0</v>
      </c>
      <c r="E11" s="118" t="s">
        <v>225</v>
      </c>
      <c r="F11" s="120" t="str">
        <f t="shared" si="1"/>
        <v>30 Hari</v>
      </c>
      <c r="G11" s="121">
        <v>9250000.0</v>
      </c>
      <c r="H11" s="119" t="str">
        <f t="shared" si="2"/>
        <v>4-Nov-25</v>
      </c>
      <c r="I11" s="119" t="str">
        <f t="shared" si="3"/>
        <v>31-Oct-25</v>
      </c>
      <c r="J11" s="120" t="str">
        <f t="shared" si="4"/>
        <v>-4 Hari</v>
      </c>
      <c r="K11" s="115"/>
    </row>
    <row r="12" ht="15.75" customHeight="1">
      <c r="A12" s="118">
        <v>5.0</v>
      </c>
      <c r="B12" s="118" t="s">
        <v>226</v>
      </c>
      <c r="C12" s="118" t="s">
        <v>207</v>
      </c>
      <c r="D12" s="119">
        <v>45820.0</v>
      </c>
      <c r="E12" s="118" t="s">
        <v>227</v>
      </c>
      <c r="F12" s="120" t="str">
        <f t="shared" si="1"/>
        <v>30 Hari</v>
      </c>
      <c r="G12" s="121">
        <v>6000000.0</v>
      </c>
      <c r="H12" s="119" t="str">
        <f t="shared" si="2"/>
        <v>12-Jul-25</v>
      </c>
      <c r="I12" s="119" t="str">
        <f t="shared" si="3"/>
        <v>31-Oct-25</v>
      </c>
      <c r="J12" s="120" t="str">
        <f t="shared" si="4"/>
        <v>111 Hari</v>
      </c>
      <c r="K12" s="115"/>
    </row>
    <row r="13" ht="15.75" customHeight="1">
      <c r="A13" s="118">
        <v>6.0</v>
      </c>
      <c r="B13" s="118" t="s">
        <v>228</v>
      </c>
      <c r="C13" s="118" t="s">
        <v>207</v>
      </c>
      <c r="D13" s="119">
        <v>45920.0</v>
      </c>
      <c r="E13" s="118" t="s">
        <v>229</v>
      </c>
      <c r="F13" s="120" t="str">
        <f t="shared" si="1"/>
        <v>30 Hari</v>
      </c>
      <c r="G13" s="121">
        <v>1.0E7</v>
      </c>
      <c r="H13" s="119" t="str">
        <f t="shared" si="2"/>
        <v>20-Oct-25</v>
      </c>
      <c r="I13" s="119" t="str">
        <f t="shared" si="3"/>
        <v>31-Oct-25</v>
      </c>
      <c r="J13" s="120" t="str">
        <f t="shared" si="4"/>
        <v>11 Hari</v>
      </c>
      <c r="K13" s="115"/>
    </row>
    <row r="14" ht="15.75" customHeight="1">
      <c r="A14" s="118">
        <v>7.0</v>
      </c>
      <c r="B14" s="118" t="s">
        <v>230</v>
      </c>
      <c r="C14" s="118" t="s">
        <v>207</v>
      </c>
      <c r="D14" s="119">
        <v>45802.0</v>
      </c>
      <c r="E14" s="118" t="s">
        <v>231</v>
      </c>
      <c r="F14" s="120" t="str">
        <f t="shared" si="1"/>
        <v>30 Hari</v>
      </c>
      <c r="G14" s="121">
        <v>7500000.0</v>
      </c>
      <c r="H14" s="119" t="str">
        <f t="shared" si="2"/>
        <v>24-Jun-25</v>
      </c>
      <c r="I14" s="119" t="str">
        <f t="shared" si="3"/>
        <v>31-Oct-25</v>
      </c>
      <c r="J14" s="120" t="str">
        <f t="shared" si="4"/>
        <v>129 Hari</v>
      </c>
      <c r="K14" s="115"/>
    </row>
    <row r="15" ht="15.75" customHeight="1">
      <c r="A15" s="118">
        <v>8.0</v>
      </c>
      <c r="B15" s="118" t="s">
        <v>232</v>
      </c>
      <c r="C15" s="118" t="s">
        <v>207</v>
      </c>
      <c r="D15" s="119">
        <v>45868.0</v>
      </c>
      <c r="E15" s="118" t="s">
        <v>233</v>
      </c>
      <c r="F15" s="120" t="str">
        <f t="shared" si="1"/>
        <v>30 Hari</v>
      </c>
      <c r="G15" s="121">
        <v>5800000.0</v>
      </c>
      <c r="H15" s="119" t="str">
        <f t="shared" si="2"/>
        <v>29-Aug-25</v>
      </c>
      <c r="I15" s="119" t="str">
        <f t="shared" si="3"/>
        <v>31-Oct-25</v>
      </c>
      <c r="J15" s="120" t="str">
        <f t="shared" si="4"/>
        <v>63 Hari</v>
      </c>
      <c r="K15" s="115"/>
    </row>
    <row r="16" ht="15.75" customHeight="1">
      <c r="A16" s="118">
        <v>9.0</v>
      </c>
      <c r="B16" s="118" t="s">
        <v>234</v>
      </c>
      <c r="C16" s="118" t="s">
        <v>207</v>
      </c>
      <c r="D16" s="119">
        <v>45901.0</v>
      </c>
      <c r="E16" s="118" t="s">
        <v>235</v>
      </c>
      <c r="F16" s="120" t="str">
        <f t="shared" si="1"/>
        <v>30 Hari</v>
      </c>
      <c r="G16" s="121">
        <v>1.825E7</v>
      </c>
      <c r="H16" s="119" t="str">
        <f t="shared" si="2"/>
        <v>1-Oct-25</v>
      </c>
      <c r="I16" s="119" t="str">
        <f t="shared" si="3"/>
        <v>31-Oct-25</v>
      </c>
      <c r="J16" s="120" t="str">
        <f t="shared" si="4"/>
        <v>30 Hari</v>
      </c>
      <c r="K16" s="115"/>
    </row>
    <row r="17" ht="15.75" customHeight="1">
      <c r="A17" s="118">
        <v>10.0</v>
      </c>
      <c r="B17" s="118" t="s">
        <v>236</v>
      </c>
      <c r="C17" s="118" t="s">
        <v>207</v>
      </c>
      <c r="D17" s="119">
        <v>45826.0</v>
      </c>
      <c r="E17" s="118" t="s">
        <v>237</v>
      </c>
      <c r="F17" s="120" t="str">
        <f t="shared" si="1"/>
        <v>30 Hari</v>
      </c>
      <c r="G17" s="121">
        <v>1.36E7</v>
      </c>
      <c r="H17" s="119" t="str">
        <f t="shared" si="2"/>
        <v>18-Jul-25</v>
      </c>
      <c r="I17" s="119" t="str">
        <f t="shared" si="3"/>
        <v>31-Oct-25</v>
      </c>
      <c r="J17" s="120" t="str">
        <f t="shared" si="4"/>
        <v>105 Hari</v>
      </c>
      <c r="K17" s="115"/>
    </row>
    <row r="18" ht="15.75" customHeight="1">
      <c r="A18" s="118">
        <v>11.0</v>
      </c>
      <c r="B18" s="118" t="s">
        <v>238</v>
      </c>
      <c r="C18" s="118" t="s">
        <v>239</v>
      </c>
      <c r="D18" s="119">
        <v>45874.0</v>
      </c>
      <c r="E18" s="118" t="s">
        <v>240</v>
      </c>
      <c r="F18" s="122" t="str">
        <f t="shared" si="1"/>
        <v>60 Hari</v>
      </c>
      <c r="G18" s="121">
        <v>2.5E7</v>
      </c>
      <c r="H18" s="119" t="str">
        <f t="shared" si="2"/>
        <v>4-Oct-25</v>
      </c>
      <c r="I18" s="123" t="str">
        <f t="shared" si="3"/>
        <v>31-Oct-25</v>
      </c>
      <c r="J18" s="122" t="str">
        <f t="shared" si="4"/>
        <v>27 Hari</v>
      </c>
      <c r="K18" s="115"/>
    </row>
    <row r="19" ht="15.75" customHeight="1">
      <c r="A19" s="118">
        <v>12.0</v>
      </c>
      <c r="B19" s="118" t="s">
        <v>241</v>
      </c>
      <c r="C19" s="118" t="s">
        <v>242</v>
      </c>
      <c r="D19" s="119">
        <v>45910.0</v>
      </c>
      <c r="E19" s="118" t="s">
        <v>243</v>
      </c>
      <c r="F19" s="122" t="str">
        <f t="shared" si="1"/>
        <v>60 Hari</v>
      </c>
      <c r="G19" s="121">
        <v>3.0E7</v>
      </c>
      <c r="H19" s="119" t="str">
        <f t="shared" si="2"/>
        <v>9-Nov-25</v>
      </c>
      <c r="I19" s="123" t="str">
        <f t="shared" si="3"/>
        <v>31-Oct-25</v>
      </c>
      <c r="J19" s="122" t="str">
        <f t="shared" si="4"/>
        <v>-9 Hari</v>
      </c>
      <c r="K19" s="115"/>
    </row>
    <row r="20" ht="15.75" customHeight="1">
      <c r="A20" s="118">
        <v>13.0</v>
      </c>
      <c r="B20" s="118" t="s">
        <v>244</v>
      </c>
      <c r="C20" s="118" t="s">
        <v>239</v>
      </c>
      <c r="D20" s="119">
        <v>45928.0</v>
      </c>
      <c r="E20" s="118" t="s">
        <v>245</v>
      </c>
      <c r="F20" s="122" t="str">
        <f t="shared" si="1"/>
        <v>60 Hari</v>
      </c>
      <c r="G20" s="121">
        <v>2.2E7</v>
      </c>
      <c r="H20" s="119" t="str">
        <f t="shared" si="2"/>
        <v>27-Nov-25</v>
      </c>
      <c r="I20" s="123" t="str">
        <f t="shared" si="3"/>
        <v>31-Oct-25</v>
      </c>
      <c r="J20" s="122" t="str">
        <f t="shared" si="4"/>
        <v>-27 Hari</v>
      </c>
      <c r="K20" s="115"/>
    </row>
    <row r="21" ht="15.75" customHeight="1">
      <c r="A21" s="118">
        <v>14.0</v>
      </c>
      <c r="B21" s="118" t="s">
        <v>246</v>
      </c>
      <c r="C21" s="118" t="s">
        <v>242</v>
      </c>
      <c r="D21" s="119">
        <v>45853.0</v>
      </c>
      <c r="E21" s="118" t="s">
        <v>247</v>
      </c>
      <c r="F21" s="122" t="str">
        <f t="shared" si="1"/>
        <v>60 Hari</v>
      </c>
      <c r="G21" s="121">
        <v>1.65E7</v>
      </c>
      <c r="H21" s="119" t="str">
        <f t="shared" si="2"/>
        <v>13-Sep-25</v>
      </c>
      <c r="I21" s="123" t="str">
        <f t="shared" si="3"/>
        <v>31-Oct-25</v>
      </c>
      <c r="J21" s="122" t="str">
        <f t="shared" si="4"/>
        <v>48 Hari</v>
      </c>
      <c r="K21" s="115"/>
    </row>
    <row r="22" ht="15.75" customHeight="1">
      <c r="A22" s="118">
        <v>15.0</v>
      </c>
      <c r="B22" s="118" t="s">
        <v>248</v>
      </c>
      <c r="C22" s="118" t="s">
        <v>239</v>
      </c>
      <c r="D22" s="119">
        <v>45912.0</v>
      </c>
      <c r="E22" s="118" t="s">
        <v>249</v>
      </c>
      <c r="F22" s="122" t="str">
        <f t="shared" si="1"/>
        <v>60 Hari</v>
      </c>
      <c r="G22" s="121">
        <v>2.75E7</v>
      </c>
      <c r="H22" s="119" t="str">
        <f t="shared" si="2"/>
        <v>11-Nov-25</v>
      </c>
      <c r="I22" s="123" t="str">
        <f t="shared" si="3"/>
        <v>31-Oct-25</v>
      </c>
      <c r="J22" s="122" t="str">
        <f t="shared" si="4"/>
        <v>-11 Hari</v>
      </c>
      <c r="K22" s="115"/>
    </row>
    <row r="23" ht="15.75" customHeight="1">
      <c r="A23" s="115"/>
      <c r="B23" s="115"/>
      <c r="C23" s="115"/>
      <c r="D23" s="115"/>
      <c r="E23" s="115"/>
      <c r="F23" s="115"/>
      <c r="G23" s="115"/>
      <c r="H23" s="115"/>
      <c r="I23" s="115"/>
      <c r="J23" s="115"/>
      <c r="K23" s="115"/>
    </row>
    <row r="24" ht="15.75" customHeight="1">
      <c r="A24" s="115"/>
      <c r="B24" s="124" t="s">
        <v>250</v>
      </c>
      <c r="C24" s="115"/>
      <c r="D24" s="115"/>
      <c r="E24" s="115"/>
      <c r="F24" s="115"/>
      <c r="G24" s="115"/>
      <c r="H24" s="115"/>
      <c r="I24" s="115"/>
      <c r="J24" s="115"/>
      <c r="K24" s="115"/>
    </row>
    <row r="25" ht="15.75" customHeight="1">
      <c r="A25" s="115"/>
      <c r="B25" s="115" t="s">
        <v>251</v>
      </c>
      <c r="C25" s="115"/>
      <c r="D25" s="115"/>
      <c r="E25" s="115"/>
      <c r="F25" s="115"/>
      <c r="G25" s="115"/>
      <c r="H25" s="115"/>
      <c r="I25" s="115"/>
      <c r="J25" s="115"/>
      <c r="K25" s="115"/>
    </row>
    <row r="26" ht="15.75" customHeight="1">
      <c r="A26" s="125" t="s">
        <v>252</v>
      </c>
      <c r="B26" s="115" t="s">
        <v>253</v>
      </c>
      <c r="C26" s="115"/>
      <c r="D26" s="115"/>
      <c r="E26" s="115"/>
      <c r="F26" s="115"/>
      <c r="G26" s="115"/>
      <c r="H26" s="115"/>
      <c r="I26" s="115"/>
      <c r="J26" s="115"/>
      <c r="K26" s="115"/>
    </row>
    <row r="27" ht="15.75" customHeight="1">
      <c r="A27" s="125" t="s">
        <v>252</v>
      </c>
      <c r="B27" s="115" t="s">
        <v>254</v>
      </c>
      <c r="C27" s="115"/>
      <c r="D27" s="115"/>
      <c r="E27" s="115"/>
      <c r="F27" s="115"/>
      <c r="G27" s="115"/>
      <c r="H27" s="115"/>
      <c r="I27" s="115"/>
      <c r="J27" s="115"/>
      <c r="K27" s="115"/>
    </row>
    <row r="28" ht="15.75" customHeight="1">
      <c r="A28" s="125" t="s">
        <v>252</v>
      </c>
      <c r="B28" s="115" t="s">
        <v>255</v>
      </c>
      <c r="C28" s="115"/>
      <c r="D28" s="115"/>
      <c r="E28" s="115"/>
      <c r="F28" s="115"/>
      <c r="G28" s="115"/>
      <c r="H28" s="115"/>
      <c r="I28" s="115"/>
      <c r="J28" s="115"/>
      <c r="K28" s="115"/>
    </row>
    <row r="29" ht="15.75" customHeight="1">
      <c r="A29" s="115"/>
      <c r="B29" s="115"/>
      <c r="C29" s="115"/>
      <c r="D29" s="115"/>
      <c r="E29" s="115"/>
      <c r="F29" s="115"/>
      <c r="G29" s="115"/>
      <c r="H29" s="115"/>
      <c r="I29" s="115"/>
      <c r="J29" s="115"/>
      <c r="K29" s="115"/>
    </row>
    <row r="30" ht="15.75" customHeight="1">
      <c r="A30" s="115"/>
      <c r="B30" s="115"/>
      <c r="C30" s="115"/>
      <c r="D30" s="115"/>
      <c r="E30" s="115"/>
      <c r="F30" s="115"/>
      <c r="G30" s="115"/>
      <c r="H30" s="115"/>
      <c r="I30" s="115"/>
      <c r="J30" s="115"/>
      <c r="K30" s="115"/>
    </row>
    <row r="31" ht="15.75" customHeight="1">
      <c r="A31" s="115"/>
      <c r="B31" s="124" t="s">
        <v>256</v>
      </c>
      <c r="C31" s="115"/>
      <c r="D31" s="115"/>
      <c r="E31" s="115"/>
      <c r="F31" s="115"/>
      <c r="G31" s="115"/>
      <c r="H31" s="115"/>
      <c r="I31" s="115"/>
      <c r="J31" s="115"/>
      <c r="K31" s="115"/>
    </row>
    <row r="32" ht="15.75" customHeight="1">
      <c r="A32" s="115">
        <v>1.0</v>
      </c>
      <c r="B32" s="115" t="s">
        <v>257</v>
      </c>
      <c r="C32" s="115"/>
      <c r="D32" s="115"/>
      <c r="E32" s="115"/>
      <c r="F32" s="115"/>
      <c r="G32" s="115"/>
      <c r="H32" s="115"/>
      <c r="I32" s="115"/>
      <c r="J32" s="115"/>
      <c r="K32" s="115"/>
    </row>
    <row r="33" ht="15.75" customHeight="1">
      <c r="A33" s="115">
        <v>2.0</v>
      </c>
      <c r="B33" s="115" t="s">
        <v>258</v>
      </c>
      <c r="C33" s="115"/>
      <c r="D33" s="115"/>
      <c r="E33" s="115"/>
      <c r="F33" s="115"/>
      <c r="G33" s="115"/>
      <c r="H33" s="115"/>
      <c r="I33" s="115"/>
      <c r="J33" s="115"/>
      <c r="K33" s="115"/>
    </row>
    <row r="34" ht="15.75" customHeight="1">
      <c r="A34" s="115"/>
      <c r="B34" s="115" t="s">
        <v>259</v>
      </c>
      <c r="C34" s="115"/>
      <c r="D34" s="115"/>
      <c r="E34" s="115"/>
      <c r="F34" s="115"/>
      <c r="G34" s="115"/>
      <c r="H34" s="115"/>
      <c r="I34" s="115"/>
      <c r="J34" s="115"/>
      <c r="K34" s="115"/>
    </row>
    <row r="35" ht="15.75" customHeight="1">
      <c r="A35" s="115"/>
      <c r="B35" s="115" t="s">
        <v>260</v>
      </c>
      <c r="C35" s="115"/>
      <c r="D35" s="115"/>
      <c r="E35" s="115"/>
      <c r="F35" s="115"/>
      <c r="G35" s="115"/>
      <c r="H35" s="115"/>
      <c r="I35" s="115"/>
      <c r="J35" s="115"/>
      <c r="K35" s="115"/>
    </row>
    <row r="36" ht="15.75" customHeight="1">
      <c r="A36" s="115"/>
      <c r="B36" s="115" t="s">
        <v>261</v>
      </c>
      <c r="C36" s="115"/>
      <c r="D36" s="115"/>
      <c r="E36" s="115"/>
      <c r="F36" s="115"/>
      <c r="G36" s="115"/>
      <c r="H36" s="115"/>
      <c r="I36" s="115"/>
      <c r="J36" s="115"/>
      <c r="K36" s="115"/>
    </row>
    <row r="37" ht="15.75" customHeight="1">
      <c r="A37" s="115"/>
      <c r="B37" s="115" t="s">
        <v>262</v>
      </c>
      <c r="C37" s="115"/>
      <c r="D37" s="115"/>
      <c r="E37" s="115"/>
      <c r="F37" s="115"/>
      <c r="G37" s="115"/>
      <c r="H37" s="115"/>
      <c r="I37" s="115"/>
      <c r="J37" s="115"/>
      <c r="K37" s="115"/>
    </row>
    <row r="38" ht="15.75" customHeight="1">
      <c r="A38" s="115"/>
      <c r="B38" s="115" t="s">
        <v>263</v>
      </c>
      <c r="C38" s="115"/>
      <c r="D38" s="115"/>
      <c r="E38" s="115"/>
      <c r="F38" s="115"/>
      <c r="G38" s="115"/>
      <c r="H38" s="115"/>
      <c r="I38" s="115"/>
      <c r="J38" s="115"/>
      <c r="K38" s="115"/>
    </row>
    <row r="39" ht="15.75" customHeight="1">
      <c r="A39" s="115"/>
      <c r="B39" s="115" t="s">
        <v>264</v>
      </c>
      <c r="C39" s="115"/>
      <c r="D39" s="115"/>
      <c r="E39" s="115"/>
      <c r="F39" s="115"/>
      <c r="G39" s="115"/>
      <c r="H39" s="115"/>
      <c r="I39" s="115"/>
      <c r="J39" s="115"/>
      <c r="K39" s="115"/>
    </row>
    <row r="40" ht="15.75" customHeight="1">
      <c r="A40" s="115">
        <v>3.0</v>
      </c>
      <c r="B40" s="115" t="s">
        <v>265</v>
      </c>
      <c r="C40" s="115"/>
      <c r="D40" s="115"/>
      <c r="E40" s="115"/>
      <c r="F40" s="115"/>
      <c r="G40" s="115"/>
      <c r="H40" s="115"/>
      <c r="I40" s="115"/>
      <c r="J40" s="115"/>
      <c r="K40" s="115"/>
    </row>
    <row r="41" ht="97.5" customHeight="1">
      <c r="A41" s="115"/>
      <c r="B41" s="126" t="s">
        <v>266</v>
      </c>
      <c r="C41" s="71"/>
      <c r="D41" s="71"/>
      <c r="E41" s="71"/>
      <c r="F41" s="72"/>
      <c r="G41" s="115"/>
      <c r="H41" s="115"/>
      <c r="I41" s="115"/>
      <c r="J41" s="115"/>
      <c r="K41" s="115"/>
    </row>
    <row r="42" ht="15.75" customHeight="1">
      <c r="A42" s="115">
        <v>4.0</v>
      </c>
      <c r="B42" s="115" t="s">
        <v>267</v>
      </c>
      <c r="C42" s="115"/>
      <c r="D42" s="115"/>
      <c r="E42" s="115"/>
      <c r="F42" s="115"/>
      <c r="G42" s="115"/>
      <c r="H42" s="115"/>
      <c r="I42" s="115"/>
      <c r="J42" s="115"/>
      <c r="K42" s="115"/>
    </row>
    <row r="43" ht="15.75" customHeight="1">
      <c r="A43" s="115"/>
      <c r="B43" s="115"/>
      <c r="C43" s="115"/>
      <c r="D43" s="115"/>
      <c r="E43" s="115"/>
      <c r="F43" s="115"/>
      <c r="G43" s="115"/>
      <c r="H43" s="115"/>
      <c r="I43" s="115"/>
      <c r="J43" s="115"/>
      <c r="K43" s="115"/>
    </row>
    <row r="44" ht="15.75" customHeight="1">
      <c r="A44" s="115"/>
      <c r="B44" s="124" t="s">
        <v>268</v>
      </c>
      <c r="C44" s="115"/>
      <c r="D44" s="115"/>
      <c r="E44" s="115"/>
      <c r="F44" s="115"/>
      <c r="G44" s="115"/>
      <c r="H44" s="115"/>
      <c r="I44" s="115"/>
      <c r="J44" s="115"/>
      <c r="K44" s="115"/>
    </row>
    <row r="45" ht="15.75" customHeight="1">
      <c r="A45" s="115"/>
      <c r="B45" s="115" t="s">
        <v>269</v>
      </c>
      <c r="C45" s="115"/>
      <c r="D45" s="115"/>
      <c r="E45" s="115"/>
      <c r="F45" s="115"/>
      <c r="G45" s="115"/>
      <c r="H45" s="115"/>
      <c r="I45" s="115"/>
      <c r="J45" s="115"/>
      <c r="K45" s="115"/>
    </row>
    <row r="46" ht="15.75" customHeight="1">
      <c r="A46" s="115"/>
      <c r="B46" s="115" t="s">
        <v>270</v>
      </c>
      <c r="C46" s="115"/>
      <c r="D46" s="115"/>
      <c r="E46" s="115"/>
      <c r="F46" s="115"/>
      <c r="G46" s="115"/>
      <c r="H46" s="115"/>
      <c r="I46" s="115"/>
      <c r="J46" s="115"/>
      <c r="K46" s="115"/>
    </row>
    <row r="47" ht="15.75" customHeight="1">
      <c r="A47" s="115"/>
      <c r="B47" s="115" t="s">
        <v>271</v>
      </c>
      <c r="C47" s="115"/>
      <c r="D47" s="115"/>
      <c r="E47" s="115"/>
      <c r="F47" s="115"/>
      <c r="G47" s="115"/>
      <c r="H47" s="115"/>
      <c r="I47" s="115"/>
      <c r="J47" s="115"/>
      <c r="K47" s="115"/>
    </row>
    <row r="48" ht="15.75" customHeight="1">
      <c r="A48" s="115"/>
      <c r="B48" s="115" t="s">
        <v>272</v>
      </c>
      <c r="C48" s="115"/>
      <c r="D48" s="115"/>
      <c r="E48" s="115"/>
      <c r="F48" s="115"/>
      <c r="G48" s="115"/>
      <c r="H48" s="115"/>
      <c r="I48" s="115"/>
      <c r="J48" s="115"/>
      <c r="K48" s="115"/>
    </row>
    <row r="49" ht="15.75" customHeight="1">
      <c r="A49" s="115"/>
      <c r="B49" s="115" t="s">
        <v>273</v>
      </c>
      <c r="C49" s="115"/>
      <c r="D49" s="115"/>
      <c r="E49" s="115"/>
      <c r="F49" s="115"/>
      <c r="G49" s="115"/>
      <c r="H49" s="115"/>
      <c r="I49" s="115"/>
      <c r="J49" s="115"/>
      <c r="K49" s="115"/>
    </row>
    <row r="50" ht="15.75" customHeight="1">
      <c r="A50" s="115"/>
      <c r="B50" s="115" t="s">
        <v>274</v>
      </c>
      <c r="C50" s="115"/>
      <c r="D50" s="115"/>
      <c r="E50" s="115"/>
      <c r="F50" s="115"/>
      <c r="G50" s="115"/>
      <c r="H50" s="115"/>
      <c r="I50" s="115"/>
      <c r="J50" s="115"/>
      <c r="K50" s="115"/>
    </row>
    <row r="51" ht="15.75" customHeight="1">
      <c r="A51" s="115"/>
      <c r="B51" s="115" t="s">
        <v>275</v>
      </c>
      <c r="C51" s="115"/>
      <c r="D51" s="115"/>
      <c r="E51" s="115"/>
      <c r="F51" s="115"/>
      <c r="G51" s="115"/>
      <c r="H51" s="115"/>
      <c r="I51" s="115"/>
      <c r="J51" s="115"/>
      <c r="K51" s="115"/>
    </row>
    <row r="52" ht="15.75" customHeight="1">
      <c r="A52" s="115"/>
      <c r="B52" s="115" t="s">
        <v>276</v>
      </c>
      <c r="C52" s="115"/>
      <c r="D52" s="115"/>
      <c r="E52" s="115"/>
      <c r="F52" s="115"/>
      <c r="G52" s="115"/>
      <c r="H52" s="115"/>
      <c r="I52" s="115"/>
      <c r="J52" s="115"/>
      <c r="K52" s="115"/>
    </row>
    <row r="53" ht="15.75" customHeight="1">
      <c r="A53" s="115"/>
      <c r="B53" s="115"/>
      <c r="C53" s="115"/>
      <c r="D53" s="115"/>
      <c r="E53" s="115"/>
      <c r="F53" s="115"/>
      <c r="G53" s="115"/>
      <c r="H53" s="115"/>
      <c r="I53" s="115"/>
      <c r="J53" s="115"/>
      <c r="K53" s="115"/>
    </row>
    <row r="54" ht="15.75" customHeight="1">
      <c r="A54" s="115"/>
      <c r="B54" s="124" t="s">
        <v>277</v>
      </c>
      <c r="C54" s="115"/>
      <c r="D54" s="115"/>
      <c r="E54" s="115"/>
      <c r="F54" s="115"/>
      <c r="G54" s="115"/>
      <c r="H54" s="115"/>
      <c r="I54" s="115"/>
      <c r="J54" s="115"/>
      <c r="K54" s="115"/>
    </row>
    <row r="55" ht="15.75" customHeight="1">
      <c r="A55" s="115"/>
      <c r="B55" s="115" t="s">
        <v>278</v>
      </c>
      <c r="C55" s="115"/>
      <c r="D55" s="115"/>
      <c r="E55" s="115"/>
      <c r="F55" s="115"/>
      <c r="G55" s="115"/>
      <c r="H55" s="115"/>
      <c r="I55" s="115"/>
      <c r="J55" s="115"/>
      <c r="K55" s="115"/>
    </row>
    <row r="56" ht="15.75" customHeight="1">
      <c r="A56" s="115"/>
      <c r="B56" s="115" t="s">
        <v>279</v>
      </c>
      <c r="C56" s="115"/>
      <c r="D56" s="115"/>
      <c r="E56" s="115"/>
      <c r="F56" s="115"/>
      <c r="G56" s="115"/>
      <c r="H56" s="115"/>
      <c r="I56" s="115"/>
      <c r="J56" s="115"/>
      <c r="K56" s="115"/>
    </row>
    <row r="57" ht="15.75" customHeight="1">
      <c r="A57" s="115"/>
      <c r="B57" s="115" t="s">
        <v>280</v>
      </c>
      <c r="C57" s="115"/>
      <c r="D57" s="115"/>
      <c r="E57" s="115"/>
      <c r="F57" s="115"/>
      <c r="G57" s="115"/>
      <c r="H57" s="115"/>
      <c r="I57" s="115"/>
      <c r="J57" s="115"/>
      <c r="K57" s="115"/>
    </row>
    <row r="58" ht="15.75" customHeight="1">
      <c r="A58" s="115"/>
      <c r="B58" s="115" t="s">
        <v>281</v>
      </c>
      <c r="C58" s="115"/>
      <c r="D58" s="115"/>
      <c r="E58" s="115"/>
      <c r="F58" s="115"/>
      <c r="G58" s="115"/>
      <c r="H58" s="115"/>
      <c r="I58" s="115"/>
      <c r="J58" s="115"/>
      <c r="K58" s="115"/>
    </row>
    <row r="59" ht="15.75" customHeight="1">
      <c r="A59" s="115"/>
      <c r="B59" s="115" t="s">
        <v>282</v>
      </c>
      <c r="C59" s="115"/>
      <c r="D59" s="115"/>
      <c r="E59" s="115"/>
      <c r="F59" s="115"/>
      <c r="G59" s="115"/>
      <c r="H59" s="115"/>
      <c r="I59" s="115"/>
      <c r="J59" s="115"/>
      <c r="K59" s="115"/>
    </row>
    <row r="60" ht="15.75" customHeight="1">
      <c r="A60" s="115"/>
      <c r="B60" s="115" t="s">
        <v>283</v>
      </c>
      <c r="C60" s="115"/>
      <c r="D60" s="115"/>
      <c r="E60" s="115"/>
      <c r="F60" s="115"/>
      <c r="G60" s="115"/>
      <c r="H60" s="115"/>
      <c r="I60" s="115"/>
      <c r="J60" s="115"/>
      <c r="K60" s="115"/>
    </row>
    <row r="61" ht="15.75" customHeight="1">
      <c r="A61" s="115"/>
      <c r="B61" s="115"/>
      <c r="C61" s="115"/>
      <c r="D61" s="115"/>
      <c r="E61" s="115"/>
      <c r="F61" s="115"/>
      <c r="G61" s="115"/>
      <c r="H61" s="115"/>
      <c r="I61" s="115"/>
      <c r="J61" s="115"/>
      <c r="K61" s="115"/>
    </row>
    <row r="62" ht="15.75" customHeight="1">
      <c r="A62" s="115"/>
      <c r="B62" s="124" t="s">
        <v>284</v>
      </c>
      <c r="C62" s="115"/>
      <c r="D62" s="115"/>
      <c r="E62" s="115"/>
      <c r="F62" s="115"/>
      <c r="G62" s="115"/>
      <c r="H62" s="115"/>
      <c r="I62" s="115"/>
      <c r="J62" s="115"/>
      <c r="K62" s="115"/>
    </row>
    <row r="63" ht="15.75" customHeight="1">
      <c r="A63" s="115"/>
      <c r="B63" s="115" t="s">
        <v>285</v>
      </c>
      <c r="C63" s="115"/>
      <c r="D63" s="115"/>
      <c r="E63" s="115"/>
      <c r="F63" s="115"/>
      <c r="G63" s="115"/>
      <c r="H63" s="115"/>
      <c r="I63" s="115"/>
      <c r="J63" s="115"/>
      <c r="K63" s="115"/>
    </row>
    <row r="64" ht="15.75" customHeight="1">
      <c r="A64" s="115"/>
      <c r="B64" s="115" t="s">
        <v>286</v>
      </c>
      <c r="C64" s="115"/>
      <c r="D64" s="115"/>
      <c r="E64" s="115"/>
      <c r="F64" s="115"/>
      <c r="G64" s="115"/>
      <c r="H64" s="115"/>
      <c r="I64" s="115"/>
      <c r="J64" s="115"/>
      <c r="K64" s="115"/>
    </row>
    <row r="65" ht="15.75" customHeight="1">
      <c r="A65" s="115"/>
      <c r="B65" s="115" t="s">
        <v>287</v>
      </c>
      <c r="C65" s="115"/>
      <c r="D65" s="115"/>
      <c r="E65" s="115"/>
      <c r="F65" s="115"/>
      <c r="G65" s="115"/>
      <c r="H65" s="115"/>
      <c r="I65" s="115"/>
      <c r="J65" s="115"/>
      <c r="K65" s="115"/>
    </row>
    <row r="66" ht="15.75" customHeight="1">
      <c r="A66" s="115"/>
      <c r="B66" s="115" t="s">
        <v>288</v>
      </c>
      <c r="C66" s="115"/>
      <c r="D66" s="115"/>
      <c r="E66" s="115"/>
      <c r="F66" s="115"/>
      <c r="G66" s="115"/>
      <c r="H66" s="115"/>
      <c r="I66" s="115"/>
      <c r="J66" s="115"/>
      <c r="K66" s="115"/>
    </row>
    <row r="67" ht="15.75" customHeight="1">
      <c r="A67" s="115"/>
      <c r="B67" s="115" t="s">
        <v>289</v>
      </c>
      <c r="C67" s="115"/>
      <c r="D67" s="115"/>
      <c r="E67" s="115"/>
      <c r="F67" s="115"/>
      <c r="G67" s="115"/>
      <c r="H67" s="115"/>
      <c r="I67" s="115"/>
      <c r="J67" s="115"/>
      <c r="K67" s="115"/>
    </row>
    <row r="68" ht="15.75" customHeight="1">
      <c r="A68" s="115"/>
      <c r="B68" s="115"/>
      <c r="C68" s="115"/>
      <c r="D68" s="115"/>
      <c r="E68" s="115"/>
      <c r="F68" s="115"/>
      <c r="G68" s="115"/>
      <c r="H68" s="115"/>
      <c r="I68" s="115"/>
      <c r="J68" s="115"/>
      <c r="K68" s="115"/>
    </row>
    <row r="69" ht="15.75" customHeight="1">
      <c r="A69" s="115"/>
      <c r="B69" s="115"/>
      <c r="C69" s="115"/>
      <c r="D69" s="115"/>
      <c r="E69" s="115"/>
      <c r="F69" s="115"/>
      <c r="G69" s="115"/>
      <c r="H69" s="115"/>
      <c r="I69" s="115"/>
      <c r="J69" s="115"/>
      <c r="K69" s="115"/>
    </row>
    <row r="70" ht="15.75" customHeight="1">
      <c r="A70" s="115"/>
      <c r="B70" s="115"/>
      <c r="C70" s="115"/>
      <c r="D70" s="115"/>
      <c r="E70" s="115"/>
      <c r="F70" s="115"/>
      <c r="G70" s="115"/>
      <c r="H70" s="115"/>
      <c r="I70" s="115"/>
      <c r="J70" s="115"/>
      <c r="K70" s="115"/>
    </row>
    <row r="71" ht="15.75" customHeight="1">
      <c r="A71" s="115"/>
      <c r="B71" s="115"/>
      <c r="C71" s="115"/>
      <c r="D71" s="115"/>
      <c r="E71" s="115"/>
      <c r="F71" s="115"/>
      <c r="G71" s="115"/>
      <c r="H71" s="115"/>
      <c r="I71" s="115"/>
      <c r="J71" s="115"/>
      <c r="K71" s="115"/>
    </row>
    <row r="72" ht="15.75" customHeight="1">
      <c r="A72" s="115"/>
      <c r="B72" s="115"/>
      <c r="C72" s="115"/>
      <c r="D72" s="115"/>
      <c r="E72" s="115"/>
      <c r="F72" s="115"/>
      <c r="G72" s="115"/>
      <c r="H72" s="115"/>
      <c r="I72" s="115"/>
      <c r="J72" s="115"/>
      <c r="K72" s="115"/>
    </row>
    <row r="73" ht="15.75" customHeight="1">
      <c r="A73" s="115"/>
      <c r="B73" s="115"/>
      <c r="C73" s="115"/>
      <c r="D73" s="115"/>
      <c r="E73" s="115"/>
      <c r="F73" s="115"/>
      <c r="G73" s="115"/>
      <c r="H73" s="115"/>
      <c r="I73" s="115"/>
      <c r="J73" s="115"/>
      <c r="K73" s="115"/>
    </row>
    <row r="74" ht="15.75" customHeight="1">
      <c r="A74" s="115"/>
      <c r="B74" s="115"/>
      <c r="C74" s="115"/>
      <c r="D74" s="115"/>
      <c r="E74" s="115"/>
      <c r="F74" s="115"/>
      <c r="G74" s="115"/>
      <c r="H74" s="115"/>
      <c r="I74" s="115"/>
      <c r="J74" s="115"/>
      <c r="K74" s="115"/>
    </row>
    <row r="75" ht="15.75" customHeight="1">
      <c r="A75" s="115"/>
      <c r="B75" s="115"/>
      <c r="C75" s="115"/>
      <c r="D75" s="115"/>
      <c r="E75" s="115"/>
      <c r="F75" s="115"/>
      <c r="G75" s="115"/>
      <c r="H75" s="115"/>
      <c r="I75" s="115"/>
      <c r="J75" s="115"/>
      <c r="K75" s="115"/>
    </row>
    <row r="76" ht="15.75" customHeight="1">
      <c r="A76" s="115"/>
      <c r="B76" s="115"/>
      <c r="C76" s="115"/>
      <c r="D76" s="115"/>
      <c r="E76" s="115"/>
      <c r="F76" s="115"/>
      <c r="G76" s="115"/>
      <c r="H76" s="115"/>
      <c r="I76" s="115"/>
      <c r="J76" s="115"/>
      <c r="K76" s="115"/>
    </row>
    <row r="77" ht="15.75" customHeight="1">
      <c r="A77" s="115"/>
      <c r="B77" s="115"/>
      <c r="C77" s="115"/>
      <c r="D77" s="115"/>
      <c r="E77" s="115"/>
      <c r="F77" s="115"/>
      <c r="G77" s="115"/>
      <c r="H77" s="115"/>
      <c r="I77" s="115"/>
      <c r="J77" s="115"/>
      <c r="K77" s="115"/>
    </row>
    <row r="78" ht="15.75" customHeight="1">
      <c r="A78" s="115"/>
      <c r="B78" s="115"/>
      <c r="C78" s="115"/>
      <c r="D78" s="115"/>
      <c r="E78" s="115"/>
      <c r="F78" s="115"/>
      <c r="G78" s="115"/>
      <c r="H78" s="115"/>
      <c r="I78" s="115"/>
      <c r="J78" s="115"/>
      <c r="K78" s="115"/>
    </row>
    <row r="79" ht="15.75" customHeight="1">
      <c r="A79" s="115"/>
      <c r="B79" s="115"/>
      <c r="C79" s="115"/>
      <c r="D79" s="115"/>
      <c r="E79" s="115"/>
      <c r="F79" s="115"/>
      <c r="G79" s="115"/>
      <c r="H79" s="115"/>
      <c r="I79" s="115"/>
      <c r="J79" s="115"/>
      <c r="K79" s="115"/>
    </row>
    <row r="80" ht="15.75" customHeight="1">
      <c r="A80" s="115"/>
      <c r="B80" s="115"/>
      <c r="C80" s="115"/>
      <c r="D80" s="115"/>
      <c r="E80" s="115"/>
      <c r="F80" s="115"/>
      <c r="G80" s="115"/>
      <c r="H80" s="115"/>
      <c r="I80" s="115"/>
      <c r="J80" s="115"/>
      <c r="K80" s="115"/>
    </row>
    <row r="81" ht="15.75" customHeight="1">
      <c r="A81" s="115"/>
      <c r="B81" s="115"/>
      <c r="C81" s="115"/>
      <c r="D81" s="115"/>
      <c r="E81" s="115"/>
      <c r="F81" s="115"/>
      <c r="G81" s="115"/>
      <c r="H81" s="115"/>
      <c r="I81" s="115"/>
      <c r="J81" s="115"/>
      <c r="K81" s="115"/>
    </row>
    <row r="82" ht="15.75" customHeight="1">
      <c r="A82" s="115"/>
      <c r="B82" s="115"/>
      <c r="C82" s="115"/>
      <c r="D82" s="115"/>
      <c r="E82" s="115"/>
      <c r="F82" s="115"/>
      <c r="G82" s="115"/>
      <c r="H82" s="115"/>
      <c r="I82" s="115"/>
      <c r="J82" s="115"/>
      <c r="K82" s="115"/>
    </row>
    <row r="83" ht="15.75" customHeight="1">
      <c r="A83" s="115"/>
      <c r="B83" s="115"/>
      <c r="C83" s="115"/>
      <c r="D83" s="115"/>
      <c r="E83" s="115"/>
      <c r="F83" s="115"/>
      <c r="G83" s="115"/>
      <c r="H83" s="115"/>
      <c r="I83" s="115"/>
      <c r="J83" s="115"/>
      <c r="K83" s="115"/>
    </row>
    <row r="84" ht="15.75" customHeight="1">
      <c r="A84" s="115"/>
      <c r="B84" s="115"/>
      <c r="C84" s="115"/>
      <c r="D84" s="115"/>
      <c r="E84" s="115"/>
      <c r="F84" s="115"/>
      <c r="G84" s="115"/>
      <c r="H84" s="115"/>
      <c r="I84" s="115"/>
      <c r="J84" s="115"/>
      <c r="K84" s="115"/>
    </row>
    <row r="85" ht="15.75" customHeight="1">
      <c r="A85" s="115"/>
      <c r="B85" s="115"/>
      <c r="C85" s="115"/>
      <c r="D85" s="115"/>
      <c r="E85" s="115"/>
      <c r="F85" s="115"/>
      <c r="G85" s="115"/>
      <c r="H85" s="115"/>
      <c r="I85" s="115"/>
      <c r="J85" s="115"/>
      <c r="K85" s="115"/>
    </row>
    <row r="86" ht="15.75" customHeight="1">
      <c r="A86" s="115"/>
      <c r="B86" s="115"/>
      <c r="C86" s="115"/>
      <c r="D86" s="115"/>
      <c r="E86" s="115"/>
      <c r="F86" s="115"/>
      <c r="G86" s="115"/>
      <c r="H86" s="115"/>
      <c r="I86" s="115"/>
      <c r="J86" s="115"/>
      <c r="K86" s="115"/>
    </row>
    <row r="87" ht="15.75" customHeight="1">
      <c r="A87" s="115"/>
      <c r="B87" s="115"/>
      <c r="C87" s="115"/>
      <c r="D87" s="115"/>
      <c r="E87" s="115"/>
      <c r="F87" s="115"/>
      <c r="G87" s="115"/>
      <c r="H87" s="115"/>
      <c r="I87" s="115"/>
      <c r="J87" s="115"/>
      <c r="K87" s="115"/>
    </row>
    <row r="88" ht="15.75" customHeight="1">
      <c r="A88" s="115"/>
      <c r="B88" s="115"/>
      <c r="C88" s="115"/>
      <c r="D88" s="115"/>
      <c r="E88" s="115"/>
      <c r="F88" s="115"/>
      <c r="G88" s="115"/>
      <c r="H88" s="115"/>
      <c r="I88" s="115"/>
      <c r="J88" s="115"/>
      <c r="K88" s="115"/>
    </row>
    <row r="89" ht="15.75" customHeight="1">
      <c r="A89" s="115"/>
      <c r="B89" s="115"/>
      <c r="C89" s="115"/>
      <c r="D89" s="115"/>
      <c r="E89" s="115"/>
      <c r="F89" s="115"/>
      <c r="G89" s="115"/>
      <c r="H89" s="115"/>
      <c r="I89" s="115"/>
      <c r="J89" s="115"/>
      <c r="K89" s="115"/>
    </row>
    <row r="90" ht="15.75" customHeight="1">
      <c r="A90" s="115"/>
      <c r="B90" s="115"/>
      <c r="C90" s="115"/>
      <c r="D90" s="115"/>
      <c r="E90" s="115"/>
      <c r="F90" s="115"/>
      <c r="G90" s="115"/>
      <c r="H90" s="115"/>
      <c r="I90" s="115"/>
      <c r="J90" s="115"/>
      <c r="K90" s="115"/>
    </row>
    <row r="91" ht="15.75" customHeight="1">
      <c r="A91" s="115"/>
      <c r="B91" s="115"/>
      <c r="C91" s="115"/>
      <c r="D91" s="115"/>
      <c r="E91" s="115"/>
      <c r="F91" s="115"/>
      <c r="G91" s="115"/>
      <c r="H91" s="115"/>
      <c r="I91" s="115"/>
      <c r="J91" s="115"/>
      <c r="K91" s="115"/>
    </row>
    <row r="92" ht="15.75" customHeight="1">
      <c r="A92" s="115"/>
      <c r="B92" s="115"/>
      <c r="C92" s="115"/>
      <c r="D92" s="115"/>
      <c r="E92" s="115"/>
      <c r="F92" s="115"/>
      <c r="G92" s="115"/>
      <c r="H92" s="115"/>
      <c r="I92" s="115"/>
      <c r="J92" s="115"/>
      <c r="K92" s="115"/>
    </row>
    <row r="93" ht="15.75" customHeight="1">
      <c r="A93" s="115"/>
      <c r="B93" s="115"/>
      <c r="C93" s="115"/>
      <c r="D93" s="115"/>
      <c r="E93" s="115"/>
      <c r="F93" s="115"/>
      <c r="G93" s="115"/>
      <c r="H93" s="115"/>
      <c r="I93" s="115"/>
      <c r="J93" s="115"/>
      <c r="K93" s="115"/>
    </row>
    <row r="94" ht="15.75" customHeight="1">
      <c r="A94" s="115"/>
      <c r="B94" s="115"/>
      <c r="C94" s="115"/>
      <c r="D94" s="115"/>
      <c r="E94" s="115"/>
      <c r="F94" s="115"/>
      <c r="G94" s="115"/>
      <c r="H94" s="115"/>
      <c r="I94" s="115"/>
      <c r="J94" s="115"/>
      <c r="K94" s="115"/>
    </row>
    <row r="95" ht="15.75" customHeight="1">
      <c r="A95" s="115"/>
      <c r="B95" s="115"/>
      <c r="C95" s="115"/>
      <c r="D95" s="115"/>
      <c r="E95" s="115"/>
      <c r="F95" s="115"/>
      <c r="G95" s="115"/>
      <c r="H95" s="115"/>
      <c r="I95" s="115"/>
      <c r="J95" s="115"/>
      <c r="K95" s="115"/>
    </row>
    <row r="96" ht="15.75" customHeight="1">
      <c r="A96" s="115"/>
      <c r="B96" s="115"/>
      <c r="C96" s="115"/>
      <c r="D96" s="115"/>
      <c r="E96" s="115"/>
      <c r="F96" s="115"/>
      <c r="G96" s="115"/>
      <c r="H96" s="115"/>
      <c r="I96" s="115"/>
      <c r="J96" s="115"/>
      <c r="K96" s="115"/>
    </row>
    <row r="97" ht="15.75" customHeight="1">
      <c r="A97" s="115"/>
      <c r="B97" s="115"/>
      <c r="C97" s="115"/>
      <c r="D97" s="115"/>
      <c r="E97" s="115"/>
      <c r="F97" s="115"/>
      <c r="G97" s="115"/>
      <c r="H97" s="115"/>
      <c r="I97" s="115"/>
      <c r="J97" s="115"/>
      <c r="K97" s="115"/>
    </row>
    <row r="98" ht="15.75" customHeight="1">
      <c r="A98" s="115"/>
      <c r="B98" s="115"/>
      <c r="C98" s="115"/>
      <c r="D98" s="115"/>
      <c r="E98" s="115"/>
      <c r="F98" s="115"/>
      <c r="G98" s="115"/>
      <c r="H98" s="115"/>
      <c r="I98" s="115"/>
      <c r="J98" s="115"/>
      <c r="K98" s="115"/>
    </row>
    <row r="99" ht="15.75" customHeight="1">
      <c r="A99" s="115"/>
      <c r="B99" s="115"/>
      <c r="C99" s="115"/>
      <c r="D99" s="115"/>
      <c r="E99" s="115"/>
      <c r="F99" s="115"/>
      <c r="G99" s="115"/>
      <c r="H99" s="115"/>
      <c r="I99" s="115"/>
      <c r="J99" s="115"/>
      <c r="K99" s="115"/>
    </row>
    <row r="100" ht="15.75" customHeight="1">
      <c r="A100" s="115"/>
      <c r="B100" s="115"/>
      <c r="C100" s="115"/>
      <c r="D100" s="115"/>
      <c r="E100" s="115"/>
      <c r="F100" s="115"/>
      <c r="G100" s="115"/>
      <c r="H100" s="115"/>
      <c r="I100" s="115"/>
      <c r="J100" s="115"/>
      <c r="K100" s="115"/>
    </row>
  </sheetData>
  <mergeCells count="2">
    <mergeCell ref="A2:J3"/>
    <mergeCell ref="B41:F4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27.57"/>
    <col customWidth="1" min="3" max="4" width="26.29"/>
    <col customWidth="1" min="5" max="5" width="15.86"/>
    <col customWidth="1" min="6" max="6" width="10.86"/>
    <col customWidth="1" min="7" max="7" width="10.71"/>
    <col customWidth="1" min="8" max="8" width="15.29"/>
    <col customWidth="1" min="9" max="25" width="12.43"/>
  </cols>
  <sheetData>
    <row r="1" ht="15.75" customHeight="1">
      <c r="A1" s="127"/>
      <c r="B1" s="127"/>
      <c r="C1" s="127"/>
      <c r="D1" s="127"/>
      <c r="E1" s="127"/>
      <c r="F1" s="127"/>
      <c r="G1" s="127"/>
      <c r="H1" s="127"/>
      <c r="I1" s="127"/>
      <c r="J1" s="127"/>
      <c r="K1" s="127"/>
      <c r="L1" s="127"/>
      <c r="M1" s="127"/>
      <c r="N1" s="127"/>
      <c r="O1" s="127"/>
      <c r="P1" s="127"/>
      <c r="Q1" s="127"/>
      <c r="R1" s="127"/>
      <c r="S1" s="127"/>
      <c r="T1" s="127"/>
      <c r="U1" s="127"/>
      <c r="V1" s="127"/>
      <c r="W1" s="127"/>
      <c r="X1" s="127"/>
      <c r="Y1" s="127"/>
    </row>
    <row r="2" ht="15.75" customHeight="1">
      <c r="A2" s="127"/>
      <c r="B2" s="128" t="s">
        <v>290</v>
      </c>
      <c r="C2" s="127"/>
      <c r="D2" s="127"/>
      <c r="E2" s="127"/>
      <c r="F2" s="127"/>
      <c r="G2" s="127"/>
      <c r="H2" s="127"/>
      <c r="I2" s="127"/>
      <c r="J2" s="127"/>
      <c r="K2" s="127"/>
      <c r="L2" s="127"/>
      <c r="M2" s="127"/>
      <c r="N2" s="127"/>
      <c r="O2" s="127"/>
      <c r="P2" s="127"/>
      <c r="Q2" s="127"/>
      <c r="R2" s="127"/>
      <c r="S2" s="127"/>
      <c r="T2" s="127"/>
      <c r="U2" s="127"/>
      <c r="V2" s="127"/>
      <c r="W2" s="127"/>
      <c r="X2" s="127"/>
      <c r="Y2" s="127"/>
    </row>
    <row r="3" ht="51.75" customHeight="1">
      <c r="A3" s="127"/>
      <c r="B3" s="129" t="s">
        <v>291</v>
      </c>
      <c r="H3" s="127"/>
      <c r="I3" s="127"/>
      <c r="J3" s="127"/>
      <c r="K3" s="127"/>
      <c r="L3" s="127"/>
      <c r="M3" s="127"/>
      <c r="N3" s="127"/>
      <c r="O3" s="127"/>
      <c r="P3" s="127"/>
      <c r="Q3" s="127"/>
      <c r="R3" s="127"/>
      <c r="S3" s="127"/>
      <c r="T3" s="127"/>
      <c r="U3" s="127"/>
      <c r="V3" s="127"/>
      <c r="W3" s="115"/>
      <c r="X3" s="115"/>
      <c r="Y3" s="115"/>
    </row>
    <row r="4" ht="15.75" customHeight="1">
      <c r="A4" s="127"/>
      <c r="B4" s="127"/>
      <c r="C4" s="127"/>
      <c r="D4" s="127"/>
      <c r="E4" s="127"/>
      <c r="F4" s="127"/>
      <c r="G4" s="127"/>
      <c r="H4" s="127"/>
      <c r="I4" s="127"/>
      <c r="J4" s="127"/>
      <c r="K4" s="127"/>
      <c r="L4" s="127"/>
      <c r="M4" s="127"/>
      <c r="N4" s="127"/>
      <c r="O4" s="127"/>
      <c r="P4" s="127"/>
      <c r="Q4" s="127"/>
      <c r="R4" s="127"/>
      <c r="S4" s="127"/>
      <c r="T4" s="127"/>
      <c r="U4" s="127"/>
      <c r="V4" s="127"/>
      <c r="W4" s="127"/>
      <c r="X4" s="127"/>
      <c r="Y4" s="127"/>
    </row>
    <row r="5" ht="15.75" customHeight="1">
      <c r="A5" s="127"/>
      <c r="B5" s="128" t="s">
        <v>292</v>
      </c>
      <c r="C5" s="127"/>
      <c r="D5" s="127"/>
      <c r="E5" s="127"/>
      <c r="F5" s="127"/>
      <c r="G5" s="127"/>
      <c r="H5" s="127"/>
      <c r="I5" s="127"/>
      <c r="J5" s="127"/>
      <c r="K5" s="127"/>
      <c r="L5" s="127"/>
      <c r="M5" s="127"/>
      <c r="N5" s="127"/>
      <c r="O5" s="127"/>
      <c r="P5" s="127"/>
      <c r="Q5" s="127"/>
      <c r="R5" s="127"/>
      <c r="S5" s="127"/>
      <c r="T5" s="127"/>
      <c r="U5" s="127"/>
      <c r="V5" s="127"/>
      <c r="W5" s="127"/>
      <c r="X5" s="127"/>
      <c r="Y5" s="127"/>
    </row>
    <row r="6" ht="15.75" customHeight="1">
      <c r="A6" s="127">
        <v>1.0</v>
      </c>
      <c r="B6" s="127" t="s">
        <v>293</v>
      </c>
      <c r="C6" s="127"/>
      <c r="D6" s="127"/>
      <c r="E6" s="127"/>
      <c r="F6" s="127"/>
      <c r="G6" s="127"/>
      <c r="H6" s="127"/>
      <c r="I6" s="127"/>
      <c r="J6" s="127"/>
      <c r="K6" s="127"/>
      <c r="L6" s="127"/>
      <c r="M6" s="127"/>
      <c r="N6" s="127"/>
      <c r="O6" s="127"/>
      <c r="P6" s="127"/>
      <c r="Q6" s="127"/>
      <c r="R6" s="127"/>
      <c r="S6" s="127"/>
      <c r="T6" s="127"/>
      <c r="U6" s="127"/>
      <c r="V6" s="127"/>
      <c r="W6" s="127"/>
      <c r="X6" s="127"/>
      <c r="Y6" s="127"/>
    </row>
    <row r="7" ht="15.75" customHeight="1">
      <c r="A7" s="127">
        <v>2.0</v>
      </c>
      <c r="B7" s="127" t="s">
        <v>294</v>
      </c>
      <c r="C7" s="127"/>
      <c r="D7" s="127"/>
      <c r="E7" s="127"/>
      <c r="F7" s="127"/>
      <c r="G7" s="127"/>
      <c r="H7" s="127"/>
      <c r="I7" s="127"/>
      <c r="J7" s="127"/>
      <c r="K7" s="127"/>
      <c r="L7" s="127"/>
      <c r="M7" s="127"/>
      <c r="N7" s="127"/>
      <c r="O7" s="127"/>
      <c r="P7" s="127"/>
      <c r="Q7" s="127"/>
      <c r="R7" s="127"/>
      <c r="S7" s="127"/>
      <c r="T7" s="127"/>
      <c r="U7" s="127"/>
      <c r="V7" s="127"/>
      <c r="W7" s="127"/>
      <c r="X7" s="127"/>
      <c r="Y7" s="127"/>
    </row>
    <row r="8" ht="15.75" customHeight="1">
      <c r="A8" s="127">
        <v>3.0</v>
      </c>
      <c r="B8" s="127" t="s">
        <v>295</v>
      </c>
      <c r="C8" s="127"/>
      <c r="D8" s="127"/>
      <c r="E8" s="127"/>
      <c r="F8" s="127"/>
      <c r="G8" s="127"/>
      <c r="H8" s="127"/>
      <c r="I8" s="127"/>
      <c r="J8" s="127"/>
      <c r="K8" s="127"/>
      <c r="L8" s="127"/>
      <c r="M8" s="127"/>
      <c r="N8" s="127"/>
      <c r="O8" s="127"/>
      <c r="P8" s="127"/>
      <c r="Q8" s="127"/>
      <c r="R8" s="127"/>
      <c r="S8" s="127"/>
      <c r="T8" s="127"/>
      <c r="U8" s="127"/>
      <c r="V8" s="127"/>
      <c r="W8" s="127"/>
      <c r="X8" s="127"/>
      <c r="Y8" s="127"/>
    </row>
    <row r="9" ht="15.75" customHeight="1">
      <c r="A9" s="127"/>
      <c r="B9" s="127"/>
      <c r="C9" s="127"/>
      <c r="D9" s="127"/>
      <c r="E9" s="127"/>
      <c r="F9" s="127"/>
      <c r="G9" s="127"/>
      <c r="H9" s="127"/>
      <c r="I9" s="127"/>
      <c r="J9" s="127"/>
      <c r="K9" s="127"/>
      <c r="L9" s="127"/>
      <c r="M9" s="127"/>
      <c r="N9" s="127"/>
      <c r="O9" s="127"/>
      <c r="P9" s="127"/>
      <c r="Q9" s="127"/>
      <c r="R9" s="127"/>
      <c r="S9" s="127"/>
      <c r="T9" s="127"/>
      <c r="U9" s="127"/>
      <c r="V9" s="127"/>
      <c r="W9" s="127"/>
      <c r="X9" s="127"/>
      <c r="Y9" s="127"/>
    </row>
    <row r="10" ht="15.75" customHeight="1">
      <c r="A10" s="127"/>
      <c r="B10" s="128" t="s">
        <v>296</v>
      </c>
      <c r="C10" s="127"/>
      <c r="D10" s="127"/>
      <c r="E10" s="127"/>
      <c r="F10" s="127"/>
      <c r="G10" s="127"/>
      <c r="H10" s="127"/>
      <c r="I10" s="127"/>
      <c r="J10" s="127"/>
      <c r="K10" s="127"/>
      <c r="L10" s="127"/>
      <c r="M10" s="127"/>
      <c r="N10" s="127"/>
      <c r="O10" s="127"/>
      <c r="P10" s="127"/>
      <c r="Q10" s="127"/>
      <c r="R10" s="127"/>
      <c r="S10" s="127"/>
      <c r="T10" s="127"/>
      <c r="U10" s="127"/>
      <c r="V10" s="127"/>
      <c r="W10" s="127"/>
      <c r="X10" s="127"/>
      <c r="Y10" s="127"/>
    </row>
    <row r="11" ht="15.75" customHeight="1">
      <c r="A11" s="127"/>
      <c r="B11" s="128" t="s">
        <v>48</v>
      </c>
      <c r="C11" s="128" t="s">
        <v>296</v>
      </c>
      <c r="D11" s="127"/>
      <c r="E11" s="127"/>
      <c r="F11" s="127"/>
      <c r="G11" s="127"/>
      <c r="H11" s="127"/>
      <c r="I11" s="127"/>
      <c r="J11" s="127"/>
      <c r="K11" s="127"/>
      <c r="L11" s="127"/>
      <c r="M11" s="127"/>
      <c r="N11" s="127"/>
      <c r="O11" s="127"/>
      <c r="P11" s="127"/>
      <c r="Q11" s="127"/>
      <c r="R11" s="127"/>
      <c r="S11" s="127"/>
      <c r="T11" s="127"/>
      <c r="U11" s="127"/>
      <c r="V11" s="127"/>
      <c r="W11" s="127"/>
      <c r="X11" s="127"/>
      <c r="Y11" s="127"/>
    </row>
    <row r="12" ht="15.75" customHeight="1">
      <c r="A12" s="127"/>
      <c r="B12" s="128" t="s">
        <v>70</v>
      </c>
      <c r="C12" s="130">
        <v>-1.5E8</v>
      </c>
      <c r="D12" s="131" t="str">
        <f t="array" ref="D12:D16">ISNUMBER(C12:C16)</f>
        <v>TRUE</v>
      </c>
      <c r="E12" s="127"/>
      <c r="F12" s="127"/>
      <c r="G12" s="127"/>
      <c r="H12" s="127"/>
      <c r="I12" s="127"/>
      <c r="J12" s="127"/>
      <c r="K12" s="127"/>
      <c r="L12" s="127"/>
      <c r="M12" s="127"/>
      <c r="N12" s="127"/>
      <c r="O12" s="127"/>
      <c r="P12" s="127"/>
      <c r="Q12" s="127"/>
      <c r="R12" s="127"/>
      <c r="S12" s="127"/>
      <c r="T12" s="127"/>
      <c r="U12" s="127"/>
      <c r="V12" s="127"/>
      <c r="W12" s="127"/>
      <c r="X12" s="127"/>
      <c r="Y12" s="127"/>
    </row>
    <row r="13" ht="15.75" customHeight="1">
      <c r="A13" s="127"/>
      <c r="B13" s="127" t="s">
        <v>70</v>
      </c>
      <c r="C13" s="132">
        <v>6.0E7</v>
      </c>
      <c r="D13" s="131" t="b">
        <v>1</v>
      </c>
      <c r="E13" s="127"/>
      <c r="F13" s="127"/>
      <c r="G13" s="127"/>
      <c r="H13" s="127"/>
      <c r="I13" s="127"/>
      <c r="J13" s="127"/>
      <c r="K13" s="127"/>
      <c r="L13" s="127"/>
      <c r="M13" s="127"/>
      <c r="N13" s="127"/>
      <c r="O13" s="127"/>
      <c r="P13" s="127"/>
      <c r="Q13" s="127"/>
      <c r="R13" s="127"/>
      <c r="S13" s="127"/>
      <c r="T13" s="127"/>
      <c r="U13" s="127"/>
      <c r="V13" s="127"/>
      <c r="W13" s="127"/>
      <c r="X13" s="127"/>
      <c r="Y13" s="127"/>
    </row>
    <row r="14" ht="15.75" customHeight="1">
      <c r="A14" s="127"/>
      <c r="B14" s="127" t="s">
        <v>71</v>
      </c>
      <c r="C14" s="132">
        <v>7.0E7</v>
      </c>
      <c r="D14" s="131" t="b">
        <v>1</v>
      </c>
      <c r="E14" s="127"/>
      <c r="F14" s="127"/>
      <c r="G14" s="127"/>
      <c r="H14" s="127"/>
      <c r="I14" s="127"/>
      <c r="J14" s="127"/>
      <c r="K14" s="127"/>
      <c r="L14" s="127"/>
      <c r="M14" s="127"/>
      <c r="N14" s="127"/>
      <c r="O14" s="127"/>
      <c r="P14" s="127"/>
      <c r="Q14" s="127"/>
      <c r="R14" s="127"/>
      <c r="S14" s="127"/>
      <c r="T14" s="127"/>
      <c r="U14" s="127"/>
      <c r="V14" s="127"/>
      <c r="W14" s="127"/>
      <c r="X14" s="127"/>
      <c r="Y14" s="127"/>
    </row>
    <row r="15" ht="15.75" customHeight="1">
      <c r="A15" s="127"/>
      <c r="B15" s="127" t="s">
        <v>74</v>
      </c>
      <c r="C15" s="132">
        <v>8.0E7</v>
      </c>
      <c r="D15" s="131" t="b">
        <v>1</v>
      </c>
      <c r="E15" s="127"/>
      <c r="F15" s="127"/>
      <c r="G15" s="127"/>
      <c r="H15" s="127"/>
      <c r="I15" s="127"/>
      <c r="J15" s="127"/>
      <c r="K15" s="127"/>
      <c r="L15" s="127"/>
      <c r="M15" s="127"/>
      <c r="N15" s="127"/>
      <c r="O15" s="127"/>
      <c r="P15" s="127"/>
      <c r="Q15" s="127"/>
      <c r="R15" s="127"/>
      <c r="S15" s="127"/>
      <c r="T15" s="127"/>
      <c r="U15" s="127"/>
      <c r="V15" s="127"/>
      <c r="W15" s="127"/>
      <c r="X15" s="127"/>
      <c r="Y15" s="127"/>
    </row>
    <row r="16" ht="15.75" customHeight="1">
      <c r="A16" s="127"/>
      <c r="B16" s="127" t="s">
        <v>75</v>
      </c>
      <c r="C16" s="132">
        <v>9.0E7</v>
      </c>
      <c r="D16" s="131" t="b">
        <v>1</v>
      </c>
      <c r="E16" s="127"/>
      <c r="F16" s="127"/>
      <c r="G16" s="127"/>
      <c r="H16" s="127"/>
      <c r="I16" s="127"/>
      <c r="J16" s="127"/>
      <c r="K16" s="127"/>
      <c r="L16" s="127"/>
      <c r="M16" s="127"/>
      <c r="N16" s="127"/>
      <c r="O16" s="127"/>
      <c r="P16" s="127"/>
      <c r="Q16" s="127"/>
      <c r="R16" s="127"/>
      <c r="S16" s="127"/>
      <c r="T16" s="127"/>
      <c r="U16" s="127"/>
      <c r="V16" s="127"/>
      <c r="W16" s="127"/>
      <c r="X16" s="127"/>
      <c r="Y16" s="127"/>
    </row>
    <row r="17" ht="15.75" customHeight="1">
      <c r="A17" s="127"/>
      <c r="B17" s="127" t="s">
        <v>297</v>
      </c>
      <c r="C17" s="133">
        <v>0.12</v>
      </c>
      <c r="D17" s="127"/>
      <c r="E17" s="127"/>
      <c r="F17" s="127"/>
      <c r="G17" s="127"/>
      <c r="H17" s="127"/>
      <c r="I17" s="127"/>
      <c r="J17" s="127"/>
      <c r="K17" s="127"/>
      <c r="L17" s="127"/>
      <c r="M17" s="127"/>
      <c r="N17" s="127"/>
      <c r="O17" s="127"/>
      <c r="P17" s="127"/>
      <c r="Q17" s="127"/>
      <c r="R17" s="127"/>
      <c r="S17" s="127"/>
      <c r="T17" s="127"/>
      <c r="U17" s="127"/>
      <c r="V17" s="127"/>
      <c r="W17" s="127"/>
      <c r="X17" s="127"/>
      <c r="Y17" s="127"/>
    </row>
    <row r="18" ht="15.75" customHeight="1">
      <c r="A18" s="127"/>
      <c r="B18" s="128" t="s">
        <v>298</v>
      </c>
      <c r="C18" s="134"/>
      <c r="D18" s="127"/>
      <c r="E18" s="127"/>
      <c r="F18" s="127"/>
      <c r="G18" s="127"/>
      <c r="H18" s="127"/>
      <c r="I18" s="127"/>
      <c r="J18" s="127"/>
      <c r="K18" s="127"/>
      <c r="L18" s="127"/>
      <c r="M18" s="127"/>
      <c r="N18" s="127"/>
      <c r="O18" s="127"/>
      <c r="P18" s="127"/>
      <c r="Q18" s="127"/>
      <c r="R18" s="127"/>
      <c r="S18" s="127"/>
      <c r="T18" s="127"/>
      <c r="U18" s="127"/>
      <c r="V18" s="127"/>
      <c r="W18" s="127"/>
      <c r="X18" s="127"/>
      <c r="Y18" s="127"/>
    </row>
    <row r="19" ht="15.75" customHeight="1">
      <c r="A19" s="127">
        <v>1.0</v>
      </c>
      <c r="B19" s="127" t="s">
        <v>299</v>
      </c>
      <c r="C19" s="127"/>
      <c r="D19" s="127"/>
      <c r="E19" s="127"/>
      <c r="F19" s="127"/>
      <c r="G19" s="127"/>
      <c r="H19" s="127"/>
      <c r="I19" s="127"/>
      <c r="J19" s="127"/>
      <c r="K19" s="127"/>
      <c r="L19" s="127"/>
      <c r="M19" s="127"/>
      <c r="N19" s="127"/>
      <c r="O19" s="127"/>
      <c r="P19" s="127"/>
      <c r="Q19" s="127"/>
      <c r="R19" s="127"/>
      <c r="S19" s="127"/>
      <c r="T19" s="127"/>
      <c r="U19" s="127"/>
      <c r="V19" s="127"/>
      <c r="W19" s="127"/>
      <c r="X19" s="127"/>
      <c r="Y19" s="127"/>
    </row>
    <row r="20" ht="15.75" customHeight="1">
      <c r="A20" s="127">
        <v>2.0</v>
      </c>
      <c r="B20" s="127" t="s">
        <v>300</v>
      </c>
      <c r="C20" s="127"/>
      <c r="D20" s="127"/>
      <c r="E20" s="127"/>
      <c r="F20" s="127"/>
      <c r="G20" s="127"/>
      <c r="H20" s="127"/>
      <c r="I20" s="127"/>
      <c r="J20" s="127"/>
      <c r="K20" s="127"/>
      <c r="L20" s="127"/>
      <c r="M20" s="127"/>
      <c r="N20" s="127"/>
      <c r="O20" s="127"/>
      <c r="P20" s="127"/>
      <c r="Q20" s="127"/>
      <c r="R20" s="127"/>
      <c r="S20" s="127"/>
      <c r="T20" s="127"/>
      <c r="U20" s="127"/>
      <c r="V20" s="127"/>
      <c r="W20" s="127"/>
      <c r="X20" s="127"/>
      <c r="Y20" s="127"/>
    </row>
    <row r="21" ht="15.75" customHeight="1">
      <c r="A21" s="127"/>
      <c r="B21" s="127"/>
      <c r="C21" s="127"/>
      <c r="D21" s="127"/>
      <c r="E21" s="127"/>
      <c r="F21" s="127"/>
      <c r="G21" s="127"/>
      <c r="H21" s="127"/>
      <c r="I21" s="127"/>
      <c r="J21" s="127"/>
      <c r="K21" s="127"/>
      <c r="L21" s="127"/>
      <c r="M21" s="127"/>
      <c r="N21" s="127"/>
      <c r="O21" s="127"/>
      <c r="P21" s="127"/>
      <c r="Q21" s="127"/>
      <c r="R21" s="127"/>
      <c r="S21" s="127"/>
      <c r="T21" s="127"/>
      <c r="U21" s="127"/>
      <c r="V21" s="127"/>
      <c r="W21" s="127"/>
      <c r="X21" s="127"/>
      <c r="Y21" s="127"/>
    </row>
    <row r="22" ht="15.75" customHeight="1">
      <c r="A22" s="127"/>
      <c r="B22" s="135" t="s">
        <v>301</v>
      </c>
      <c r="C22" s="135" t="s">
        <v>302</v>
      </c>
      <c r="D22" s="135" t="s">
        <v>303</v>
      </c>
      <c r="E22" s="127"/>
      <c r="F22" s="127"/>
      <c r="G22" s="127"/>
      <c r="H22" s="127"/>
      <c r="I22" s="127"/>
      <c r="J22" s="127"/>
      <c r="K22" s="127"/>
      <c r="L22" s="127"/>
      <c r="M22" s="127"/>
      <c r="N22" s="127"/>
      <c r="O22" s="127"/>
      <c r="P22" s="127"/>
      <c r="Q22" s="127"/>
      <c r="R22" s="127"/>
      <c r="S22" s="127"/>
      <c r="T22" s="127"/>
      <c r="U22" s="127"/>
      <c r="V22" s="127"/>
      <c r="W22" s="127"/>
      <c r="X22" s="127"/>
      <c r="Y22" s="127"/>
    </row>
    <row r="23" ht="15.75" customHeight="1">
      <c r="A23" s="127"/>
      <c r="B23" s="136" t="s">
        <v>304</v>
      </c>
      <c r="C23" s="136" t="s">
        <v>305</v>
      </c>
      <c r="D23" s="136" t="s">
        <v>306</v>
      </c>
      <c r="E23" s="127"/>
      <c r="F23" s="127"/>
      <c r="G23" s="127"/>
      <c r="H23" s="127"/>
      <c r="I23" s="127"/>
      <c r="J23" s="127"/>
      <c r="K23" s="127"/>
      <c r="L23" s="127"/>
      <c r="M23" s="127"/>
      <c r="N23" s="127"/>
      <c r="O23" s="127"/>
      <c r="P23" s="127"/>
      <c r="Q23" s="127"/>
      <c r="R23" s="127"/>
      <c r="S23" s="127"/>
      <c r="T23" s="127"/>
      <c r="U23" s="127"/>
      <c r="V23" s="127"/>
      <c r="W23" s="127"/>
      <c r="X23" s="127"/>
      <c r="Y23" s="127"/>
    </row>
    <row r="24" ht="15.75" customHeight="1">
      <c r="A24" s="127"/>
      <c r="B24" s="136" t="s">
        <v>307</v>
      </c>
      <c r="C24" s="136" t="s">
        <v>308</v>
      </c>
      <c r="D24" s="136" t="s">
        <v>309</v>
      </c>
      <c r="E24" s="127"/>
      <c r="F24" s="127"/>
      <c r="G24" s="127"/>
      <c r="H24" s="127"/>
      <c r="I24" s="127"/>
      <c r="J24" s="127"/>
      <c r="K24" s="127"/>
      <c r="L24" s="127"/>
      <c r="M24" s="127"/>
      <c r="N24" s="127"/>
      <c r="O24" s="127"/>
      <c r="P24" s="127"/>
      <c r="Q24" s="127"/>
      <c r="R24" s="127"/>
      <c r="S24" s="127"/>
      <c r="T24" s="127"/>
      <c r="U24" s="127"/>
      <c r="V24" s="127"/>
      <c r="W24" s="127"/>
      <c r="X24" s="127"/>
      <c r="Y24" s="127"/>
    </row>
    <row r="25" ht="15.75" customHeight="1">
      <c r="A25" s="127"/>
      <c r="B25" s="136" t="s">
        <v>310</v>
      </c>
      <c r="C25" s="136" t="s">
        <v>311</v>
      </c>
      <c r="D25" s="136" t="s">
        <v>312</v>
      </c>
      <c r="E25" s="127"/>
      <c r="F25" s="127"/>
      <c r="G25" s="127"/>
      <c r="H25" s="127"/>
      <c r="I25" s="127"/>
      <c r="J25" s="127"/>
      <c r="K25" s="127"/>
      <c r="L25" s="127"/>
      <c r="M25" s="127"/>
      <c r="N25" s="127"/>
      <c r="O25" s="127"/>
      <c r="P25" s="127"/>
      <c r="Q25" s="127"/>
      <c r="R25" s="127"/>
      <c r="S25" s="127"/>
      <c r="T25" s="127"/>
      <c r="U25" s="127"/>
      <c r="V25" s="127"/>
      <c r="W25" s="127"/>
      <c r="X25" s="127"/>
      <c r="Y25" s="127"/>
    </row>
    <row r="26" ht="15.75" customHeight="1">
      <c r="A26" s="127"/>
      <c r="B26" s="136" t="s">
        <v>313</v>
      </c>
      <c r="C26" s="136" t="s">
        <v>314</v>
      </c>
      <c r="D26" s="136" t="s">
        <v>315</v>
      </c>
      <c r="E26" s="127"/>
      <c r="F26" s="127"/>
      <c r="G26" s="127"/>
      <c r="H26" s="127"/>
      <c r="I26" s="127"/>
      <c r="J26" s="127"/>
      <c r="K26" s="127"/>
      <c r="L26" s="127"/>
      <c r="M26" s="127"/>
      <c r="N26" s="127"/>
      <c r="O26" s="127"/>
      <c r="P26" s="127"/>
      <c r="Q26" s="127"/>
      <c r="R26" s="127"/>
      <c r="S26" s="127"/>
      <c r="T26" s="127"/>
      <c r="U26" s="127"/>
      <c r="V26" s="127"/>
      <c r="W26" s="127"/>
      <c r="X26" s="127"/>
      <c r="Y26" s="127"/>
    </row>
    <row r="27" ht="15.75" customHeight="1">
      <c r="A27" s="127"/>
      <c r="B27" s="127"/>
      <c r="C27" s="127"/>
      <c r="D27" s="127"/>
      <c r="E27" s="127"/>
      <c r="F27" s="127"/>
      <c r="G27" s="127"/>
      <c r="H27" s="137"/>
      <c r="I27" s="127"/>
      <c r="J27" s="127"/>
      <c r="K27" s="127"/>
      <c r="L27" s="127"/>
      <c r="M27" s="127"/>
      <c r="N27" s="127"/>
      <c r="O27" s="127"/>
      <c r="P27" s="127"/>
      <c r="Q27" s="127"/>
      <c r="R27" s="127"/>
      <c r="S27" s="127"/>
      <c r="T27" s="127"/>
      <c r="U27" s="127"/>
      <c r="V27" s="127"/>
      <c r="W27" s="127"/>
      <c r="X27" s="127"/>
      <c r="Y27" s="127"/>
    </row>
    <row r="28" ht="15.75" customHeight="1">
      <c r="A28" s="127"/>
      <c r="B28" s="135" t="s">
        <v>301</v>
      </c>
      <c r="C28" s="135" t="s">
        <v>316</v>
      </c>
      <c r="D28" s="135" t="s">
        <v>317</v>
      </c>
      <c r="E28" s="135" t="s">
        <v>318</v>
      </c>
      <c r="F28" s="127"/>
      <c r="G28" s="127"/>
      <c r="H28" s="137"/>
      <c r="I28" s="127"/>
      <c r="J28" s="127"/>
      <c r="K28" s="127"/>
      <c r="L28" s="127"/>
      <c r="M28" s="127"/>
      <c r="N28" s="127"/>
      <c r="O28" s="127"/>
      <c r="P28" s="127"/>
      <c r="Q28" s="127"/>
      <c r="R28" s="127"/>
      <c r="S28" s="127"/>
      <c r="T28" s="127"/>
      <c r="U28" s="127"/>
      <c r="V28" s="127"/>
      <c r="W28" s="127"/>
      <c r="X28" s="127"/>
      <c r="Y28" s="115"/>
    </row>
    <row r="29" ht="15.75" customHeight="1">
      <c r="A29" s="127"/>
      <c r="B29" s="138" t="s">
        <v>304</v>
      </c>
      <c r="C29" s="139" t="s">
        <v>319</v>
      </c>
      <c r="D29" s="140" t="str">
        <f>FV(C17,4,0,-D30,0)</f>
        <v> 351,703,680 </v>
      </c>
      <c r="E29" s="136" t="str">
        <f>IF(D29&gt;ABS(C12),C22,D22)</f>
        <v>Feasible</v>
      </c>
      <c r="F29" s="137"/>
      <c r="G29" s="127"/>
      <c r="H29" s="127"/>
      <c r="I29" s="127"/>
      <c r="J29" s="127"/>
      <c r="K29" s="127"/>
      <c r="L29" s="127"/>
      <c r="M29" s="127"/>
      <c r="N29" s="127"/>
      <c r="O29" s="127"/>
      <c r="P29" s="127"/>
      <c r="Q29" s="127"/>
      <c r="R29" s="127"/>
      <c r="S29" s="127"/>
      <c r="T29" s="127"/>
      <c r="U29" s="127"/>
      <c r="V29" s="127"/>
      <c r="W29" s="127"/>
      <c r="X29" s="127"/>
      <c r="Y29" s="115"/>
    </row>
    <row r="30" ht="15.75" customHeight="1">
      <c r="A30" s="127"/>
      <c r="B30" s="138" t="s">
        <v>307</v>
      </c>
      <c r="C30" s="139" t="s">
        <v>320</v>
      </c>
      <c r="D30" s="141" t="str">
        <f t="array" ref="D30">NPV(C17,C13:C16)</f>
        <v> 223,514,046.88 </v>
      </c>
      <c r="E30" s="136" t="str">
        <f>IF(D30&gt;ABS(C12),C22,D22)</f>
        <v>Feasible</v>
      </c>
      <c r="F30" s="127"/>
      <c r="G30" s="127"/>
      <c r="H30" s="127"/>
      <c r="I30" s="127"/>
      <c r="J30" s="127"/>
      <c r="K30" s="127"/>
      <c r="L30" s="127"/>
      <c r="M30" s="127"/>
      <c r="N30" s="127"/>
      <c r="O30" s="127"/>
      <c r="P30" s="127"/>
      <c r="Q30" s="127"/>
      <c r="R30" s="127"/>
      <c r="S30" s="127"/>
      <c r="T30" s="127"/>
      <c r="U30" s="127"/>
      <c r="V30" s="127"/>
      <c r="W30" s="127"/>
      <c r="X30" s="127"/>
      <c r="Y30" s="115"/>
    </row>
    <row r="31" ht="15.75" customHeight="1">
      <c r="A31" s="127"/>
      <c r="B31" s="138" t="s">
        <v>310</v>
      </c>
      <c r="C31" s="139" t="s">
        <v>321</v>
      </c>
      <c r="D31" s="142" t="str">
        <f>IRR(C12:C16)</f>
        <v>32%</v>
      </c>
      <c r="E31" s="136" t="str">
        <f>IF(D31&gt;C18,C22,D22)</f>
        <v>Feasible</v>
      </c>
      <c r="F31" s="127"/>
      <c r="G31" s="127"/>
      <c r="H31" s="127"/>
      <c r="I31" s="127"/>
      <c r="J31" s="127"/>
      <c r="K31" s="127"/>
      <c r="L31" s="127"/>
      <c r="M31" s="127"/>
      <c r="N31" s="127"/>
      <c r="O31" s="127"/>
      <c r="P31" s="127"/>
      <c r="Q31" s="127"/>
      <c r="R31" s="127"/>
      <c r="S31" s="127"/>
      <c r="T31" s="127"/>
      <c r="U31" s="127"/>
      <c r="V31" s="127"/>
      <c r="W31" s="127"/>
      <c r="X31" s="127"/>
      <c r="Y31" s="115"/>
    </row>
    <row r="32" ht="15.75" customHeight="1">
      <c r="A32" s="127"/>
      <c r="B32" s="138" t="s">
        <v>313</v>
      </c>
      <c r="C32" s="143" t="s">
        <v>322</v>
      </c>
      <c r="D32" s="144" t="str">
        <f>ABS(D30/C12)</f>
        <v>  1.49 </v>
      </c>
      <c r="E32" s="136" t="str">
        <f>IF(D32&gt;1,C22,D22)</f>
        <v>Feasible</v>
      </c>
      <c r="F32" s="127"/>
      <c r="G32" s="127"/>
      <c r="H32" s="127"/>
      <c r="I32" s="127"/>
      <c r="J32" s="127"/>
      <c r="K32" s="127"/>
      <c r="L32" s="127"/>
      <c r="M32" s="127"/>
      <c r="N32" s="127"/>
      <c r="O32" s="127"/>
      <c r="P32" s="127"/>
      <c r="Q32" s="127"/>
      <c r="R32" s="127"/>
      <c r="S32" s="127"/>
      <c r="T32" s="127"/>
      <c r="U32" s="127"/>
      <c r="V32" s="127"/>
      <c r="W32" s="127"/>
      <c r="X32" s="127"/>
      <c r="Y32" s="115"/>
    </row>
    <row r="33" ht="15.75" customHeight="1">
      <c r="A33" s="127"/>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row>
    <row r="34" ht="15.75" customHeight="1">
      <c r="A34" s="127"/>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row>
    <row r="35" ht="15.75" customHeight="1">
      <c r="A35" s="128" t="s">
        <v>323</v>
      </c>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row>
    <row r="36" ht="15.75" customHeight="1">
      <c r="A36" s="128" t="s">
        <v>324</v>
      </c>
      <c r="B36" s="128" t="s">
        <v>325</v>
      </c>
      <c r="C36" s="127"/>
      <c r="D36" s="127"/>
      <c r="E36" s="127"/>
      <c r="F36" s="127"/>
      <c r="G36" s="127"/>
      <c r="H36" s="127"/>
      <c r="I36" s="127"/>
      <c r="J36" s="127"/>
      <c r="K36" s="127"/>
      <c r="L36" s="127"/>
      <c r="M36" s="127"/>
      <c r="N36" s="127"/>
      <c r="O36" s="127"/>
      <c r="P36" s="127"/>
      <c r="Q36" s="127"/>
      <c r="R36" s="127"/>
      <c r="S36" s="127"/>
      <c r="T36" s="127"/>
      <c r="U36" s="127"/>
      <c r="V36" s="127"/>
      <c r="W36" s="127"/>
      <c r="X36" s="127"/>
      <c r="Y36" s="127"/>
    </row>
    <row r="37" ht="46.5" customHeight="1">
      <c r="A37" s="127"/>
      <c r="B37" s="129" t="s">
        <v>326</v>
      </c>
      <c r="H37" s="127"/>
      <c r="I37" s="127"/>
      <c r="J37" s="127"/>
      <c r="K37" s="127"/>
      <c r="L37" s="127"/>
      <c r="M37" s="127"/>
      <c r="N37" s="127"/>
      <c r="O37" s="127"/>
      <c r="P37" s="127"/>
      <c r="Q37" s="127"/>
      <c r="R37" s="127"/>
      <c r="S37" s="127"/>
      <c r="T37" s="127"/>
      <c r="U37" s="127"/>
      <c r="V37" s="115"/>
      <c r="W37" s="115"/>
      <c r="X37" s="115"/>
      <c r="Y37" s="115"/>
    </row>
    <row r="38" ht="15.75" customHeight="1">
      <c r="A38" s="127"/>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row>
    <row r="39" ht="15.75" customHeight="1">
      <c r="A39" s="128" t="s">
        <v>327</v>
      </c>
      <c r="B39" s="128" t="s">
        <v>328</v>
      </c>
      <c r="C39" s="127"/>
      <c r="D39" s="127"/>
      <c r="E39" s="127"/>
      <c r="F39" s="127"/>
      <c r="G39" s="127"/>
      <c r="H39" s="127"/>
      <c r="I39" s="127"/>
      <c r="J39" s="127"/>
      <c r="K39" s="127"/>
      <c r="L39" s="127"/>
      <c r="M39" s="127"/>
      <c r="N39" s="127"/>
      <c r="O39" s="127"/>
      <c r="P39" s="127"/>
      <c r="Q39" s="127"/>
      <c r="R39" s="127"/>
      <c r="S39" s="127"/>
      <c r="T39" s="127"/>
      <c r="U39" s="127"/>
      <c r="V39" s="127"/>
      <c r="W39" s="127"/>
      <c r="X39" s="127"/>
      <c r="Y39" s="127"/>
    </row>
    <row r="40" ht="15.75" customHeight="1">
      <c r="A40" s="127"/>
      <c r="B40" s="145" t="s">
        <v>329</v>
      </c>
      <c r="C40" s="145" t="s">
        <v>330</v>
      </c>
      <c r="D40" s="146" t="s">
        <v>331</v>
      </c>
      <c r="E40" s="147"/>
      <c r="F40" s="147"/>
      <c r="G40" s="18"/>
      <c r="H40" s="127"/>
      <c r="I40" s="127"/>
      <c r="J40" s="127"/>
      <c r="K40" s="127"/>
      <c r="L40" s="127"/>
      <c r="M40" s="127"/>
      <c r="N40" s="127"/>
      <c r="O40" s="127"/>
      <c r="P40" s="127"/>
      <c r="Q40" s="127"/>
      <c r="R40" s="127"/>
      <c r="S40" s="127"/>
      <c r="T40" s="127"/>
      <c r="U40" s="127"/>
      <c r="V40" s="127"/>
      <c r="W40" s="127"/>
      <c r="X40" s="127"/>
      <c r="Y40" s="127"/>
    </row>
    <row r="41" ht="15.75" customHeight="1">
      <c r="A41" s="127"/>
      <c r="B41" s="148" t="s">
        <v>332</v>
      </c>
      <c r="C41" s="148" t="str">
        <f t="array" ref="C41:C44">IF(E29:E32=C22,C23:C26,D23:D26)</f>
        <v>FV &gt; Investment</v>
      </c>
      <c r="D41" s="149" t="s">
        <v>333</v>
      </c>
      <c r="E41" s="147"/>
      <c r="F41" s="147"/>
      <c r="G41" s="18"/>
      <c r="H41" s="127"/>
      <c r="I41" s="127"/>
      <c r="J41" s="127"/>
      <c r="K41" s="127"/>
      <c r="L41" s="127"/>
      <c r="M41" s="127"/>
      <c r="N41" s="127"/>
      <c r="O41" s="127"/>
      <c r="P41" s="127"/>
      <c r="Q41" s="127"/>
      <c r="R41" s="127"/>
      <c r="S41" s="127"/>
      <c r="T41" s="127"/>
      <c r="U41" s="127"/>
      <c r="V41" s="127"/>
      <c r="W41" s="127"/>
      <c r="X41" s="115"/>
      <c r="Y41" s="115"/>
    </row>
    <row r="42" ht="15.75" customHeight="1">
      <c r="A42" s="127"/>
      <c r="B42" s="148" t="s">
        <v>334</v>
      </c>
      <c r="C42" s="148" t="s">
        <v>308</v>
      </c>
      <c r="D42" s="149" t="s">
        <v>335</v>
      </c>
      <c r="E42" s="147"/>
      <c r="F42" s="147"/>
      <c r="G42" s="18"/>
      <c r="H42" s="127"/>
      <c r="I42" s="127"/>
      <c r="J42" s="127"/>
      <c r="K42" s="127"/>
      <c r="L42" s="127"/>
      <c r="M42" s="127"/>
      <c r="N42" s="127"/>
      <c r="O42" s="127"/>
      <c r="P42" s="127"/>
      <c r="Q42" s="127"/>
      <c r="R42" s="127"/>
      <c r="S42" s="127"/>
      <c r="T42" s="127"/>
      <c r="U42" s="127"/>
      <c r="V42" s="127"/>
      <c r="W42" s="127"/>
      <c r="X42" s="115"/>
      <c r="Y42" s="115"/>
    </row>
    <row r="43" ht="35.25" customHeight="1">
      <c r="A43" s="127"/>
      <c r="B43" s="148" t="s">
        <v>336</v>
      </c>
      <c r="C43" s="148" t="s">
        <v>311</v>
      </c>
      <c r="D43" s="150" t="s">
        <v>337</v>
      </c>
      <c r="E43" s="147"/>
      <c r="F43" s="147"/>
      <c r="G43" s="18"/>
      <c r="H43" s="127"/>
      <c r="I43" s="127"/>
      <c r="J43" s="127"/>
      <c r="K43" s="127"/>
      <c r="L43" s="127"/>
      <c r="M43" s="127"/>
      <c r="N43" s="127"/>
      <c r="O43" s="127"/>
      <c r="P43" s="127"/>
      <c r="Q43" s="127"/>
      <c r="R43" s="127"/>
      <c r="S43" s="127"/>
      <c r="T43" s="127"/>
      <c r="U43" s="127"/>
      <c r="V43" s="127"/>
      <c r="W43" s="127"/>
      <c r="X43" s="115"/>
      <c r="Y43" s="115"/>
    </row>
    <row r="44" ht="33.0" customHeight="1">
      <c r="A44" s="127"/>
      <c r="B44" s="148" t="s">
        <v>338</v>
      </c>
      <c r="C44" s="148" t="s">
        <v>314</v>
      </c>
      <c r="D44" s="150" t="s">
        <v>339</v>
      </c>
      <c r="E44" s="147"/>
      <c r="F44" s="147"/>
      <c r="G44" s="18"/>
      <c r="H44" s="127"/>
      <c r="I44" s="127"/>
      <c r="J44" s="127"/>
      <c r="K44" s="127"/>
      <c r="L44" s="127"/>
      <c r="M44" s="127"/>
      <c r="N44" s="127"/>
      <c r="O44" s="127"/>
      <c r="P44" s="127"/>
      <c r="Q44" s="127"/>
      <c r="R44" s="127"/>
      <c r="S44" s="127"/>
      <c r="T44" s="127"/>
      <c r="U44" s="127"/>
      <c r="V44" s="127"/>
      <c r="W44" s="127"/>
      <c r="X44" s="115"/>
      <c r="Y44" s="115"/>
    </row>
    <row r="45" ht="15.75" customHeight="1">
      <c r="A45" s="127"/>
      <c r="B45" s="127"/>
      <c r="C45" s="127"/>
      <c r="D45" s="127"/>
      <c r="E45" s="127"/>
      <c r="F45" s="127"/>
      <c r="G45" s="127"/>
      <c r="H45" s="127"/>
      <c r="I45" s="127"/>
      <c r="J45" s="127"/>
      <c r="K45" s="127"/>
      <c r="L45" s="127"/>
      <c r="M45" s="127"/>
      <c r="N45" s="127"/>
      <c r="O45" s="127"/>
      <c r="P45" s="127"/>
      <c r="Q45" s="127"/>
      <c r="R45" s="127"/>
      <c r="S45" s="127"/>
      <c r="T45" s="127"/>
      <c r="U45" s="127"/>
      <c r="V45" s="127"/>
      <c r="W45" s="127"/>
      <c r="X45" s="127"/>
      <c r="Y45" s="127"/>
    </row>
    <row r="46" ht="15.75" customHeight="1">
      <c r="A46" s="128" t="s">
        <v>340</v>
      </c>
      <c r="B46" s="128" t="s">
        <v>341</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row>
    <row r="47" ht="31.5" customHeight="1">
      <c r="A47" s="151">
        <v>1.0</v>
      </c>
      <c r="B47" s="129" t="s">
        <v>342</v>
      </c>
      <c r="H47" s="127"/>
      <c r="I47" s="127"/>
      <c r="J47" s="127"/>
      <c r="K47" s="127"/>
      <c r="L47" s="127"/>
      <c r="M47" s="127"/>
      <c r="N47" s="127"/>
      <c r="O47" s="127"/>
      <c r="P47" s="127"/>
      <c r="Q47" s="127"/>
      <c r="R47" s="127"/>
      <c r="S47" s="127"/>
      <c r="T47" s="127"/>
      <c r="U47" s="127"/>
      <c r="V47" s="115"/>
      <c r="W47" s="115"/>
      <c r="X47" s="115"/>
      <c r="Y47" s="115"/>
    </row>
    <row r="48" ht="33.0" customHeight="1">
      <c r="A48" s="151">
        <v>2.0</v>
      </c>
      <c r="B48" s="129" t="s">
        <v>343</v>
      </c>
      <c r="H48" s="127"/>
      <c r="I48" s="127"/>
      <c r="J48" s="127"/>
      <c r="K48" s="127"/>
      <c r="L48" s="127"/>
      <c r="M48" s="127"/>
      <c r="N48" s="127"/>
      <c r="O48" s="127"/>
      <c r="P48" s="127"/>
      <c r="Q48" s="127"/>
      <c r="R48" s="127"/>
      <c r="S48" s="127"/>
      <c r="T48" s="127"/>
      <c r="U48" s="127"/>
      <c r="V48" s="115"/>
      <c r="W48" s="115"/>
      <c r="X48" s="115"/>
      <c r="Y48" s="115"/>
    </row>
    <row r="49" ht="31.5" customHeight="1">
      <c r="A49" s="151">
        <v>3.0</v>
      </c>
      <c r="B49" s="129" t="s">
        <v>344</v>
      </c>
      <c r="H49" s="127"/>
      <c r="I49" s="127"/>
      <c r="J49" s="127"/>
      <c r="K49" s="127"/>
      <c r="L49" s="127"/>
      <c r="M49" s="127"/>
      <c r="N49" s="127"/>
      <c r="O49" s="127"/>
      <c r="P49" s="127"/>
      <c r="Q49" s="127"/>
      <c r="R49" s="127"/>
      <c r="S49" s="127"/>
      <c r="T49" s="127"/>
      <c r="U49" s="127"/>
      <c r="V49" s="115"/>
      <c r="W49" s="115"/>
      <c r="X49" s="115"/>
      <c r="Y49" s="115"/>
    </row>
    <row r="50" ht="15.75" customHeight="1">
      <c r="A50" s="127"/>
      <c r="B50" s="152" t="s">
        <v>345</v>
      </c>
      <c r="C50" s="127"/>
      <c r="D50" s="127"/>
      <c r="E50" s="127"/>
      <c r="F50" s="127"/>
      <c r="G50" s="127"/>
      <c r="H50" s="127"/>
      <c r="I50" s="127"/>
      <c r="J50" s="127"/>
      <c r="K50" s="127"/>
      <c r="L50" s="127"/>
      <c r="M50" s="127"/>
      <c r="N50" s="127"/>
      <c r="O50" s="127"/>
      <c r="P50" s="127"/>
      <c r="Q50" s="127"/>
      <c r="R50" s="127"/>
      <c r="S50" s="127"/>
      <c r="T50" s="127"/>
      <c r="U50" s="127"/>
      <c r="V50" s="127"/>
      <c r="W50" s="127"/>
      <c r="X50" s="127"/>
      <c r="Y50" s="127"/>
    </row>
    <row r="51" ht="15.75" customHeight="1">
      <c r="A51" s="127"/>
      <c r="B51" s="152" t="s">
        <v>346</v>
      </c>
      <c r="C51" s="127"/>
      <c r="D51" s="127"/>
      <c r="E51" s="127"/>
      <c r="F51" s="127"/>
      <c r="G51" s="127"/>
      <c r="H51" s="127"/>
      <c r="I51" s="127"/>
      <c r="J51" s="127"/>
      <c r="K51" s="127"/>
      <c r="L51" s="127"/>
      <c r="M51" s="127"/>
      <c r="N51" s="127"/>
      <c r="O51" s="127"/>
      <c r="P51" s="127"/>
      <c r="Q51" s="127"/>
      <c r="R51" s="127"/>
      <c r="S51" s="127"/>
      <c r="T51" s="127"/>
      <c r="U51" s="127"/>
      <c r="V51" s="127"/>
      <c r="W51" s="127"/>
      <c r="X51" s="127"/>
      <c r="Y51" s="127"/>
    </row>
    <row r="52" ht="15.75" customHeight="1">
      <c r="A52" s="127"/>
      <c r="B52" s="152" t="s">
        <v>347</v>
      </c>
      <c r="C52" s="127"/>
      <c r="D52" s="127"/>
      <c r="E52" s="127"/>
      <c r="F52" s="127"/>
      <c r="G52" s="127"/>
      <c r="H52" s="127"/>
      <c r="I52" s="127"/>
      <c r="J52" s="127"/>
      <c r="K52" s="127"/>
      <c r="L52" s="127"/>
      <c r="M52" s="127"/>
      <c r="N52" s="127"/>
      <c r="O52" s="127"/>
      <c r="P52" s="127"/>
      <c r="Q52" s="127"/>
      <c r="R52" s="127"/>
      <c r="S52" s="127"/>
      <c r="T52" s="127"/>
      <c r="U52" s="127"/>
      <c r="V52" s="127"/>
      <c r="W52" s="127"/>
      <c r="X52" s="127"/>
      <c r="Y52" s="127"/>
    </row>
    <row r="53" ht="15.75" customHeight="1">
      <c r="A53" s="127"/>
      <c r="B53" s="127"/>
      <c r="C53" s="127"/>
      <c r="D53" s="127"/>
      <c r="E53" s="127"/>
      <c r="F53" s="127"/>
      <c r="G53" s="127"/>
      <c r="H53" s="127"/>
      <c r="I53" s="127"/>
      <c r="J53" s="127"/>
      <c r="K53" s="127"/>
      <c r="L53" s="127"/>
      <c r="M53" s="127"/>
      <c r="N53" s="127"/>
      <c r="O53" s="127"/>
      <c r="P53" s="127"/>
      <c r="Q53" s="127"/>
      <c r="R53" s="127"/>
      <c r="S53" s="127"/>
      <c r="T53" s="127"/>
      <c r="U53" s="127"/>
      <c r="V53" s="127"/>
      <c r="W53" s="127"/>
      <c r="X53" s="127"/>
      <c r="Y53" s="127"/>
    </row>
    <row r="54" ht="15.75" customHeight="1">
      <c r="A54" s="127"/>
      <c r="B54" s="127"/>
      <c r="C54" s="127"/>
      <c r="D54" s="127"/>
      <c r="E54" s="127"/>
      <c r="F54" s="127"/>
      <c r="G54" s="127"/>
      <c r="H54" s="127"/>
      <c r="I54" s="127"/>
      <c r="J54" s="127"/>
      <c r="K54" s="127"/>
      <c r="L54" s="127"/>
      <c r="M54" s="127"/>
      <c r="N54" s="127"/>
      <c r="O54" s="127"/>
      <c r="P54" s="127"/>
      <c r="Q54" s="127"/>
      <c r="R54" s="127"/>
      <c r="S54" s="127"/>
      <c r="T54" s="127"/>
      <c r="U54" s="127"/>
      <c r="V54" s="127"/>
      <c r="W54" s="127"/>
      <c r="X54" s="127"/>
      <c r="Y54" s="127"/>
    </row>
    <row r="55" ht="15.75" customHeight="1">
      <c r="A55" s="127"/>
      <c r="B55" s="127"/>
      <c r="C55" s="127"/>
      <c r="D55" s="127"/>
      <c r="E55" s="127"/>
      <c r="F55" s="127"/>
      <c r="G55" s="127"/>
      <c r="H55" s="127"/>
      <c r="I55" s="127"/>
      <c r="J55" s="127"/>
      <c r="K55" s="127"/>
      <c r="L55" s="127"/>
      <c r="M55" s="127"/>
      <c r="N55" s="127"/>
      <c r="O55" s="127"/>
      <c r="P55" s="127"/>
      <c r="Q55" s="127"/>
      <c r="R55" s="127"/>
      <c r="S55" s="127"/>
      <c r="T55" s="127"/>
      <c r="U55" s="127"/>
      <c r="V55" s="127"/>
      <c r="W55" s="127"/>
      <c r="X55" s="127"/>
      <c r="Y55" s="127"/>
    </row>
    <row r="56" ht="15.75" customHeight="1">
      <c r="A56" s="127"/>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row>
    <row r="57" ht="15.75" customHeight="1">
      <c r="A57" s="127"/>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row>
    <row r="58" ht="15.75" customHeight="1">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row>
    <row r="59" ht="15.75" customHeight="1">
      <c r="A59" s="127"/>
      <c r="B59" s="127"/>
      <c r="C59" s="127"/>
      <c r="D59" s="127"/>
      <c r="E59" s="127"/>
      <c r="F59" s="127"/>
      <c r="G59" s="127"/>
      <c r="H59" s="127"/>
      <c r="I59" s="127"/>
      <c r="J59" s="127"/>
      <c r="K59" s="127"/>
      <c r="L59" s="127"/>
      <c r="M59" s="127"/>
      <c r="N59" s="127"/>
      <c r="O59" s="127"/>
      <c r="P59" s="127"/>
      <c r="Q59" s="127"/>
      <c r="R59" s="127"/>
      <c r="S59" s="127"/>
      <c r="T59" s="127"/>
      <c r="U59" s="127"/>
      <c r="V59" s="127"/>
      <c r="W59" s="127"/>
      <c r="X59" s="127"/>
      <c r="Y59" s="127"/>
    </row>
    <row r="60" ht="15.75" customHeight="1">
      <c r="A60" s="127"/>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row>
    <row r="61" ht="15.75" customHeight="1">
      <c r="A61" s="127"/>
      <c r="B61" s="127"/>
      <c r="C61" s="127"/>
      <c r="D61" s="127"/>
      <c r="E61" s="127"/>
      <c r="F61" s="127"/>
      <c r="G61" s="127"/>
      <c r="H61" s="127"/>
      <c r="I61" s="127"/>
      <c r="J61" s="127"/>
      <c r="K61" s="127"/>
      <c r="L61" s="127"/>
      <c r="M61" s="127"/>
      <c r="N61" s="127"/>
      <c r="O61" s="127"/>
      <c r="P61" s="127"/>
      <c r="Q61" s="127"/>
      <c r="R61" s="127"/>
      <c r="S61" s="127"/>
      <c r="T61" s="127"/>
      <c r="U61" s="127"/>
      <c r="V61" s="127"/>
      <c r="W61" s="127"/>
      <c r="X61" s="127"/>
      <c r="Y61" s="127"/>
    </row>
    <row r="62" ht="15.75" customHeight="1">
      <c r="A62" s="127"/>
      <c r="B62" s="127"/>
      <c r="C62" s="127"/>
      <c r="D62" s="127"/>
      <c r="E62" s="127"/>
      <c r="F62" s="127"/>
      <c r="G62" s="127"/>
      <c r="H62" s="127"/>
      <c r="I62" s="127"/>
      <c r="J62" s="127"/>
      <c r="K62" s="127"/>
      <c r="L62" s="127"/>
      <c r="M62" s="127"/>
      <c r="N62" s="127"/>
      <c r="O62" s="127"/>
      <c r="P62" s="127"/>
      <c r="Q62" s="127"/>
      <c r="R62" s="127"/>
      <c r="S62" s="127"/>
      <c r="T62" s="127"/>
      <c r="U62" s="127"/>
      <c r="V62" s="127"/>
      <c r="W62" s="127"/>
      <c r="X62" s="127"/>
      <c r="Y62" s="127"/>
    </row>
    <row r="63" ht="15.75" customHeight="1">
      <c r="A63" s="127"/>
      <c r="B63" s="127"/>
      <c r="C63" s="127"/>
      <c r="D63" s="127"/>
      <c r="E63" s="127"/>
      <c r="F63" s="127"/>
      <c r="G63" s="127"/>
      <c r="H63" s="127"/>
      <c r="I63" s="127"/>
      <c r="J63" s="127"/>
      <c r="K63" s="127"/>
      <c r="L63" s="127"/>
      <c r="M63" s="127"/>
      <c r="N63" s="127"/>
      <c r="O63" s="127"/>
      <c r="P63" s="127"/>
      <c r="Q63" s="127"/>
      <c r="R63" s="127"/>
      <c r="S63" s="127"/>
      <c r="T63" s="127"/>
      <c r="U63" s="127"/>
      <c r="V63" s="127"/>
      <c r="W63" s="127"/>
      <c r="X63" s="127"/>
      <c r="Y63" s="127"/>
    </row>
    <row r="64" ht="15.75" customHeight="1">
      <c r="A64" s="127"/>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row>
    <row r="65" ht="15.75" customHeight="1">
      <c r="A65" s="127"/>
      <c r="B65" s="127"/>
      <c r="C65" s="127"/>
      <c r="D65" s="127"/>
      <c r="E65" s="127"/>
      <c r="F65" s="127"/>
      <c r="G65" s="127"/>
      <c r="H65" s="127"/>
      <c r="I65" s="127"/>
      <c r="J65" s="127"/>
      <c r="K65" s="127"/>
      <c r="L65" s="127"/>
      <c r="M65" s="127"/>
      <c r="N65" s="127"/>
      <c r="O65" s="127"/>
      <c r="P65" s="127"/>
      <c r="Q65" s="127"/>
      <c r="R65" s="127"/>
      <c r="S65" s="127"/>
      <c r="T65" s="127"/>
      <c r="U65" s="127"/>
      <c r="V65" s="127"/>
      <c r="W65" s="127"/>
      <c r="X65" s="127"/>
      <c r="Y65" s="127"/>
    </row>
    <row r="66" ht="15.75" customHeight="1">
      <c r="A66" s="127"/>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row>
    <row r="67" ht="15.75" customHeight="1">
      <c r="A67" s="127"/>
      <c r="B67" s="127"/>
      <c r="C67" s="127"/>
      <c r="D67" s="127"/>
      <c r="E67" s="127"/>
      <c r="F67" s="127"/>
      <c r="G67" s="127"/>
      <c r="H67" s="127"/>
      <c r="I67" s="127"/>
      <c r="J67" s="127"/>
      <c r="K67" s="127"/>
      <c r="L67" s="127"/>
      <c r="M67" s="127"/>
      <c r="N67" s="127"/>
      <c r="O67" s="127"/>
      <c r="P67" s="127"/>
      <c r="Q67" s="127"/>
      <c r="R67" s="127"/>
      <c r="S67" s="127"/>
      <c r="T67" s="127"/>
      <c r="U67" s="127"/>
      <c r="V67" s="127"/>
      <c r="W67" s="127"/>
      <c r="X67" s="127"/>
      <c r="Y67" s="127"/>
    </row>
    <row r="68" ht="15.75" customHeight="1">
      <c r="A68" s="127"/>
      <c r="B68" s="127"/>
      <c r="C68" s="127"/>
      <c r="D68" s="127"/>
      <c r="E68" s="127"/>
      <c r="F68" s="127"/>
      <c r="G68" s="127"/>
      <c r="H68" s="127"/>
      <c r="I68" s="127"/>
      <c r="J68" s="127"/>
      <c r="K68" s="127"/>
      <c r="L68" s="127"/>
      <c r="M68" s="127"/>
      <c r="N68" s="127"/>
      <c r="O68" s="127"/>
      <c r="P68" s="127"/>
      <c r="Q68" s="127"/>
      <c r="R68" s="127"/>
      <c r="S68" s="127"/>
      <c r="T68" s="127"/>
      <c r="U68" s="127"/>
      <c r="V68" s="127"/>
      <c r="W68" s="127"/>
      <c r="X68" s="127"/>
      <c r="Y68" s="127"/>
    </row>
    <row r="69" ht="15.75" customHeight="1">
      <c r="A69" s="127"/>
      <c r="B69" s="127"/>
      <c r="C69" s="127"/>
      <c r="D69" s="127"/>
      <c r="E69" s="127"/>
      <c r="F69" s="127"/>
      <c r="G69" s="127"/>
      <c r="H69" s="127"/>
      <c r="I69" s="127"/>
      <c r="J69" s="127"/>
      <c r="K69" s="127"/>
      <c r="L69" s="127"/>
      <c r="M69" s="127"/>
      <c r="N69" s="127"/>
      <c r="O69" s="127"/>
      <c r="P69" s="127"/>
      <c r="Q69" s="127"/>
      <c r="R69" s="127"/>
      <c r="S69" s="127"/>
      <c r="T69" s="127"/>
      <c r="U69" s="127"/>
      <c r="V69" s="127"/>
      <c r="W69" s="127"/>
      <c r="X69" s="127"/>
      <c r="Y69" s="127"/>
    </row>
    <row r="70" ht="15.75" customHeight="1">
      <c r="A70" s="127"/>
      <c r="B70" s="127"/>
      <c r="C70" s="127"/>
      <c r="D70" s="127"/>
      <c r="E70" s="127"/>
      <c r="F70" s="127"/>
      <c r="G70" s="127"/>
      <c r="H70" s="127"/>
      <c r="I70" s="127"/>
      <c r="J70" s="127"/>
      <c r="K70" s="127"/>
      <c r="L70" s="127"/>
      <c r="M70" s="127"/>
      <c r="N70" s="127"/>
      <c r="O70" s="127"/>
      <c r="P70" s="127"/>
      <c r="Q70" s="127"/>
      <c r="R70" s="127"/>
      <c r="S70" s="127"/>
      <c r="T70" s="127"/>
      <c r="U70" s="127"/>
      <c r="V70" s="127"/>
      <c r="W70" s="127"/>
      <c r="X70" s="127"/>
      <c r="Y70" s="127"/>
    </row>
    <row r="71" ht="15.75" customHeight="1">
      <c r="A71" s="127"/>
      <c r="B71" s="127"/>
      <c r="C71" s="127"/>
      <c r="D71" s="127"/>
      <c r="E71" s="127"/>
      <c r="F71" s="127"/>
      <c r="G71" s="127"/>
      <c r="H71" s="127"/>
      <c r="I71" s="127"/>
      <c r="J71" s="127"/>
      <c r="K71" s="127"/>
      <c r="L71" s="127"/>
      <c r="M71" s="127"/>
      <c r="N71" s="127"/>
      <c r="O71" s="127"/>
      <c r="P71" s="127"/>
      <c r="Q71" s="127"/>
      <c r="R71" s="127"/>
      <c r="S71" s="127"/>
      <c r="T71" s="127"/>
      <c r="U71" s="127"/>
      <c r="V71" s="127"/>
      <c r="W71" s="127"/>
      <c r="X71" s="127"/>
      <c r="Y71" s="127"/>
    </row>
    <row r="72" ht="15.75" customHeight="1">
      <c r="A72" s="127"/>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row>
    <row r="73" ht="15.75" customHeight="1">
      <c r="A73" s="127"/>
      <c r="B73" s="127"/>
      <c r="C73" s="127"/>
      <c r="D73" s="127"/>
      <c r="E73" s="127"/>
      <c r="F73" s="127"/>
      <c r="G73" s="127"/>
      <c r="H73" s="127"/>
      <c r="I73" s="127"/>
      <c r="J73" s="127"/>
      <c r="K73" s="127"/>
      <c r="L73" s="127"/>
      <c r="M73" s="127"/>
      <c r="N73" s="127"/>
      <c r="O73" s="127"/>
      <c r="P73" s="127"/>
      <c r="Q73" s="127"/>
      <c r="R73" s="127"/>
      <c r="S73" s="127"/>
      <c r="T73" s="127"/>
      <c r="U73" s="127"/>
      <c r="V73" s="127"/>
      <c r="W73" s="127"/>
      <c r="X73" s="127"/>
      <c r="Y73" s="127"/>
    </row>
    <row r="74" ht="15.75" customHeight="1">
      <c r="A74" s="127"/>
      <c r="B74" s="127"/>
      <c r="C74" s="127"/>
      <c r="D74" s="127"/>
      <c r="E74" s="127"/>
      <c r="F74" s="127"/>
      <c r="G74" s="127"/>
      <c r="H74" s="127"/>
      <c r="I74" s="127"/>
      <c r="J74" s="127"/>
      <c r="K74" s="127"/>
      <c r="L74" s="127"/>
      <c r="M74" s="127"/>
      <c r="N74" s="127"/>
      <c r="O74" s="127"/>
      <c r="P74" s="127"/>
      <c r="Q74" s="127"/>
      <c r="R74" s="127"/>
      <c r="S74" s="127"/>
      <c r="T74" s="127"/>
      <c r="U74" s="127"/>
      <c r="V74" s="127"/>
      <c r="W74" s="127"/>
      <c r="X74" s="127"/>
      <c r="Y74" s="127"/>
    </row>
    <row r="75" ht="15.75" customHeight="1">
      <c r="A75" s="127"/>
      <c r="B75" s="127"/>
      <c r="C75" s="127"/>
      <c r="D75" s="127"/>
      <c r="E75" s="127"/>
      <c r="F75" s="127"/>
      <c r="G75" s="127"/>
      <c r="H75" s="127"/>
      <c r="I75" s="127"/>
      <c r="J75" s="127"/>
      <c r="K75" s="127"/>
      <c r="L75" s="127"/>
      <c r="M75" s="127"/>
      <c r="N75" s="127"/>
      <c r="O75" s="127"/>
      <c r="P75" s="127"/>
      <c r="Q75" s="127"/>
      <c r="R75" s="127"/>
      <c r="S75" s="127"/>
      <c r="T75" s="127"/>
      <c r="U75" s="127"/>
      <c r="V75" s="127"/>
      <c r="W75" s="127"/>
      <c r="X75" s="127"/>
      <c r="Y75" s="127"/>
    </row>
    <row r="76" ht="15.7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row>
    <row r="77" ht="15.75" customHeight="1">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row>
    <row r="78" ht="15.75" customHeight="1">
      <c r="A78" s="127"/>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row>
    <row r="79" ht="15.75" customHeight="1">
      <c r="A79" s="127"/>
      <c r="B79" s="127"/>
      <c r="C79" s="127"/>
      <c r="D79" s="127"/>
      <c r="E79" s="127"/>
      <c r="F79" s="127"/>
      <c r="G79" s="127"/>
      <c r="H79" s="127"/>
      <c r="I79" s="127"/>
      <c r="J79" s="127"/>
      <c r="K79" s="127"/>
      <c r="L79" s="127"/>
      <c r="M79" s="127"/>
      <c r="N79" s="127"/>
      <c r="O79" s="127"/>
      <c r="P79" s="127"/>
      <c r="Q79" s="127"/>
      <c r="R79" s="127"/>
      <c r="S79" s="127"/>
      <c r="T79" s="127"/>
      <c r="U79" s="127"/>
      <c r="V79" s="127"/>
      <c r="W79" s="127"/>
      <c r="X79" s="127"/>
      <c r="Y79" s="127"/>
    </row>
    <row r="80" ht="15.75" customHeight="1">
      <c r="A80" s="127"/>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row>
    <row r="81" ht="15.75" customHeight="1">
      <c r="A81" s="127"/>
      <c r="B81" s="127"/>
      <c r="C81" s="127"/>
      <c r="D81" s="127"/>
      <c r="E81" s="127"/>
      <c r="F81" s="127"/>
      <c r="G81" s="127"/>
      <c r="H81" s="127"/>
      <c r="I81" s="127"/>
      <c r="J81" s="127"/>
      <c r="K81" s="127"/>
      <c r="L81" s="127"/>
      <c r="M81" s="127"/>
      <c r="N81" s="127"/>
      <c r="O81" s="127"/>
      <c r="P81" s="127"/>
      <c r="Q81" s="127"/>
      <c r="R81" s="127"/>
      <c r="S81" s="127"/>
      <c r="T81" s="127"/>
      <c r="U81" s="127"/>
      <c r="V81" s="127"/>
      <c r="W81" s="127"/>
      <c r="X81" s="127"/>
      <c r="Y81" s="127"/>
    </row>
    <row r="82" ht="15.75" customHeight="1">
      <c r="A82" s="127"/>
      <c r="B82" s="127"/>
      <c r="C82" s="127"/>
      <c r="D82" s="127"/>
      <c r="E82" s="127"/>
      <c r="F82" s="127"/>
      <c r="G82" s="127"/>
      <c r="H82" s="127"/>
      <c r="I82" s="127"/>
      <c r="J82" s="127"/>
      <c r="K82" s="127"/>
      <c r="L82" s="127"/>
      <c r="M82" s="127"/>
      <c r="N82" s="127"/>
      <c r="O82" s="127"/>
      <c r="P82" s="127"/>
      <c r="Q82" s="127"/>
      <c r="R82" s="127"/>
      <c r="S82" s="127"/>
      <c r="T82" s="127"/>
      <c r="U82" s="127"/>
      <c r="V82" s="127"/>
      <c r="W82" s="127"/>
      <c r="X82" s="127"/>
      <c r="Y82" s="127"/>
    </row>
    <row r="83" ht="15.75" customHeight="1">
      <c r="A83" s="127"/>
      <c r="B83" s="127"/>
      <c r="C83" s="127"/>
      <c r="D83" s="127"/>
      <c r="E83" s="127"/>
      <c r="F83" s="127"/>
      <c r="G83" s="127"/>
      <c r="H83" s="127"/>
      <c r="I83" s="127"/>
      <c r="J83" s="127"/>
      <c r="K83" s="127"/>
      <c r="L83" s="127"/>
      <c r="M83" s="127"/>
      <c r="N83" s="127"/>
      <c r="O83" s="127"/>
      <c r="P83" s="127"/>
      <c r="Q83" s="127"/>
      <c r="R83" s="127"/>
      <c r="S83" s="127"/>
      <c r="T83" s="127"/>
      <c r="U83" s="127"/>
      <c r="V83" s="127"/>
      <c r="W83" s="127"/>
      <c r="X83" s="127"/>
      <c r="Y83" s="127"/>
    </row>
    <row r="84" ht="15.75" customHeight="1">
      <c r="A84" s="127"/>
      <c r="B84" s="127"/>
      <c r="C84" s="127"/>
      <c r="D84" s="127"/>
      <c r="E84" s="127"/>
      <c r="F84" s="127"/>
      <c r="G84" s="127"/>
      <c r="H84" s="127"/>
      <c r="I84" s="127"/>
      <c r="J84" s="127"/>
      <c r="K84" s="127"/>
      <c r="L84" s="127"/>
      <c r="M84" s="127"/>
      <c r="N84" s="127"/>
      <c r="O84" s="127"/>
      <c r="P84" s="127"/>
      <c r="Q84" s="127"/>
      <c r="R84" s="127"/>
      <c r="S84" s="127"/>
      <c r="T84" s="127"/>
      <c r="U84" s="127"/>
      <c r="V84" s="127"/>
      <c r="W84" s="127"/>
      <c r="X84" s="127"/>
      <c r="Y84" s="127"/>
    </row>
    <row r="85" ht="15.75" customHeight="1">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row>
    <row r="86" ht="15.75" customHeight="1">
      <c r="A86" s="127"/>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row>
    <row r="87" ht="15.75" customHeight="1">
      <c r="A87" s="127"/>
      <c r="B87" s="127"/>
      <c r="C87" s="127"/>
      <c r="D87" s="127"/>
      <c r="E87" s="127"/>
      <c r="F87" s="127"/>
      <c r="G87" s="127"/>
      <c r="H87" s="127"/>
      <c r="I87" s="127"/>
      <c r="J87" s="127"/>
      <c r="K87" s="127"/>
      <c r="L87" s="127"/>
      <c r="M87" s="127"/>
      <c r="N87" s="127"/>
      <c r="O87" s="127"/>
      <c r="P87" s="127"/>
      <c r="Q87" s="127"/>
      <c r="R87" s="127"/>
      <c r="S87" s="127"/>
      <c r="T87" s="127"/>
      <c r="U87" s="127"/>
      <c r="V87" s="127"/>
      <c r="W87" s="127"/>
      <c r="X87" s="127"/>
      <c r="Y87" s="127"/>
    </row>
    <row r="88" ht="15.75" customHeight="1">
      <c r="A88" s="127"/>
      <c r="B88" s="127"/>
      <c r="C88" s="127"/>
      <c r="D88" s="127"/>
      <c r="E88" s="127"/>
      <c r="F88" s="127"/>
      <c r="G88" s="127"/>
      <c r="H88" s="127"/>
      <c r="I88" s="127"/>
      <c r="J88" s="127"/>
      <c r="K88" s="127"/>
      <c r="L88" s="127"/>
      <c r="M88" s="127"/>
      <c r="N88" s="127"/>
      <c r="O88" s="127"/>
      <c r="P88" s="127"/>
      <c r="Q88" s="127"/>
      <c r="R88" s="127"/>
      <c r="S88" s="127"/>
      <c r="T88" s="127"/>
      <c r="U88" s="127"/>
      <c r="V88" s="127"/>
      <c r="W88" s="127"/>
      <c r="X88" s="127"/>
      <c r="Y88" s="127"/>
    </row>
    <row r="89" ht="15.75" customHeight="1">
      <c r="A89" s="127"/>
      <c r="B89" s="127"/>
      <c r="C89" s="127"/>
      <c r="D89" s="127"/>
      <c r="E89" s="127"/>
      <c r="F89" s="127"/>
      <c r="G89" s="127"/>
      <c r="H89" s="127"/>
      <c r="I89" s="127"/>
      <c r="J89" s="127"/>
      <c r="K89" s="127"/>
      <c r="L89" s="127"/>
      <c r="M89" s="127"/>
      <c r="N89" s="127"/>
      <c r="O89" s="127"/>
      <c r="P89" s="127"/>
      <c r="Q89" s="127"/>
      <c r="R89" s="127"/>
      <c r="S89" s="127"/>
      <c r="T89" s="127"/>
      <c r="U89" s="127"/>
      <c r="V89" s="127"/>
      <c r="W89" s="127"/>
      <c r="X89" s="127"/>
      <c r="Y89" s="127"/>
    </row>
    <row r="90" ht="15.75" customHeight="1">
      <c r="A90" s="127"/>
      <c r="B90" s="127"/>
      <c r="C90" s="127"/>
      <c r="D90" s="127"/>
      <c r="E90" s="127"/>
      <c r="F90" s="127"/>
      <c r="G90" s="127"/>
      <c r="H90" s="127"/>
      <c r="I90" s="127"/>
      <c r="J90" s="127"/>
      <c r="K90" s="127"/>
      <c r="L90" s="127"/>
      <c r="M90" s="127"/>
      <c r="N90" s="127"/>
      <c r="O90" s="127"/>
      <c r="P90" s="127"/>
      <c r="Q90" s="127"/>
      <c r="R90" s="127"/>
      <c r="S90" s="127"/>
      <c r="T90" s="127"/>
      <c r="U90" s="127"/>
      <c r="V90" s="127"/>
      <c r="W90" s="127"/>
      <c r="X90" s="127"/>
      <c r="Y90" s="127"/>
    </row>
    <row r="91" ht="15.75" customHeight="1">
      <c r="A91" s="127"/>
      <c r="B91" s="127"/>
      <c r="C91" s="127"/>
      <c r="D91" s="127"/>
      <c r="E91" s="127"/>
      <c r="F91" s="127"/>
      <c r="G91" s="127"/>
      <c r="H91" s="127"/>
      <c r="I91" s="127"/>
      <c r="J91" s="127"/>
      <c r="K91" s="127"/>
      <c r="L91" s="127"/>
      <c r="M91" s="127"/>
      <c r="N91" s="127"/>
      <c r="O91" s="127"/>
      <c r="P91" s="127"/>
      <c r="Q91" s="127"/>
      <c r="R91" s="127"/>
      <c r="S91" s="127"/>
      <c r="T91" s="127"/>
      <c r="U91" s="127"/>
      <c r="V91" s="127"/>
      <c r="W91" s="127"/>
      <c r="X91" s="127"/>
      <c r="Y91" s="127"/>
    </row>
    <row r="92" ht="15.75" customHeight="1">
      <c r="A92" s="127"/>
      <c r="B92" s="127"/>
      <c r="C92" s="127"/>
      <c r="D92" s="127"/>
      <c r="E92" s="127"/>
      <c r="F92" s="127"/>
      <c r="G92" s="127"/>
      <c r="H92" s="127"/>
      <c r="I92" s="127"/>
      <c r="J92" s="127"/>
      <c r="K92" s="127"/>
      <c r="L92" s="127"/>
      <c r="M92" s="127"/>
      <c r="N92" s="127"/>
      <c r="O92" s="127"/>
      <c r="P92" s="127"/>
      <c r="Q92" s="127"/>
      <c r="R92" s="127"/>
      <c r="S92" s="127"/>
      <c r="T92" s="127"/>
      <c r="U92" s="127"/>
      <c r="V92" s="127"/>
      <c r="W92" s="127"/>
      <c r="X92" s="127"/>
      <c r="Y92" s="127"/>
    </row>
    <row r="93" ht="15.75" customHeight="1">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row>
    <row r="94" ht="15.75" customHeight="1">
      <c r="A94" s="127"/>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row>
    <row r="95" ht="15.75" customHeight="1">
      <c r="A95" s="127"/>
      <c r="B95" s="127"/>
      <c r="C95" s="127"/>
      <c r="D95" s="127"/>
      <c r="E95" s="127"/>
      <c r="F95" s="127"/>
      <c r="G95" s="127"/>
      <c r="H95" s="127"/>
      <c r="I95" s="127"/>
      <c r="J95" s="127"/>
      <c r="K95" s="127"/>
      <c r="L95" s="127"/>
      <c r="M95" s="127"/>
      <c r="N95" s="127"/>
      <c r="O95" s="127"/>
      <c r="P95" s="127"/>
      <c r="Q95" s="127"/>
      <c r="R95" s="127"/>
      <c r="S95" s="127"/>
      <c r="T95" s="127"/>
      <c r="U95" s="127"/>
      <c r="V95" s="127"/>
      <c r="W95" s="127"/>
      <c r="X95" s="127"/>
      <c r="Y95" s="127"/>
    </row>
    <row r="96" ht="15.75" customHeight="1">
      <c r="A96" s="127"/>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row>
    <row r="97" ht="15.75" customHeight="1">
      <c r="A97" s="127"/>
      <c r="B97" s="127"/>
      <c r="C97" s="127"/>
      <c r="D97" s="127"/>
      <c r="E97" s="127"/>
      <c r="F97" s="127"/>
      <c r="G97" s="127"/>
      <c r="H97" s="127"/>
      <c r="I97" s="127"/>
      <c r="J97" s="127"/>
      <c r="K97" s="127"/>
      <c r="L97" s="127"/>
      <c r="M97" s="127"/>
      <c r="N97" s="127"/>
      <c r="O97" s="127"/>
      <c r="P97" s="127"/>
      <c r="Q97" s="127"/>
      <c r="R97" s="127"/>
      <c r="S97" s="127"/>
      <c r="T97" s="127"/>
      <c r="U97" s="127"/>
      <c r="V97" s="127"/>
      <c r="W97" s="127"/>
      <c r="X97" s="127"/>
      <c r="Y97" s="127"/>
    </row>
    <row r="98" ht="15.75" customHeight="1">
      <c r="A98" s="127"/>
      <c r="B98" s="127"/>
      <c r="C98" s="127"/>
      <c r="D98" s="127"/>
      <c r="E98" s="127"/>
      <c r="F98" s="127"/>
      <c r="G98" s="127"/>
      <c r="H98" s="127"/>
      <c r="I98" s="127"/>
      <c r="J98" s="127"/>
      <c r="K98" s="127"/>
      <c r="L98" s="127"/>
      <c r="M98" s="127"/>
      <c r="N98" s="127"/>
      <c r="O98" s="127"/>
      <c r="P98" s="127"/>
      <c r="Q98" s="127"/>
      <c r="R98" s="127"/>
      <c r="S98" s="127"/>
      <c r="T98" s="127"/>
      <c r="U98" s="127"/>
      <c r="V98" s="127"/>
      <c r="W98" s="127"/>
      <c r="X98" s="127"/>
      <c r="Y98" s="127"/>
    </row>
    <row r="99" ht="15.75" customHeight="1">
      <c r="A99" s="127"/>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row>
    <row r="100" ht="15.75" customHeight="1">
      <c r="A100" s="127"/>
      <c r="B100" s="127"/>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row>
    <row r="101" ht="15.75" customHeight="1">
      <c r="A101" s="127"/>
      <c r="B101" s="127"/>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row>
    <row r="102" ht="15.75" customHeight="1">
      <c r="A102" s="127"/>
      <c r="B102" s="127"/>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row>
    <row r="103" ht="15.75" customHeight="1">
      <c r="A103" s="127"/>
      <c r="B103" s="127"/>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row>
    <row r="104" ht="15.75" customHeight="1">
      <c r="A104" s="127"/>
      <c r="B104" s="127"/>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row>
    <row r="105" ht="15.75" customHeight="1">
      <c r="A105" s="127"/>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row>
    <row r="106" ht="15.75" customHeight="1">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row>
    <row r="107" ht="15.75" customHeight="1">
      <c r="A107" s="127"/>
      <c r="B107" s="127"/>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row>
    <row r="108" ht="15.75" customHeight="1">
      <c r="A108" s="127"/>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row>
    <row r="109" ht="15.75" customHeight="1">
      <c r="A109" s="127"/>
      <c r="B109" s="127"/>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row>
    <row r="110" ht="15.75" customHeight="1">
      <c r="A110" s="127"/>
      <c r="B110" s="127"/>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row>
    <row r="111" ht="15.75" customHeight="1">
      <c r="A111" s="127"/>
      <c r="B111" s="127"/>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row>
    <row r="112" ht="15.75" customHeight="1">
      <c r="A112" s="127"/>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row>
    <row r="113" ht="15.75" customHeight="1">
      <c r="A113" s="127"/>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row>
    <row r="114" ht="15.75" customHeight="1">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row>
    <row r="115" ht="15.75" customHeight="1">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row>
    <row r="116" ht="15.75" customHeight="1">
      <c r="A116" s="127"/>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row>
    <row r="117" ht="15.75" customHeight="1">
      <c r="A117" s="127"/>
      <c r="B117" s="127"/>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row>
    <row r="118" ht="15.75" customHeight="1">
      <c r="A118" s="127"/>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row>
    <row r="119" ht="15.75" customHeight="1">
      <c r="A119" s="127"/>
      <c r="B119" s="127"/>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row>
    <row r="120" ht="15.75" customHeight="1">
      <c r="A120" s="127"/>
      <c r="B120" s="127"/>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row>
    <row r="121" ht="15.75" customHeight="1">
      <c r="A121" s="127"/>
      <c r="B121" s="127"/>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row>
    <row r="122" ht="15.75" customHeight="1">
      <c r="A122" s="127"/>
      <c r="B122" s="127"/>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row>
    <row r="123" ht="15.75" customHeight="1">
      <c r="A123" s="127"/>
      <c r="B123" s="127"/>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row>
    <row r="124" ht="15.75" customHeight="1">
      <c r="A124" s="127"/>
      <c r="B124" s="127"/>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row>
    <row r="125" ht="15.75" customHeight="1">
      <c r="A125" s="127"/>
      <c r="B125" s="127"/>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row>
    <row r="126" ht="15.75" customHeight="1">
      <c r="A126" s="127"/>
      <c r="B126" s="127"/>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row>
    <row r="127" ht="15.75" customHeight="1">
      <c r="A127" s="127"/>
      <c r="B127" s="127"/>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row>
    <row r="128" ht="15.75" customHeight="1">
      <c r="A128" s="127"/>
      <c r="B128" s="127"/>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row>
    <row r="129" ht="15.75" customHeight="1">
      <c r="A129" s="127"/>
      <c r="B129" s="127"/>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row>
    <row r="130" ht="15.75" customHeight="1">
      <c r="A130" s="127"/>
      <c r="B130" s="127"/>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row>
    <row r="131" ht="15.75" customHeight="1">
      <c r="A131" s="127"/>
      <c r="B131" s="127"/>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row>
    <row r="132" ht="15.75" customHeight="1">
      <c r="A132" s="127"/>
      <c r="B132" s="127"/>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row>
    <row r="133" ht="15.75" customHeight="1">
      <c r="A133" s="127"/>
      <c r="B133" s="127"/>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row>
    <row r="134" ht="15.75" customHeight="1">
      <c r="A134" s="127"/>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row>
    <row r="135" ht="15.75" customHeight="1">
      <c r="A135" s="127"/>
      <c r="B135" s="127"/>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row>
    <row r="136" ht="15.75" customHeight="1">
      <c r="A136" s="127"/>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row>
    <row r="137" ht="15.75" customHeight="1">
      <c r="A137" s="127"/>
      <c r="B137" s="127"/>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row>
    <row r="138" ht="15.75" customHeight="1">
      <c r="A138" s="127"/>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row>
    <row r="139" ht="15.75" customHeight="1">
      <c r="A139" s="127"/>
      <c r="B139" s="127"/>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row>
    <row r="140" ht="15.75" customHeight="1">
      <c r="A140" s="127"/>
      <c r="B140" s="127"/>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row>
    <row r="141" ht="15.75" customHeight="1">
      <c r="A141" s="127"/>
      <c r="B141" s="127"/>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row>
    <row r="142" ht="15.75" customHeight="1">
      <c r="A142" s="127"/>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row>
    <row r="143" ht="15.75" customHeight="1">
      <c r="A143" s="127"/>
      <c r="B143" s="127"/>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row>
    <row r="144" ht="15.75" customHeight="1">
      <c r="A144" s="127"/>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row>
    <row r="145" ht="15.75" customHeight="1">
      <c r="A145" s="127"/>
      <c r="B145" s="127"/>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row>
    <row r="146" ht="15.75" customHeight="1">
      <c r="A146" s="127"/>
      <c r="B146" s="127"/>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row>
    <row r="147" ht="15.75" customHeight="1">
      <c r="A147" s="127"/>
      <c r="B147" s="127"/>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row>
    <row r="148" ht="15.75" customHeight="1">
      <c r="A148" s="127"/>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row>
    <row r="149" ht="15.75" customHeight="1">
      <c r="A149" s="127"/>
      <c r="B149" s="127"/>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row>
    <row r="150" ht="15.75" customHeight="1">
      <c r="A150" s="127"/>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row>
    <row r="151" ht="15.75" customHeight="1">
      <c r="A151" s="127"/>
      <c r="B151" s="127"/>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row>
    <row r="152" ht="15.75" customHeight="1">
      <c r="A152" s="127"/>
      <c r="B152" s="127"/>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row>
    <row r="153" ht="15.75" customHeight="1">
      <c r="A153" s="127"/>
      <c r="B153" s="127"/>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row>
    <row r="154" ht="15.75" customHeight="1">
      <c r="A154" s="127"/>
      <c r="B154" s="127"/>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row>
    <row r="155" ht="15.75" customHeight="1">
      <c r="A155" s="127"/>
      <c r="B155" s="127"/>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row>
    <row r="156" ht="15.75" customHeight="1">
      <c r="A156" s="127"/>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row>
    <row r="157" ht="15.75" customHeight="1">
      <c r="A157" s="127"/>
      <c r="B157" s="127"/>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row>
    <row r="158" ht="15.75" customHeight="1">
      <c r="A158" s="127"/>
      <c r="B158" s="127"/>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row>
    <row r="159" ht="15.75" customHeight="1">
      <c r="A159" s="127"/>
      <c r="B159" s="127"/>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row>
    <row r="160" ht="15.75" customHeight="1">
      <c r="A160" s="127"/>
      <c r="B160" s="127"/>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row>
    <row r="161" ht="15.75" customHeight="1">
      <c r="A161" s="127"/>
      <c r="B161" s="127"/>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row>
    <row r="162" ht="15.75" customHeight="1">
      <c r="A162" s="127"/>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row>
    <row r="163" ht="15.75" customHeight="1">
      <c r="A163" s="127"/>
      <c r="B163" s="127"/>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row>
    <row r="164" ht="15.75" customHeight="1">
      <c r="A164" s="127"/>
      <c r="B164" s="127"/>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row>
    <row r="165" ht="15.75" customHeight="1">
      <c r="A165" s="127"/>
      <c r="B165" s="127"/>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row>
    <row r="166" ht="15.75" customHeight="1">
      <c r="A166" s="127"/>
      <c r="B166" s="127"/>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row>
    <row r="167" ht="15.75" customHeight="1">
      <c r="A167" s="127"/>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row>
    <row r="168" ht="15.75" customHeight="1">
      <c r="A168" s="127"/>
      <c r="B168" s="127"/>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row>
    <row r="169" ht="15.75" customHeight="1">
      <c r="A169" s="127"/>
      <c r="B169" s="127"/>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row>
    <row r="170" ht="15.75" customHeight="1">
      <c r="A170" s="127"/>
      <c r="B170" s="127"/>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row>
    <row r="171" ht="15.75" customHeight="1">
      <c r="A171" s="127"/>
      <c r="B171" s="127"/>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row>
    <row r="172" ht="15.75" customHeight="1">
      <c r="A172" s="127"/>
      <c r="B172" s="127"/>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row>
    <row r="173" ht="15.75" customHeight="1">
      <c r="A173" s="127"/>
      <c r="B173" s="127"/>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row>
    <row r="174" ht="15.75" customHeight="1">
      <c r="A174" s="127"/>
      <c r="B174" s="127"/>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row>
    <row r="175" ht="15.75" customHeight="1">
      <c r="A175" s="127"/>
      <c r="B175" s="127"/>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row>
    <row r="176" ht="15.75" customHeight="1">
      <c r="A176" s="127"/>
      <c r="B176" s="127"/>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row>
    <row r="177" ht="15.75" customHeight="1">
      <c r="A177" s="127"/>
      <c r="B177" s="127"/>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row>
    <row r="178" ht="15.75" customHeight="1">
      <c r="A178" s="127"/>
      <c r="B178" s="127"/>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row>
    <row r="179" ht="15.75" customHeight="1">
      <c r="A179" s="127"/>
      <c r="B179" s="127"/>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row>
    <row r="180" ht="15.75" customHeight="1">
      <c r="A180" s="127"/>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row>
    <row r="181" ht="15.75" customHeight="1">
      <c r="A181" s="127"/>
      <c r="B181" s="127"/>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row>
    <row r="182" ht="15.75" customHeight="1">
      <c r="A182" s="127"/>
      <c r="B182" s="127"/>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row>
    <row r="183" ht="15.75" customHeight="1">
      <c r="A183" s="127"/>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row>
    <row r="184" ht="15.75" customHeight="1">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row>
    <row r="185" ht="15.75" customHeight="1">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row>
    <row r="186" ht="15.75" customHeight="1">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row>
    <row r="187" ht="15.75" customHeight="1">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row>
    <row r="188" ht="15.75" customHeight="1">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row>
    <row r="189" ht="15.75" customHeight="1">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row>
    <row r="190" ht="15.75" customHeight="1">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row>
    <row r="191" ht="15.75" customHeight="1">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row>
    <row r="192" ht="15.75" customHeight="1">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row>
    <row r="193" ht="15.75" customHeight="1">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row>
    <row r="194" ht="15.75" customHeight="1">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row>
    <row r="195" ht="15.75" customHeight="1">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row>
    <row r="196" ht="15.75" customHeight="1">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row>
    <row r="197" ht="15.75" customHeight="1">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row>
    <row r="198" ht="15.75" customHeight="1">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row>
    <row r="199" ht="15.75" customHeight="1">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row>
    <row r="200" ht="15.75" customHeight="1">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row>
    <row r="201" ht="15.75" customHeight="1">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row>
    <row r="202" ht="15.75" customHeight="1">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row>
    <row r="203" ht="15.75" customHeight="1">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row>
    <row r="204" ht="15.75" customHeight="1">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row>
    <row r="205" ht="15.75" customHeight="1">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row>
    <row r="206" ht="15.75" customHeight="1">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row>
    <row r="207" ht="15.75" customHeight="1">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row>
    <row r="208" ht="15.75" customHeight="1">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row>
    <row r="209" ht="15.75" customHeight="1">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row>
    <row r="210" ht="15.75" customHeight="1">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row>
    <row r="211" ht="15.75" customHeight="1">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row>
    <row r="212" ht="15.75" customHeight="1">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row>
    <row r="213" ht="15.75" customHeight="1">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row>
    <row r="214" ht="15.75" customHeight="1">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row>
    <row r="215" ht="15.75" customHeight="1">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row>
    <row r="216" ht="15.75" customHeight="1">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row>
    <row r="217" ht="15.75" customHeight="1">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row>
    <row r="218" ht="15.75" customHeight="1">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row>
    <row r="219" ht="15.75" customHeight="1">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row>
    <row r="220" ht="15.75" customHeight="1">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row>
    <row r="221" ht="15.75" customHeight="1">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row>
    <row r="222" ht="15.75" customHeight="1">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row>
    <row r="223" ht="15.75" customHeight="1">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row>
    <row r="224" ht="15.75" customHeight="1">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row>
    <row r="225" ht="15.75" customHeight="1">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row>
    <row r="226" ht="15.75" customHeight="1">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row>
    <row r="227" ht="15.75" customHeight="1">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row>
    <row r="228" ht="15.75" customHeight="1">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row>
    <row r="229" ht="15.75" customHeight="1">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row>
    <row r="230" ht="15.75" customHeight="1">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row>
    <row r="231" ht="15.75" customHeight="1">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row>
    <row r="232" ht="15.75" customHeight="1">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row>
    <row r="233" ht="15.75" customHeight="1">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row>
    <row r="234" ht="15.75" customHeight="1">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row>
    <row r="235" ht="15.75" customHeight="1">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row>
    <row r="236" ht="15.75" customHeight="1">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row>
    <row r="237" ht="15.75" customHeight="1">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row>
    <row r="238" ht="15.75" customHeight="1">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row>
    <row r="239" ht="15.75" customHeight="1">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row>
    <row r="240" ht="15.75" customHeight="1">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row>
    <row r="241" ht="15.75" customHeight="1">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row>
    <row r="242" ht="15.75" customHeight="1">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row>
    <row r="243" ht="15.75" customHeight="1">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row>
    <row r="244" ht="15.75" customHeight="1">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row>
    <row r="245" ht="15.75" customHeight="1">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row>
    <row r="246" ht="15.75" customHeight="1">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row>
    <row r="247" ht="15.75" customHeight="1">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row>
    <row r="248" ht="15.75" customHeight="1">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row>
    <row r="249" ht="15.75" customHeight="1">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row>
    <row r="250" ht="15.75" customHeight="1">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row>
    <row r="251" ht="15.75" customHeight="1">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row>
    <row r="252" ht="15.75" customHeight="1">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row>
  </sheetData>
  <mergeCells count="10">
    <mergeCell ref="D42:G42"/>
    <mergeCell ref="D43:G43"/>
    <mergeCell ref="B47:G47"/>
    <mergeCell ref="B48:G48"/>
    <mergeCell ref="D40:G40"/>
    <mergeCell ref="B49:G49"/>
    <mergeCell ref="B37:G37"/>
    <mergeCell ref="B3:G3"/>
    <mergeCell ref="D41:G41"/>
    <mergeCell ref="D44:G44"/>
  </mergeCells>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4">
      <vt:variant>
        <vt:lpstr>Worksheets</vt:lpstr>
      </vt:variant>
      <vt:variant>
        <vt:i4>5</vt:i4>
      </vt:variant>
      <vt:variant>
        <vt:lpstr>Named Ranges</vt:lpstr>
      </vt:variant>
      <vt:variant>
        <vt:i4>1</vt:i4>
      </vt:variant>
    </vt:vector>
  </HeadingPairs>
  <TitlesOfParts>
    <vt:vector baseType="lpstr" size="6">
      <vt:lpstr>Background</vt:lpstr>
      <vt:lpstr>Study Case 1_20X5 Transaction</vt:lpstr>
      <vt:lpstr>Study Case 1_Working Paper</vt:lpstr>
      <vt:lpstr>Case Study 2</vt:lpstr>
      <vt:lpstr>Case Study 3</vt:lpstr>
      <vt:lpstr>'Study Case 1_Working Paper'!BS</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2025-10-16T11:30:16Z</dcterms:created>
  <dc:creator>pakuy</dc:creator>
  <cp:lastModifiedBy>pakuy kuya</cp:lastModifiedBy>
  <dcterms:modified xsi:type="dcterms:W3CDTF">2025-11-06T15:29:21Z</dcterms:modified>
</cp:coreProperties>
</file>