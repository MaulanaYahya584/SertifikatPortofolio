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ignment 1" sheetId="1" r:id="rId4"/>
  </sheets>
  <definedNames/>
  <calcPr/>
</workbook>
</file>

<file path=xl/sharedStrings.xml><?xml version="1.0" encoding="utf-8"?>
<sst xmlns="http://schemas.openxmlformats.org/spreadsheetml/2006/main" count="60" uniqueCount="59">
  <si>
    <t>ASSIGNMENT MINI BOOTCAMP BUSINESS FINANCE FOR NON FINANCE PEOPLE</t>
  </si>
  <si>
    <t>‘’Analisis Laporan Keuangan PT Garuda Indonesia Tbk tahun 2024’’</t>
  </si>
  <si>
    <t>Untuk Acounting Hack tidak ada tugas</t>
  </si>
  <si>
    <r>
      <rPr>
        <rFont val="Arial"/>
        <b/>
        <color/>
        <sz val="11.0"/>
      </rPr>
      <t>Garuda Indonesia mencatatkan pendapatan sebesar USD 3,42 miliar pada tahun 2024</t>
    </r>
    <r>
      <rPr>
        <rFont val="Arial"/>
        <b val="0"/>
        <color/>
        <sz val="11.0"/>
      </rPr>
      <t xml:space="preserve">, naik sekitar 16% dibandingkan 2023. Peningkatan ini seiring dengan pulihnya industri penerbangan pasca-pandemi dan naiknya jumlah penumpang hingga 18,54%. Namun ironisnya, perusahaan tetap </t>
    </r>
    <r>
      <rPr>
        <rFont val="Arial"/>
        <b/>
        <color/>
        <sz val="11.0"/>
      </rPr>
      <t>membukukan rugi bersih sebesar USD 69,7 juta</t>
    </r>
    <r>
      <rPr>
        <rFont val="Arial"/>
        <b val="0"/>
        <color/>
        <sz val="11.0"/>
      </rPr>
      <t>.</t>
    </r>
  </si>
  <si>
    <r>
      <rPr>
        <rFont val="Arial"/>
        <color/>
        <sz val="11.0"/>
      </rPr>
      <t xml:space="preserve">Situasi ini memunculkan pertanyaan dari investor dan analis: </t>
    </r>
    <r>
      <rPr>
        <rFont val="Arial"/>
        <i/>
        <color/>
        <sz val="11.0"/>
      </rPr>
      <t>"Mengapa perusahaan dengan pendapatan besar dan Arus Kas Operasi Positif masih merugi?</t>
    </r>
  </si>
  <si>
    <r>
      <rPr>
        <rFont val="Arial"/>
        <b/>
        <color/>
        <sz val="11.0"/>
      </rPr>
      <t>1.</t>
    </r>
    <r>
      <rPr>
        <rFont val="Times New Roman"/>
        <b/>
        <color/>
        <sz val="7.0"/>
      </rPr>
      <t xml:space="preserve">     </t>
    </r>
    <r>
      <rPr>
        <rFont val="Arial"/>
        <b/>
        <color/>
        <sz val="11.0"/>
      </rPr>
      <t>Dari Laporan Keuangan PT Garuda Indonesia Tbk tahun 2024 (terlampir), buatkan komparasi sederhana dengan melengkapi cell berwarna hijau dan buatkan analisis nya (dengan format dibawah)</t>
    </r>
  </si>
  <si>
    <t>Laporan Keuangan Garuda disini</t>
  </si>
  <si>
    <t>Jenis Laporan</t>
  </si>
  <si>
    <t>Pos Laporan</t>
  </si>
  <si>
    <t xml:space="preserve">Variance </t>
  </si>
  <si>
    <t>(Juta USD)</t>
  </si>
  <si>
    <t>%</t>
  </si>
  <si>
    <t>Laporan Posisi Keuangan / Neraca</t>
  </si>
  <si>
    <t>Total Aset</t>
  </si>
  <si>
    <t>Aset Lancar</t>
  </si>
  <si>
    <t>Aset Tidak Lancar</t>
  </si>
  <si>
    <t>Total Liabilitas</t>
  </si>
  <si>
    <t>Liabilitas Jangka Pendek</t>
  </si>
  <si>
    <t>Liabilitas Jangka Panjang</t>
  </si>
  <si>
    <t>Total Ekuitas</t>
  </si>
  <si>
    <t>Laporan Laba Rugi</t>
  </si>
  <si>
    <t>Pendapatan Usaha</t>
  </si>
  <si>
    <t>Beban Usaha</t>
  </si>
  <si>
    <t>Pendapatan/Beban Usaha Lainnya</t>
  </si>
  <si>
    <t>Laba/(Rugi) Sebelum Pajak</t>
  </si>
  <si>
    <t>Pajak</t>
  </si>
  <si>
    <t>Laba (Rugi) Tahun Berjalan</t>
  </si>
  <si>
    <t>Laporan Arus Kas</t>
  </si>
  <si>
    <t>Arus Kas Aktivitas Operasi</t>
  </si>
  <si>
    <t>Arus Kas Aktivitas Investasi</t>
  </si>
  <si>
    <t>Arus Kas Aktivitas Pendanaan</t>
  </si>
  <si>
    <t>Kas dan Setara Kas Awal Tahun</t>
  </si>
  <si>
    <t>Perubahan Kurs</t>
  </si>
  <si>
    <t>Kas dan Setara Kas Akhir Tahun</t>
  </si>
  <si>
    <r>
      <rPr>
        <rFont val="Arial"/>
        <b/>
        <color/>
        <sz val="11.0"/>
      </rPr>
      <t>2.</t>
    </r>
    <r>
      <rPr>
        <rFont val="Times New Roman"/>
        <b/>
        <color/>
        <sz val="7.0"/>
      </rPr>
      <t xml:space="preserve">     </t>
    </r>
    <r>
      <rPr>
        <rFont val="Arial"/>
        <b/>
        <color/>
        <sz val="11.0"/>
      </rPr>
      <t>Jelaskan komponen dari Operating Expenses Garuda berdasarkan data di atas, dan identifikasi apakah perusahaan mengalami pembengkakan beban operasional di tahun 2024?</t>
    </r>
  </si>
  <si>
    <t>Beban perusahaan mengalami peningkatan sebesar 18,32%, di mana seluruh komponen beban menunjukkan kenaikan. Lima komponen dengan peningkatan terbesar meliputi beban pemeliharaan dan perbaikan sebesar 38,89%, beban kebandaraan sebesar 24,58%, beban umum dan administrasi sebesar 20,02%, beban pelayanan penumpang sebesar 35,57%, serta beban tiket penjualan dan promosi sebesar 28,34%. Peningkatan ini mencerminkan meningkatnya aktivitas operasional perusahaan, khususnya dalam pemeliharaan aset, peningkatan kualitas layanan kepada penumpang, serta intensifikasi kegiatan pemasaran dan penjualan, yang dalam jangka pendek berpotensi menekan profitabilitas namun dapat berdampak positif apabila diiringi pertumbuhan pendapatan dan efisiensi operasional.</t>
  </si>
  <si>
    <t>Komponen Beban Usaha</t>
  </si>
  <si>
    <t>2024 (USD)</t>
  </si>
  <si>
    <t>2023 (USD)</t>
  </si>
  <si>
    <t>Kenaikan (USD)</t>
  </si>
  <si>
    <t>% Naik</t>
  </si>
  <si>
    <t>Beban operasional penerbangan</t>
  </si>
  <si>
    <t>Beban pemeliharaan dan perbaikan</t>
  </si>
  <si>
    <t>Beban kebandarudaraan</t>
  </si>
  <si>
    <t>Beban umum dan administrasi</t>
  </si>
  <si>
    <t>Beban pelayanan penumpang</t>
  </si>
  <si>
    <t>Beban tiket, penjualan dan promosi</t>
  </si>
  <si>
    <t>Beban operasional hotel</t>
  </si>
  <si>
    <t>Beban operasional transportasi</t>
  </si>
  <si>
    <t>Beban operasional jaringan</t>
  </si>
  <si>
    <t>Total Beban Usaha</t>
  </si>
  <si>
    <r>
      <rPr>
        <rFont val="Arial"/>
        <b/>
        <color/>
        <sz val="11.0"/>
      </rPr>
      <t>3.</t>
    </r>
    <r>
      <rPr>
        <rFont val="Times New Roman"/>
        <b/>
        <color/>
        <sz val="7.0"/>
      </rPr>
      <t xml:space="preserve">     </t>
    </r>
    <r>
      <rPr>
        <rFont val="Arial"/>
        <b/>
        <color/>
        <sz val="11.0"/>
      </rPr>
      <t>Buatlah simulasi: Jika perusahaan dapat menurunkan Opex sebesar 10%, berapa keuntungan (penghematan) yang didapatkan dan bagaimana dampaknya pada net profit?</t>
    </r>
  </si>
  <si>
    <t>Apabila beban perusahaan diestimasi meningkat sebesar 10%, maka laba bersih perusahaan diproyeksikan mencapai USD 241.014,800. Nilai tersebut menunjukkan peningkatan yang sangat signifikan, yaitu sebesar 445,41% dibandingkan dengan tahun sebelumnya. Kenaikan laba bersih ini mengindikasikan bahwa perusahaan memiliki sensitivitas laba yang tinggi terhadap perubahan beban, sehingga pengendalian biaya menjadi faktor kunci dalam meningkatkan profitabilitas. Kondisi ini juga mencerminkan kemampuan manajemen dalam menjaga efisiensi operasional dan mengelola struktur biaya secara efektif.</t>
  </si>
  <si>
    <t>Komponen</t>
  </si>
  <si>
    <t>Sebelum Efisiensi</t>
  </si>
  <si>
    <t>Efisiensi 10%</t>
  </si>
  <si>
    <t xml:space="preserve">Sesudah Efisiensi </t>
  </si>
  <si>
    <t>Total Beban Usaha (Opex)</t>
  </si>
  <si>
    <t>Rugi/Laba Bersih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</si>
</sst>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_(* \(#,##0.00\);_(* &quot;-&quot;??_);_(@_)"/>
    <numFmt numFmtId="165" formatCode="_(* #,##0_);_(* \(#,##0\);_(* &quot;-&quot;??_);_(@_)"/>
  </numFmts>
  <fonts count="12">
    <font>
      <sz val="12.0"/>
      <color/>
      <name val="Arial"/>
      <scheme val="minor"/>
    </font>
    <font>
      <b/>
      <sz val="14.0"/>
      <color/>
      <name val="Arial"/>
    </font>
    <font>
      <b/>
      <sz val="11.0"/>
      <color/>
      <name val="Arial"/>
    </font>
    <font>
      <b/>
      <sz val="26.0"/>
      <color/>
      <name val="Calibri"/>
    </font>
    <font>
      <sz val="11.0"/>
      <color/>
      <name val="Arial"/>
    </font>
    <font>
      <b/>
      <u/>
      <sz val="11.0"/>
      <color rgb="FF1155CC"/>
      <name val="Arial"/>
    </font>
    <font/>
    <font>
      <b/>
      <sz val="10.0"/>
      <color rgb="FF000000"/>
      <name val="Arial"/>
    </font>
    <font>
      <sz val="10.0"/>
      <color rgb="FF000000"/>
      <name val="Arial"/>
    </font>
    <font>
      <sz val="12.0"/>
      <color/>
      <name val="Calibri"/>
    </font>
    <font>
      <sz val="12.0"/>
      <color/>
      <name val="Aptos"/>
    </font>
    <font>
      <b/>
      <sz val="12.0"/>
      <color/>
      <name val="Calibri"/>
    </font>
  </fonts>
  <fills count="4">
    <fill>
      <patternFill patternType="none"/>
    </fill>
    <fill>
      <patternFill patternType="lightGray"/>
    </fill>
    <fill>
      <patternFill patternType="solid">
        <fgColor rgb="FFE2EFD9"/>
        <bgColor rgb="FFE2EFD9"/>
      </patternFill>
    </fill>
    <fill>
      <patternFill patternType="solid">
        <fgColor rgb="FFD9EAD3"/>
        <bgColor rgb="FFD9EAD3"/>
      </patternFill>
    </fill>
  </fills>
  <borders count="18">
    <border/>
    <border>
      <bottom style="medium">
        <color rgb="FF000000"/>
      </bottom>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right style="medium">
        <color rgb="FF000000"/>
      </right>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bottom style="medium">
        <color rgb="FF000000"/>
      </bottom>
    </border>
    <border>
      <left style="medium">
        <color rgb="FF000000"/>
      </left>
      <right style="medium">
        <color rgb="FF000000"/>
      </right>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left" vertical="center"/>
    </xf>
    <xf borderId="0" fillId="0" fontId="2" numFmtId="0" xfId="0" applyAlignment="1" applyFont="1">
      <alignment horizontal="center" shrinkToFit="0" vertical="center" wrapText="1"/>
    </xf>
    <xf borderId="0" fillId="0" fontId="4" numFmtId="0" xfId="0" applyAlignment="1" applyFont="1">
      <alignment horizontal="center" shrinkToFit="0" vertical="center" wrapText="1"/>
    </xf>
    <xf borderId="0" fillId="0" fontId="2" numFmtId="0" xfId="0" applyAlignment="1" applyFont="1">
      <alignment horizontal="left" shrinkToFit="0" vertical="center" wrapText="1"/>
    </xf>
    <xf borderId="1" fillId="0" fontId="5" numFmtId="0" xfId="0" applyAlignment="1" applyBorder="1" applyFont="1">
      <alignment horizontal="center" shrinkToFit="0" wrapText="1"/>
    </xf>
    <xf borderId="1" fillId="0" fontId="6" numFmtId="0" xfId="0" applyBorder="1" applyFont="1"/>
    <xf borderId="2" fillId="0" fontId="7" numFmtId="0" xfId="0" applyAlignment="1" applyBorder="1" applyFont="1">
      <alignment horizontal="center" vertical="center"/>
    </xf>
    <xf borderId="3" fillId="0" fontId="7" numFmtId="0" xfId="0" applyAlignment="1" applyBorder="1" applyFont="1">
      <alignment horizontal="center" vertical="center"/>
    </xf>
    <xf borderId="4" fillId="0" fontId="6" numFmtId="0" xfId="0" applyBorder="1" applyFont="1"/>
    <xf borderId="5" fillId="0" fontId="7" numFmtId="164" xfId="0" applyAlignment="1" applyBorder="1" applyFont="1" applyNumberFormat="1">
      <alignment horizontal="center" vertical="center"/>
    </xf>
    <xf borderId="6" fillId="0" fontId="7" numFmtId="0" xfId="0" applyAlignment="1" applyBorder="1" applyFont="1">
      <alignment horizontal="center" vertical="center"/>
    </xf>
    <xf borderId="2" fillId="0" fontId="8" numFmtId="0" xfId="0" applyAlignment="1" applyBorder="1" applyFont="1">
      <alignment horizontal="center" shrinkToFit="0" vertical="center" wrapText="1"/>
    </xf>
    <xf borderId="1" fillId="0" fontId="8" numFmtId="0" xfId="0" applyAlignment="1" applyBorder="1" applyFont="1">
      <alignment vertical="center"/>
    </xf>
    <xf borderId="7" fillId="2" fontId="9" numFmtId="165" xfId="0" applyAlignment="1" applyBorder="1" applyFill="1" applyFont="1" applyNumberFormat="1">
      <alignment horizontal="center"/>
    </xf>
    <xf borderId="8" fillId="2" fontId="8" numFmtId="10" xfId="0" applyAlignment="1" applyBorder="1" applyFont="1" applyNumberFormat="1">
      <alignment horizontal="center" vertical="center"/>
    </xf>
    <xf borderId="9" fillId="0" fontId="6" numFmtId="0" xfId="0" applyBorder="1" applyFont="1"/>
    <xf borderId="1" fillId="0" fontId="8" numFmtId="0" xfId="0" applyAlignment="1" applyBorder="1" applyFont="1">
      <alignment horizontal="left" vertical="center"/>
    </xf>
    <xf borderId="10" fillId="0" fontId="10" numFmtId="0" xfId="0" applyBorder="1" applyFont="1"/>
    <xf borderId="10" fillId="0" fontId="6" numFmtId="0" xfId="0" applyBorder="1" applyFont="1"/>
    <xf borderId="11" fillId="0" fontId="6" numFmtId="0" xfId="0" applyBorder="1" applyFont="1"/>
    <xf borderId="11" fillId="0" fontId="8" numFmtId="0" xfId="0" applyAlignment="1" applyBorder="1" applyFont="1">
      <alignment vertical="center"/>
    </xf>
    <xf borderId="6" fillId="0" fontId="8" numFmtId="0" xfId="0" applyAlignment="1" applyBorder="1" applyFont="1">
      <alignment vertical="center"/>
    </xf>
    <xf borderId="6" fillId="0" fontId="7" numFmtId="0" xfId="0" applyAlignment="1" applyBorder="1" applyFont="1">
      <alignment vertical="center"/>
    </xf>
    <xf borderId="7" fillId="2" fontId="11" numFmtId="165" xfId="0" applyAlignment="1" applyBorder="1" applyFont="1" applyNumberFormat="1">
      <alignment horizontal="center"/>
    </xf>
    <xf borderId="8" fillId="2" fontId="7" numFmtId="10" xfId="0" applyAlignment="1" applyBorder="1" applyFont="1" applyNumberFormat="1">
      <alignment horizontal="center" vertical="center"/>
    </xf>
    <xf borderId="12" fillId="0" fontId="10" numFmtId="0" xfId="0" applyBorder="1" applyFont="1"/>
    <xf borderId="7" fillId="0" fontId="8" numFmtId="0" xfId="0" applyAlignment="1" applyBorder="1" applyFont="1">
      <alignment vertical="center"/>
    </xf>
    <xf borderId="0" fillId="0" fontId="9" numFmtId="164" xfId="0" applyAlignment="1" applyFont="1" applyNumberFormat="1">
      <alignment horizontal="center" vertical="center"/>
    </xf>
    <xf borderId="13" fillId="0" fontId="2" numFmtId="0" xfId="0" applyAlignment="1" applyBorder="1" applyFont="1">
      <alignment horizontal="left" shrinkToFit="0" vertical="center" wrapText="1"/>
    </xf>
    <xf borderId="14" fillId="0" fontId="6" numFmtId="0" xfId="0" applyBorder="1" applyFont="1"/>
    <xf borderId="13" fillId="3" fontId="2" numFmtId="0" xfId="0" applyAlignment="1" applyBorder="1" applyFill="1" applyFont="1">
      <alignment horizontal="left" readingOrder="0" shrinkToFit="0" vertical="top" wrapText="1"/>
    </xf>
    <xf borderId="15" fillId="0" fontId="6" numFmtId="0" xfId="0" applyBorder="1" applyFont="1"/>
    <xf borderId="16" fillId="0" fontId="11" numFmtId="0" xfId="0" applyBorder="1" applyFont="1"/>
    <xf borderId="16" fillId="0" fontId="11" numFmtId="164" xfId="0" applyAlignment="1" applyBorder="1" applyFont="1" applyNumberFormat="1">
      <alignment horizontal="center"/>
    </xf>
    <xf borderId="16" fillId="0" fontId="11" numFmtId="0" xfId="0" applyAlignment="1" applyBorder="1" applyFont="1">
      <alignment horizontal="center"/>
    </xf>
    <xf borderId="16" fillId="0" fontId="9" numFmtId="0" xfId="0" applyBorder="1" applyFont="1"/>
    <xf borderId="16" fillId="0" fontId="9" numFmtId="165" xfId="0" applyAlignment="1" applyBorder="1" applyFont="1" applyNumberFormat="1">
      <alignment horizontal="center"/>
    </xf>
    <xf borderId="16" fillId="0" fontId="9" numFmtId="165" xfId="0" applyAlignment="1" applyBorder="1" applyFont="1" applyNumberFormat="1">
      <alignment horizontal="right"/>
    </xf>
    <xf borderId="16" fillId="0" fontId="9" numFmtId="10" xfId="0" applyAlignment="1" applyBorder="1" applyFont="1" applyNumberFormat="1">
      <alignment horizontal="center"/>
    </xf>
    <xf borderId="16" fillId="0" fontId="11" numFmtId="10" xfId="0" applyAlignment="1" applyBorder="1" applyFont="1" applyNumberFormat="1">
      <alignment horizontal="center"/>
    </xf>
    <xf borderId="0" fillId="0" fontId="9" numFmtId="165" xfId="0" applyFont="1" applyNumberFormat="1"/>
    <xf borderId="13" fillId="3" fontId="2" numFmtId="0" xfId="0" applyAlignment="1" applyBorder="1" applyFont="1">
      <alignment horizontal="left" readingOrder="0" shrinkToFit="0" vertical="center" wrapText="1"/>
    </xf>
    <xf borderId="0" fillId="0" fontId="9" numFmtId="164" xfId="0" applyAlignment="1" applyFont="1" applyNumberFormat="1">
      <alignment horizontal="left" vertical="top"/>
    </xf>
    <xf borderId="16" fillId="0" fontId="2" numFmtId="0" xfId="0" applyAlignment="1" applyBorder="1" applyFont="1">
      <alignment horizontal="center"/>
    </xf>
    <xf borderId="16" fillId="0" fontId="2" numFmtId="164" xfId="0" applyAlignment="1" applyBorder="1" applyFont="1" applyNumberFormat="1">
      <alignment horizontal="center"/>
    </xf>
    <xf borderId="17" fillId="0" fontId="4" numFmtId="0" xfId="0" applyBorder="1" applyFont="1"/>
    <xf borderId="16" fillId="0" fontId="4" numFmtId="9" xfId="0" applyAlignment="1" applyBorder="1" applyFont="1" applyNumberFormat="1">
      <alignment horizontal="right"/>
    </xf>
    <xf borderId="16" fillId="0" fontId="2" numFmtId="10" xfId="0" applyAlignment="1" applyBorder="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HwvJiOH_DncUac9zvhubnFtsTfbHyhMC/view?usp=drive_lin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75"/>
    <col customWidth="1" min="2" max="2" width="29.13"/>
    <col customWidth="1" min="3" max="3" width="22.38"/>
    <col customWidth="1" min="4" max="5" width="19.38"/>
    <col customWidth="1" min="6" max="10" width="20.5"/>
    <col customWidth="1" min="11" max="11" width="11.25"/>
  </cols>
  <sheetData>
    <row r="1" ht="15.75" customHeight="1">
      <c r="A1" s="1" t="s">
        <v>0</v>
      </c>
    </row>
    <row r="2" ht="15.75" customHeight="1">
      <c r="A2" s="2" t="s">
        <v>1</v>
      </c>
      <c r="G2" s="3" t="s">
        <v>2</v>
      </c>
    </row>
    <row r="3">
      <c r="A3" s="4" t="s">
        <v>3</v>
      </c>
    </row>
    <row r="4" ht="42.75" customHeight="1">
      <c r="A4" s="5" t="s">
        <v>4</v>
      </c>
    </row>
    <row r="5">
      <c r="A5" s="6" t="s">
        <v>5</v>
      </c>
    </row>
    <row r="6" ht="21.75" customHeight="1">
      <c r="A6" s="7" t="s">
        <v>6</v>
      </c>
      <c r="B6" s="8"/>
      <c r="C6" s="8"/>
      <c r="D6" s="8"/>
      <c r="E6" s="8"/>
    </row>
    <row r="7" ht="15.75" customHeight="1">
      <c r="A7" s="9" t="s">
        <v>7</v>
      </c>
      <c r="B7" s="9" t="s">
        <v>8</v>
      </c>
      <c r="C7" s="10">
        <v>2024.0</v>
      </c>
      <c r="D7" s="10">
        <v>2023.0</v>
      </c>
      <c r="E7" s="10" t="s">
        <v>9</v>
      </c>
    </row>
    <row r="8" ht="15.75" customHeight="1">
      <c r="A8" s="11"/>
      <c r="B8" s="11"/>
      <c r="C8" s="12" t="s">
        <v>10</v>
      </c>
      <c r="D8" s="12" t="s">
        <v>10</v>
      </c>
      <c r="E8" s="13" t="s">
        <v>11</v>
      </c>
    </row>
    <row r="9" ht="15.75" customHeight="1">
      <c r="A9" s="14" t="s">
        <v>12</v>
      </c>
      <c r="B9" s="15" t="s">
        <v>13</v>
      </c>
      <c r="C9" s="16">
        <v>6618614.941</v>
      </c>
      <c r="D9" s="16">
        <v>6727645.053</v>
      </c>
      <c r="E9" s="17" t="str">
        <f t="shared" ref="E9:E15" si="1">(C9-D9)/D9</f>
        <v>-1.62%</v>
      </c>
    </row>
    <row r="10" ht="15.75" customHeight="1">
      <c r="A10" s="18"/>
      <c r="B10" s="19" t="s">
        <v>14</v>
      </c>
      <c r="C10" s="16">
        <v>553908.871</v>
      </c>
      <c r="D10" s="16">
        <v>653772.901</v>
      </c>
      <c r="E10" s="17" t="str">
        <f t="shared" si="1"/>
        <v>-15.28%</v>
      </c>
    </row>
    <row r="11" ht="15.75" customHeight="1">
      <c r="A11" s="18"/>
      <c r="B11" s="19" t="s">
        <v>15</v>
      </c>
      <c r="C11" s="16">
        <v>6064706.07</v>
      </c>
      <c r="D11" s="16">
        <v>6073872.152</v>
      </c>
      <c r="E11" s="17" t="str">
        <f t="shared" si="1"/>
        <v>-0.15%</v>
      </c>
    </row>
    <row r="12" ht="15.75" customHeight="1">
      <c r="A12" s="18"/>
      <c r="B12" s="15" t="s">
        <v>16</v>
      </c>
      <c r="C12" s="16">
        <v>7970511.787</v>
      </c>
      <c r="D12" s="16">
        <v>8010372.227</v>
      </c>
      <c r="E12" s="17" t="str">
        <f t="shared" si="1"/>
        <v>-0.50%</v>
      </c>
    </row>
    <row r="13" ht="15.75" customHeight="1">
      <c r="A13" s="18"/>
      <c r="B13" s="19" t="s">
        <v>17</v>
      </c>
      <c r="C13" s="16">
        <v>1173272.782</v>
      </c>
      <c r="D13" s="16">
        <v>1165155.552</v>
      </c>
      <c r="E13" s="17" t="str">
        <f t="shared" si="1"/>
        <v>0.70%</v>
      </c>
    </row>
    <row r="14" ht="15.75" customHeight="1">
      <c r="A14" s="18"/>
      <c r="B14" s="19" t="s">
        <v>18</v>
      </c>
      <c r="C14" s="16">
        <v>6797239.005</v>
      </c>
      <c r="D14" s="16">
        <v>6845216.675</v>
      </c>
      <c r="E14" s="17" t="str">
        <f t="shared" si="1"/>
        <v>-0.70%</v>
      </c>
    </row>
    <row r="15" ht="15.75" customHeight="1">
      <c r="A15" s="11"/>
      <c r="B15" s="15" t="s">
        <v>19</v>
      </c>
      <c r="C15" s="16">
        <v>-1351896.846</v>
      </c>
      <c r="D15" s="16">
        <v>-1282727.174</v>
      </c>
      <c r="E15" s="17" t="str">
        <f t="shared" si="1"/>
        <v>5.39%</v>
      </c>
    </row>
    <row r="16" ht="15.75" customHeight="1">
      <c r="A16" s="20"/>
      <c r="B16" s="21"/>
      <c r="C16" s="21"/>
      <c r="D16" s="21"/>
      <c r="E16" s="22"/>
    </row>
    <row r="17" ht="15.75" customHeight="1">
      <c r="A17" s="14" t="s">
        <v>20</v>
      </c>
      <c r="B17" s="23" t="s">
        <v>21</v>
      </c>
      <c r="C17" s="16">
        <v>3416526.383</v>
      </c>
      <c r="D17" s="16">
        <v>2936631.094</v>
      </c>
      <c r="E17" s="17" t="str">
        <f t="shared" ref="E17:E22" si="2">(C17-D17)/D17</f>
        <v>16.34%</v>
      </c>
    </row>
    <row r="18" ht="15.75" customHeight="1">
      <c r="A18" s="18"/>
      <c r="B18" s="24" t="s">
        <v>22</v>
      </c>
      <c r="C18" s="16">
        <v>3107911.287</v>
      </c>
      <c r="D18" s="16">
        <v>2626771.457</v>
      </c>
      <c r="E18" s="17" t="str">
        <f t="shared" si="2"/>
        <v>18.32%</v>
      </c>
    </row>
    <row r="19" ht="15.75" customHeight="1">
      <c r="A19" s="18"/>
      <c r="B19" s="24" t="s">
        <v>23</v>
      </c>
      <c r="C19" s="16">
        <v>-390078.851</v>
      </c>
      <c r="D19" s="16">
        <v>-75270.492</v>
      </c>
      <c r="E19" s="17" t="str">
        <f t="shared" si="2"/>
        <v>418.24%</v>
      </c>
    </row>
    <row r="20" ht="15.75" customHeight="1">
      <c r="A20" s="18"/>
      <c r="B20" s="24" t="s">
        <v>24</v>
      </c>
      <c r="C20" s="16">
        <v>-81463.775</v>
      </c>
      <c r="D20" s="16">
        <v>234589.145</v>
      </c>
      <c r="E20" s="17" t="str">
        <f t="shared" si="2"/>
        <v>-134.73%</v>
      </c>
    </row>
    <row r="21" ht="15.75" customHeight="1">
      <c r="A21" s="18"/>
      <c r="B21" s="24" t="s">
        <v>25</v>
      </c>
      <c r="C21" s="16">
        <v>11687.426</v>
      </c>
      <c r="D21" s="16">
        <v>17407.435</v>
      </c>
      <c r="E21" s="17" t="str">
        <f t="shared" si="2"/>
        <v>-32.86%</v>
      </c>
    </row>
    <row r="22" ht="15.75" customHeight="1">
      <c r="A22" s="11"/>
      <c r="B22" s="25" t="s">
        <v>26</v>
      </c>
      <c r="C22" s="26">
        <v>-69776.329</v>
      </c>
      <c r="D22" s="26">
        <v>251996.58</v>
      </c>
      <c r="E22" s="27" t="str">
        <f t="shared" si="2"/>
        <v>-127.69%</v>
      </c>
    </row>
    <row r="23" ht="15.75" customHeight="1">
      <c r="A23" s="28"/>
      <c r="B23" s="21"/>
      <c r="C23" s="21"/>
      <c r="D23" s="21"/>
      <c r="E23" s="22"/>
    </row>
    <row r="24" ht="15.75" customHeight="1">
      <c r="A24" s="14" t="s">
        <v>27</v>
      </c>
      <c r="B24" s="24" t="s">
        <v>28</v>
      </c>
      <c r="C24" s="16">
        <v>585742.098</v>
      </c>
      <c r="D24" s="16">
        <v>222030.495</v>
      </c>
      <c r="E24" s="17" t="str">
        <f t="shared" ref="E24:E29" si="3">(C24-D24)/D24</f>
        <v>163.81%</v>
      </c>
    </row>
    <row r="25" ht="15.75" customHeight="1">
      <c r="A25" s="18"/>
      <c r="B25" s="29" t="s">
        <v>29</v>
      </c>
      <c r="C25" s="16">
        <v>-405201.844</v>
      </c>
      <c r="D25" s="16">
        <v>-316465.152</v>
      </c>
      <c r="E25" s="17" t="str">
        <f t="shared" si="3"/>
        <v>28.04%</v>
      </c>
    </row>
    <row r="26" ht="15.75" customHeight="1">
      <c r="A26" s="18"/>
      <c r="B26" s="24" t="s">
        <v>30</v>
      </c>
      <c r="C26" s="16">
        <v>-243195.067</v>
      </c>
      <c r="D26" s="16">
        <v>-149026.638</v>
      </c>
      <c r="E26" s="17" t="str">
        <f t="shared" si="3"/>
        <v>63.19%</v>
      </c>
    </row>
    <row r="27" ht="15.75" customHeight="1">
      <c r="A27" s="18"/>
      <c r="B27" s="24" t="s">
        <v>31</v>
      </c>
      <c r="C27" s="16">
        <v>289846.369</v>
      </c>
      <c r="D27" s="16">
        <v>521682.689</v>
      </c>
      <c r="E27" s="17" t="str">
        <f t="shared" si="3"/>
        <v>-44.44%</v>
      </c>
    </row>
    <row r="28" ht="15.75" customHeight="1">
      <c r="A28" s="18"/>
      <c r="B28" s="24" t="s">
        <v>32</v>
      </c>
      <c r="C28" s="16">
        <v>-8071.603</v>
      </c>
      <c r="D28" s="16">
        <v>11624.975</v>
      </c>
      <c r="E28" s="17" t="str">
        <f t="shared" si="3"/>
        <v>-169.43%</v>
      </c>
    </row>
    <row r="29" ht="15.75" customHeight="1">
      <c r="A29" s="11"/>
      <c r="B29" s="24" t="s">
        <v>33</v>
      </c>
      <c r="C29" s="16">
        <v>219173.953</v>
      </c>
      <c r="D29" s="16">
        <v>289846.369</v>
      </c>
      <c r="E29" s="17" t="str">
        <f t="shared" si="3"/>
        <v>-24.38%</v>
      </c>
    </row>
    <row r="30" ht="15.75" customHeight="1">
      <c r="C30" s="30"/>
      <c r="D30" s="30"/>
    </row>
    <row r="31" ht="15.75" customHeight="1">
      <c r="C31" s="30"/>
      <c r="D31" s="30"/>
    </row>
    <row r="32" ht="120.75" customHeight="1">
      <c r="A32" s="31" t="s">
        <v>34</v>
      </c>
      <c r="B32" s="32"/>
      <c r="C32" s="33" t="s">
        <v>35</v>
      </c>
      <c r="D32" s="34"/>
      <c r="E32" s="34"/>
      <c r="F32" s="34"/>
      <c r="G32" s="32"/>
    </row>
    <row r="33" ht="15.75" customHeight="1">
      <c r="C33" s="30"/>
      <c r="D33" s="30"/>
    </row>
    <row r="34" ht="15.75" customHeight="1">
      <c r="A34" s="35" t="s">
        <v>36</v>
      </c>
      <c r="B34" s="36" t="s">
        <v>37</v>
      </c>
      <c r="C34" s="36" t="s">
        <v>38</v>
      </c>
      <c r="D34" s="36" t="s">
        <v>39</v>
      </c>
      <c r="E34" s="37" t="s">
        <v>40</v>
      </c>
    </row>
    <row r="35" ht="15.75" customHeight="1">
      <c r="A35" s="38" t="s">
        <v>41</v>
      </c>
      <c r="B35" s="39">
        <v>1667905.835</v>
      </c>
      <c r="C35" s="39">
        <v>1521806.816</v>
      </c>
      <c r="D35" s="40" t="str">
        <f t="shared" ref="D35:D43" si="4">B35-C35</f>
        <v>  146,099 </v>
      </c>
      <c r="E35" s="41" t="str">
        <f t="shared" ref="E35:E44" si="5">D35/C35</f>
        <v>9.60%</v>
      </c>
    </row>
    <row r="36" ht="15.75" customHeight="1">
      <c r="A36" s="38" t="s">
        <v>42</v>
      </c>
      <c r="B36" s="39">
        <v>536957.979</v>
      </c>
      <c r="C36" s="39">
        <v>386604.041</v>
      </c>
      <c r="D36" s="40" t="str">
        <f t="shared" si="4"/>
        <v>  150,354 </v>
      </c>
      <c r="E36" s="41" t="str">
        <f t="shared" si="5"/>
        <v>38.89%</v>
      </c>
    </row>
    <row r="37" ht="15.75" customHeight="1">
      <c r="A37" s="38" t="s">
        <v>43</v>
      </c>
      <c r="B37" s="39">
        <v>252277.455</v>
      </c>
      <c r="C37" s="39">
        <v>202507.863</v>
      </c>
      <c r="D37" s="40" t="str">
        <f t="shared" si="4"/>
        <v>  49,770 </v>
      </c>
      <c r="E37" s="41" t="str">
        <f t="shared" si="5"/>
        <v>24.58%</v>
      </c>
    </row>
    <row r="38" ht="15.75" customHeight="1">
      <c r="A38" s="38" t="s">
        <v>44</v>
      </c>
      <c r="B38" s="39">
        <v>212229.556</v>
      </c>
      <c r="C38" s="39">
        <v>176828.573</v>
      </c>
      <c r="D38" s="40" t="str">
        <f t="shared" si="4"/>
        <v>  35,401 </v>
      </c>
      <c r="E38" s="41" t="str">
        <f t="shared" si="5"/>
        <v>20.02%</v>
      </c>
    </row>
    <row r="39" ht="15.75" customHeight="1">
      <c r="A39" s="38" t="s">
        <v>45</v>
      </c>
      <c r="B39" s="39">
        <v>221636.816</v>
      </c>
      <c r="C39" s="39">
        <v>163486.092</v>
      </c>
      <c r="D39" s="40" t="str">
        <f t="shared" si="4"/>
        <v>  58,151 </v>
      </c>
      <c r="E39" s="41" t="str">
        <f t="shared" si="5"/>
        <v>35.57%</v>
      </c>
    </row>
    <row r="40" ht="15.75" customHeight="1">
      <c r="A40" s="38" t="s">
        <v>46</v>
      </c>
      <c r="B40" s="39">
        <v>179304.099</v>
      </c>
      <c r="C40" s="39">
        <v>139705.334</v>
      </c>
      <c r="D40" s="40" t="str">
        <f t="shared" si="4"/>
        <v>  39,599 </v>
      </c>
      <c r="E40" s="41" t="str">
        <f t="shared" si="5"/>
        <v>28.34%</v>
      </c>
    </row>
    <row r="41" ht="15.75" customHeight="1">
      <c r="A41" s="38" t="s">
        <v>47</v>
      </c>
      <c r="B41" s="39">
        <v>20145.943</v>
      </c>
      <c r="C41" s="39">
        <v>20105.736</v>
      </c>
      <c r="D41" s="40" t="str">
        <f t="shared" si="4"/>
        <v>  40 </v>
      </c>
      <c r="E41" s="41" t="str">
        <f t="shared" si="5"/>
        <v>0.20%</v>
      </c>
    </row>
    <row r="42" ht="15.75" customHeight="1">
      <c r="A42" s="38" t="s">
        <v>48</v>
      </c>
      <c r="B42" s="39">
        <v>12421.603</v>
      </c>
      <c r="C42" s="39">
        <v>11400.277</v>
      </c>
      <c r="D42" s="40" t="str">
        <f t="shared" si="4"/>
        <v>  1,021 </v>
      </c>
      <c r="E42" s="41" t="str">
        <f t="shared" si="5"/>
        <v>8.96%</v>
      </c>
    </row>
    <row r="43" ht="15.75" customHeight="1">
      <c r="A43" s="38" t="s">
        <v>49</v>
      </c>
      <c r="B43" s="39">
        <v>5032.001</v>
      </c>
      <c r="C43" s="39">
        <v>4326.725</v>
      </c>
      <c r="D43" s="40" t="str">
        <f t="shared" si="4"/>
        <v>  705 </v>
      </c>
      <c r="E43" s="41" t="str">
        <f t="shared" si="5"/>
        <v>16.30%</v>
      </c>
    </row>
    <row r="44" ht="15.75" customHeight="1">
      <c r="A44" s="35" t="s">
        <v>50</v>
      </c>
      <c r="B44" s="36">
        <v>3107911.2870000005</v>
      </c>
      <c r="C44" s="36">
        <v>2626771.457</v>
      </c>
      <c r="D44" s="36" t="str">
        <f>SUM(D36:D43)</f>
        <v>  335,040.81 </v>
      </c>
      <c r="E44" s="42" t="str">
        <f t="shared" si="5"/>
        <v>12.75%</v>
      </c>
    </row>
    <row r="45" ht="15.75" customHeight="1">
      <c r="B45" s="43"/>
      <c r="C45" s="30"/>
      <c r="D45" s="30"/>
    </row>
    <row r="46" ht="15.75" customHeight="1">
      <c r="C46" s="30"/>
      <c r="D46" s="30"/>
    </row>
    <row r="47" ht="120.75" customHeight="1">
      <c r="A47" s="31" t="s">
        <v>51</v>
      </c>
      <c r="B47" s="32"/>
      <c r="C47" s="44" t="s">
        <v>52</v>
      </c>
      <c r="D47" s="34"/>
      <c r="E47" s="34"/>
      <c r="F47" s="34"/>
      <c r="G47" s="32"/>
    </row>
    <row r="48" ht="15.75" customHeight="1">
      <c r="C48" s="45"/>
      <c r="D48" s="30"/>
    </row>
    <row r="49" ht="15.75" customHeight="1">
      <c r="A49" s="46" t="s">
        <v>53</v>
      </c>
      <c r="B49" s="46" t="s">
        <v>54</v>
      </c>
      <c r="C49" s="47" t="s">
        <v>55</v>
      </c>
      <c r="D49" s="47" t="s">
        <v>56</v>
      </c>
    </row>
    <row r="50" ht="15.75" customHeight="1">
      <c r="A50" s="48" t="s">
        <v>57</v>
      </c>
      <c r="B50" s="39" t="str">
        <f>B44</f>
        <v>  3,107,911 </v>
      </c>
      <c r="C50" s="39" t="str">
        <f>B44*90%</f>
        <v>  2,797,120 </v>
      </c>
      <c r="D50" s="49" t="str">
        <f>(C50-B50)/B50</f>
        <v>-10%</v>
      </c>
    </row>
    <row r="51" ht="15.75" customHeight="1">
      <c r="A51" s="48" t="s">
        <v>58</v>
      </c>
      <c r="B51" s="39" t="str">
        <f>C22</f>
        <v>  (69,776)</v>
      </c>
      <c r="C51" s="39" t="str">
        <f>(C17-C50+C19+C21)</f>
        <v>  241,015 </v>
      </c>
      <c r="D51" s="50" t="str">
        <f>ABS((C51-B51)/B51)</f>
        <v>445.41%</v>
      </c>
    </row>
    <row r="52" ht="15.75" customHeight="1">
      <c r="C52" s="30"/>
      <c r="D52" s="30"/>
    </row>
    <row r="53" ht="15.75" customHeight="1">
      <c r="C53" s="30"/>
      <c r="D53" s="30"/>
    </row>
    <row r="54" ht="15.75" customHeight="1">
      <c r="C54" s="30"/>
      <c r="D54" s="30"/>
    </row>
    <row r="55" ht="15.75" customHeight="1">
      <c r="C55" s="30"/>
      <c r="D55" s="30"/>
    </row>
    <row r="56" ht="15.75" customHeight="1">
      <c r="C56" s="30"/>
      <c r="D56" s="30"/>
    </row>
    <row r="57" ht="15.75" customHeight="1">
      <c r="C57" s="30"/>
      <c r="D57" s="30"/>
    </row>
    <row r="58" ht="15.75" customHeight="1">
      <c r="C58" s="30"/>
      <c r="D58" s="30"/>
    </row>
    <row r="59" ht="15.75" customHeight="1">
      <c r="C59" s="30" t="str">
        <f>C22-C50</f>
        <v>  (2,866,896.49)</v>
      </c>
      <c r="D59" s="30"/>
    </row>
    <row r="60" ht="15.75" customHeight="1">
      <c r="C60" s="30"/>
      <c r="D60" s="30"/>
    </row>
    <row r="61" ht="15.75" customHeight="1">
      <c r="C61" s="30"/>
      <c r="D61" s="30"/>
    </row>
    <row r="62" ht="15.75" customHeight="1">
      <c r="C62" s="30"/>
      <c r="D62" s="30"/>
    </row>
    <row r="63" ht="15.75" customHeight="1">
      <c r="C63" s="30"/>
      <c r="D63" s="30"/>
    </row>
    <row r="64" ht="15.75" customHeight="1">
      <c r="C64" s="30"/>
      <c r="D64" s="30"/>
    </row>
    <row r="65" ht="15.75" customHeight="1">
      <c r="C65" s="30"/>
      <c r="D65" s="30"/>
    </row>
    <row r="66" ht="15.75" customHeight="1">
      <c r="C66" s="30"/>
      <c r="D66" s="30"/>
    </row>
    <row r="67" ht="15.75" customHeight="1">
      <c r="C67" s="30"/>
      <c r="D67" s="30"/>
    </row>
    <row r="68" ht="15.75" customHeight="1">
      <c r="C68" s="30"/>
      <c r="D68" s="30"/>
    </row>
    <row r="69" ht="15.75" customHeight="1">
      <c r="C69" s="30"/>
      <c r="D69" s="30"/>
    </row>
    <row r="70" ht="15.75" customHeight="1">
      <c r="C70" s="30"/>
      <c r="D70" s="30"/>
    </row>
    <row r="71" ht="15.75" customHeight="1">
      <c r="C71" s="30"/>
      <c r="D71" s="30"/>
    </row>
    <row r="72" ht="15.75" customHeight="1">
      <c r="C72" s="30"/>
      <c r="D72" s="30"/>
    </row>
    <row r="73" ht="15.75" customHeight="1">
      <c r="C73" s="30"/>
      <c r="D73" s="30"/>
    </row>
    <row r="74" ht="15.75" customHeight="1">
      <c r="C74" s="30"/>
      <c r="D74" s="30"/>
    </row>
    <row r="75" ht="15.75" customHeight="1">
      <c r="C75" s="30"/>
      <c r="D75" s="30"/>
    </row>
    <row r="76" ht="15.75" customHeight="1">
      <c r="C76" s="30"/>
      <c r="D76" s="30"/>
    </row>
    <row r="77" ht="15.75" customHeight="1">
      <c r="C77" s="30"/>
      <c r="D77" s="30"/>
    </row>
    <row r="78" ht="15.75" customHeight="1">
      <c r="C78" s="30"/>
      <c r="D78" s="30"/>
    </row>
    <row r="79" ht="15.75" customHeight="1">
      <c r="C79" s="30"/>
      <c r="D79" s="30"/>
    </row>
    <row r="80" ht="15.75" customHeight="1">
      <c r="C80" s="30"/>
      <c r="D80" s="30"/>
    </row>
    <row r="81" ht="15.75" customHeight="1">
      <c r="C81" s="30"/>
      <c r="D81" s="30"/>
    </row>
    <row r="82" ht="15.75" customHeight="1">
      <c r="C82" s="30"/>
      <c r="D82" s="30"/>
    </row>
    <row r="83" ht="15.75" customHeight="1">
      <c r="C83" s="30"/>
      <c r="D83" s="30"/>
    </row>
    <row r="84" ht="15.75" customHeight="1">
      <c r="C84" s="30"/>
      <c r="D84" s="30"/>
    </row>
    <row r="85" ht="15.75" customHeight="1">
      <c r="C85" s="30"/>
      <c r="D85" s="30"/>
    </row>
    <row r="86" ht="15.75" customHeight="1">
      <c r="C86" s="30"/>
      <c r="D86" s="30"/>
    </row>
    <row r="87" ht="15.75" customHeight="1">
      <c r="C87" s="30"/>
      <c r="D87" s="30"/>
    </row>
    <row r="88" ht="15.75" customHeight="1">
      <c r="C88" s="30"/>
      <c r="D88" s="30"/>
    </row>
    <row r="89" ht="15.75" customHeight="1">
      <c r="C89" s="30"/>
      <c r="D89" s="30"/>
    </row>
    <row r="90" ht="15.75" customHeight="1">
      <c r="C90" s="30"/>
      <c r="D90" s="30"/>
    </row>
    <row r="91" ht="15.75" customHeight="1">
      <c r="C91" s="30"/>
      <c r="D91" s="30"/>
    </row>
    <row r="92" ht="15.75" customHeight="1">
      <c r="C92" s="30"/>
      <c r="D92" s="30"/>
    </row>
    <row r="93" ht="15.75" customHeight="1">
      <c r="C93" s="30"/>
      <c r="D93" s="30"/>
    </row>
    <row r="94" ht="15.75" customHeight="1">
      <c r="C94" s="30"/>
      <c r="D94" s="30"/>
    </row>
    <row r="95" ht="15.75" customHeight="1">
      <c r="C95" s="30"/>
      <c r="D95" s="30"/>
    </row>
    <row r="96" ht="15.75" customHeight="1">
      <c r="C96" s="30"/>
      <c r="D96" s="30"/>
    </row>
    <row r="97" ht="15.75" customHeight="1">
      <c r="C97" s="30"/>
      <c r="D97" s="30"/>
    </row>
    <row r="98" ht="15.75" customHeight="1">
      <c r="C98" s="30"/>
      <c r="D98" s="30"/>
    </row>
    <row r="99" ht="15.75" customHeight="1">
      <c r="C99" s="30"/>
      <c r="D99" s="30"/>
    </row>
    <row r="100" ht="15.75" customHeight="1">
      <c r="C100" s="30"/>
      <c r="D100" s="30"/>
    </row>
    <row r="101" ht="15.75" customHeight="1">
      <c r="C101" s="30"/>
      <c r="D101" s="30"/>
    </row>
    <row r="102" ht="15.75" customHeight="1">
      <c r="C102" s="30"/>
      <c r="D102" s="30"/>
    </row>
    <row r="103" ht="15.75" customHeight="1">
      <c r="C103" s="30"/>
      <c r="D103" s="30"/>
    </row>
    <row r="104" ht="15.75" customHeight="1">
      <c r="C104" s="30"/>
      <c r="D104" s="30"/>
    </row>
    <row r="105" ht="15.75" customHeight="1">
      <c r="C105" s="30"/>
      <c r="D105" s="30"/>
    </row>
    <row r="106" ht="15.75" customHeight="1">
      <c r="C106" s="30"/>
      <c r="D106" s="30"/>
    </row>
    <row r="107" ht="15.75" customHeight="1">
      <c r="C107" s="30"/>
      <c r="D107" s="30"/>
    </row>
    <row r="108" ht="15.75" customHeight="1">
      <c r="C108" s="30"/>
      <c r="D108" s="30"/>
    </row>
    <row r="109" ht="15.75" customHeight="1">
      <c r="C109" s="30"/>
      <c r="D109" s="30"/>
    </row>
    <row r="110" ht="15.75" customHeight="1">
      <c r="C110" s="30"/>
      <c r="D110" s="30"/>
    </row>
    <row r="111" ht="15.75" customHeight="1">
      <c r="C111" s="30"/>
      <c r="D111" s="30"/>
    </row>
    <row r="112" ht="15.75" customHeight="1">
      <c r="C112" s="30"/>
      <c r="D112" s="30"/>
    </row>
    <row r="113" ht="15.75" customHeight="1">
      <c r="C113" s="30"/>
      <c r="D113" s="30"/>
    </row>
    <row r="114" ht="15.75" customHeight="1">
      <c r="C114" s="30"/>
      <c r="D114" s="30"/>
    </row>
    <row r="115" ht="15.75" customHeight="1">
      <c r="C115" s="30"/>
      <c r="D115" s="30"/>
    </row>
    <row r="116" ht="15.75" customHeight="1">
      <c r="C116" s="30"/>
      <c r="D116" s="30"/>
    </row>
    <row r="117" ht="15.75" customHeight="1">
      <c r="C117" s="30"/>
      <c r="D117" s="30"/>
    </row>
    <row r="118" ht="15.75" customHeight="1">
      <c r="C118" s="30"/>
      <c r="D118" s="30"/>
    </row>
    <row r="119" ht="15.75" customHeight="1">
      <c r="C119" s="30"/>
      <c r="D119" s="30"/>
    </row>
    <row r="120" ht="15.75" customHeight="1">
      <c r="C120" s="30"/>
      <c r="D120" s="30"/>
    </row>
    <row r="121" ht="15.75" customHeight="1">
      <c r="C121" s="30"/>
      <c r="D121" s="30"/>
    </row>
    <row r="122" ht="15.75" customHeight="1">
      <c r="C122" s="30"/>
      <c r="D122" s="30"/>
    </row>
    <row r="123" ht="15.75" customHeight="1">
      <c r="C123" s="30"/>
      <c r="D123" s="30"/>
    </row>
    <row r="124" ht="15.75" customHeight="1">
      <c r="C124" s="30"/>
      <c r="D124" s="30"/>
    </row>
    <row r="125" ht="15.75" customHeight="1">
      <c r="C125" s="30"/>
      <c r="D125" s="30"/>
    </row>
    <row r="126" ht="15.75" customHeight="1">
      <c r="C126" s="30"/>
      <c r="D126" s="30"/>
    </row>
    <row r="127" ht="15.75" customHeight="1">
      <c r="C127" s="30"/>
      <c r="D127" s="30"/>
    </row>
    <row r="128" ht="15.75" customHeight="1">
      <c r="C128" s="30"/>
      <c r="D128" s="30"/>
    </row>
    <row r="129" ht="15.75" customHeight="1">
      <c r="C129" s="30"/>
      <c r="D129" s="30"/>
    </row>
    <row r="130" ht="15.75" customHeight="1">
      <c r="C130" s="30"/>
      <c r="D130" s="30"/>
    </row>
    <row r="131" ht="15.75" customHeight="1">
      <c r="C131" s="30"/>
      <c r="D131" s="30"/>
    </row>
    <row r="132" ht="15.75" customHeight="1">
      <c r="C132" s="30"/>
      <c r="D132" s="30"/>
    </row>
    <row r="133" ht="15.75" customHeight="1">
      <c r="C133" s="30"/>
      <c r="D133" s="30"/>
    </row>
    <row r="134" ht="15.75" customHeight="1">
      <c r="C134" s="30"/>
      <c r="D134" s="30"/>
    </row>
    <row r="135" ht="15.75" customHeight="1">
      <c r="C135" s="30"/>
      <c r="D135" s="30"/>
    </row>
    <row r="136" ht="15.75" customHeight="1">
      <c r="C136" s="30"/>
      <c r="D136" s="30"/>
    </row>
    <row r="137" ht="15.75" customHeight="1">
      <c r="C137" s="30"/>
      <c r="D137" s="30"/>
    </row>
    <row r="138" ht="15.75" customHeight="1">
      <c r="C138" s="30"/>
      <c r="D138" s="30"/>
    </row>
    <row r="139" ht="15.75" customHeight="1">
      <c r="C139" s="30"/>
      <c r="D139" s="30"/>
    </row>
    <row r="140" ht="15.75" customHeight="1">
      <c r="C140" s="30"/>
      <c r="D140" s="30"/>
    </row>
    <row r="141" ht="15.75" customHeight="1">
      <c r="C141" s="30"/>
      <c r="D141" s="30"/>
    </row>
    <row r="142" ht="15.75" customHeight="1">
      <c r="C142" s="30"/>
      <c r="D142" s="30"/>
    </row>
    <row r="143" ht="15.75" customHeight="1">
      <c r="C143" s="30"/>
      <c r="D143" s="30"/>
    </row>
    <row r="144" ht="15.75" customHeight="1">
      <c r="C144" s="30"/>
      <c r="D144" s="30"/>
    </row>
    <row r="145" ht="15.75" customHeight="1">
      <c r="C145" s="30"/>
      <c r="D145" s="30"/>
    </row>
    <row r="146" ht="15.75" customHeight="1">
      <c r="C146" s="30"/>
      <c r="D146" s="30"/>
    </row>
    <row r="147" ht="15.75" customHeight="1">
      <c r="C147" s="30"/>
      <c r="D147" s="30"/>
    </row>
    <row r="148" ht="15.75" customHeight="1">
      <c r="C148" s="30"/>
      <c r="D148" s="30"/>
    </row>
    <row r="149" ht="15.75" customHeight="1">
      <c r="C149" s="30"/>
      <c r="D149" s="30"/>
    </row>
    <row r="150" ht="15.75" customHeight="1">
      <c r="C150" s="30"/>
      <c r="D150" s="30"/>
    </row>
    <row r="151" ht="15.75" customHeight="1">
      <c r="C151" s="30"/>
      <c r="D151" s="30"/>
    </row>
    <row r="152" ht="15.75" customHeight="1">
      <c r="C152" s="30"/>
      <c r="D152" s="30"/>
    </row>
    <row r="153" ht="15.75" customHeight="1">
      <c r="C153" s="30"/>
      <c r="D153" s="30"/>
    </row>
    <row r="154" ht="15.75" customHeight="1">
      <c r="C154" s="30"/>
      <c r="D154" s="30"/>
    </row>
    <row r="155" ht="15.75" customHeight="1">
      <c r="C155" s="30"/>
      <c r="D155" s="30"/>
    </row>
    <row r="156" ht="15.75" customHeight="1">
      <c r="C156" s="30"/>
      <c r="D156" s="30"/>
    </row>
    <row r="157" ht="15.75" customHeight="1">
      <c r="C157" s="30"/>
      <c r="D157" s="30"/>
    </row>
    <row r="158" ht="15.75" customHeight="1">
      <c r="C158" s="30"/>
      <c r="D158" s="30"/>
    </row>
    <row r="159" ht="15.75" customHeight="1">
      <c r="C159" s="30"/>
      <c r="D159" s="30"/>
    </row>
    <row r="160" ht="15.75" customHeight="1">
      <c r="C160" s="30"/>
      <c r="D160" s="30"/>
    </row>
    <row r="161" ht="15.75" customHeight="1">
      <c r="C161" s="30"/>
      <c r="D161" s="30"/>
    </row>
    <row r="162" ht="15.75" customHeight="1">
      <c r="C162" s="30"/>
      <c r="D162" s="30"/>
    </row>
    <row r="163" ht="15.75" customHeight="1">
      <c r="C163" s="30"/>
      <c r="D163" s="30"/>
    </row>
    <row r="164" ht="15.75" customHeight="1">
      <c r="C164" s="30"/>
      <c r="D164" s="30"/>
    </row>
    <row r="165" ht="15.75" customHeight="1">
      <c r="C165" s="30"/>
      <c r="D165" s="30"/>
    </row>
    <row r="166" ht="15.75" customHeight="1">
      <c r="C166" s="30"/>
      <c r="D166" s="30"/>
    </row>
    <row r="167" ht="15.75" customHeight="1">
      <c r="C167" s="30"/>
      <c r="D167" s="30"/>
    </row>
    <row r="168" ht="15.75" customHeight="1">
      <c r="C168" s="30"/>
      <c r="D168" s="30"/>
    </row>
    <row r="169" ht="15.75" customHeight="1">
      <c r="C169" s="30"/>
      <c r="D169" s="30"/>
    </row>
    <row r="170" ht="15.75" customHeight="1">
      <c r="C170" s="30"/>
      <c r="D170" s="30"/>
    </row>
    <row r="171" ht="15.75" customHeight="1">
      <c r="C171" s="30"/>
      <c r="D171" s="30"/>
    </row>
    <row r="172" ht="15.75" customHeight="1">
      <c r="C172" s="30"/>
      <c r="D172" s="30"/>
    </row>
    <row r="173" ht="15.75" customHeight="1">
      <c r="C173" s="30"/>
      <c r="D173" s="30"/>
    </row>
    <row r="174" ht="15.75" customHeight="1">
      <c r="C174" s="30"/>
      <c r="D174" s="30"/>
    </row>
    <row r="175" ht="15.75" customHeight="1">
      <c r="C175" s="30"/>
      <c r="D175" s="30"/>
    </row>
    <row r="176" ht="15.75" customHeight="1">
      <c r="C176" s="30"/>
      <c r="D176" s="30"/>
    </row>
    <row r="177" ht="15.75" customHeight="1">
      <c r="C177" s="30"/>
      <c r="D177" s="30"/>
    </row>
    <row r="178" ht="15.75" customHeight="1">
      <c r="C178" s="30"/>
      <c r="D178" s="30"/>
    </row>
    <row r="179" ht="15.75" customHeight="1">
      <c r="C179" s="30"/>
      <c r="D179" s="30"/>
    </row>
    <row r="180" ht="15.75" customHeight="1">
      <c r="C180" s="30"/>
      <c r="D180" s="30"/>
    </row>
    <row r="181" ht="15.75" customHeight="1">
      <c r="C181" s="30"/>
      <c r="D181" s="30"/>
    </row>
    <row r="182" ht="15.75" customHeight="1">
      <c r="C182" s="30"/>
      <c r="D182" s="30"/>
    </row>
    <row r="183" ht="15.75" customHeight="1">
      <c r="C183" s="30"/>
      <c r="D183" s="30"/>
    </row>
    <row r="184" ht="15.75" customHeight="1">
      <c r="C184" s="30"/>
      <c r="D184" s="30"/>
    </row>
    <row r="185" ht="15.75" customHeight="1">
      <c r="C185" s="30"/>
      <c r="D185" s="30"/>
    </row>
    <row r="186" ht="15.75" customHeight="1">
      <c r="C186" s="30"/>
      <c r="D186" s="30"/>
    </row>
    <row r="187" ht="15.75" customHeight="1">
      <c r="C187" s="30"/>
      <c r="D187" s="30"/>
    </row>
    <row r="188" ht="15.75" customHeight="1">
      <c r="C188" s="30"/>
      <c r="D188" s="30"/>
    </row>
    <row r="189" ht="15.75" customHeight="1">
      <c r="C189" s="30"/>
      <c r="D189" s="30"/>
    </row>
    <row r="190" ht="15.75" customHeight="1">
      <c r="C190" s="30"/>
      <c r="D190" s="30"/>
    </row>
    <row r="191" ht="15.75" customHeight="1">
      <c r="C191" s="30"/>
      <c r="D191" s="30"/>
    </row>
    <row r="192" ht="15.75" customHeight="1">
      <c r="C192" s="30"/>
      <c r="D192" s="30"/>
    </row>
    <row r="193" ht="15.75" customHeight="1">
      <c r="C193" s="30"/>
      <c r="D193" s="30"/>
    </row>
    <row r="194" ht="15.75" customHeight="1">
      <c r="C194" s="30"/>
      <c r="D194" s="30"/>
    </row>
    <row r="195" ht="15.75" customHeight="1">
      <c r="C195" s="30"/>
      <c r="D195" s="30"/>
    </row>
    <row r="196" ht="15.75" customHeight="1">
      <c r="C196" s="30"/>
      <c r="D196" s="30"/>
    </row>
    <row r="197" ht="15.75" customHeight="1">
      <c r="C197" s="30"/>
      <c r="D197" s="30"/>
    </row>
    <row r="198" ht="15.75" customHeight="1">
      <c r="C198" s="30"/>
      <c r="D198" s="30"/>
    </row>
    <row r="199" ht="15.75" customHeight="1">
      <c r="C199" s="30"/>
      <c r="D199" s="30"/>
    </row>
    <row r="200" ht="15.75" customHeight="1">
      <c r="C200" s="30"/>
      <c r="D200" s="30"/>
    </row>
    <row r="201" ht="15.75" customHeight="1">
      <c r="C201" s="30"/>
      <c r="D201" s="30"/>
    </row>
    <row r="202" ht="15.75" customHeight="1">
      <c r="C202" s="30"/>
      <c r="D202" s="30"/>
    </row>
    <row r="203" ht="15.75" customHeight="1">
      <c r="C203" s="30"/>
      <c r="D203" s="30"/>
    </row>
    <row r="204" ht="15.75" customHeight="1">
      <c r="C204" s="30"/>
      <c r="D204" s="30"/>
    </row>
    <row r="205" ht="15.75" customHeight="1">
      <c r="C205" s="30"/>
      <c r="D205" s="30"/>
    </row>
    <row r="206" ht="15.75" customHeight="1">
      <c r="C206" s="30"/>
      <c r="D206" s="30"/>
    </row>
    <row r="207" ht="15.75" customHeight="1">
      <c r="C207" s="30"/>
      <c r="D207" s="30"/>
    </row>
    <row r="208" ht="15.75" customHeight="1">
      <c r="C208" s="30"/>
      <c r="D208" s="30"/>
    </row>
    <row r="209" ht="15.75" customHeight="1">
      <c r="C209" s="30"/>
      <c r="D209" s="30"/>
    </row>
    <row r="210" ht="15.75" customHeight="1">
      <c r="C210" s="30"/>
      <c r="D210" s="30"/>
    </row>
    <row r="211" ht="15.75" customHeight="1">
      <c r="C211" s="30"/>
      <c r="D211" s="30"/>
    </row>
    <row r="212" ht="15.75" customHeight="1">
      <c r="C212" s="30"/>
      <c r="D212" s="30"/>
    </row>
    <row r="213" ht="15.75" customHeight="1">
      <c r="C213" s="30"/>
      <c r="D213" s="30"/>
    </row>
    <row r="214" ht="15.75" customHeight="1">
      <c r="C214" s="30"/>
      <c r="D214" s="30"/>
    </row>
    <row r="215" ht="15.75" customHeight="1">
      <c r="C215" s="30"/>
      <c r="D215" s="30"/>
    </row>
    <row r="216" ht="15.75" customHeight="1">
      <c r="C216" s="30"/>
      <c r="D216" s="30"/>
    </row>
    <row r="217" ht="15.75" customHeight="1">
      <c r="C217" s="30"/>
      <c r="D217" s="30"/>
    </row>
    <row r="218" ht="15.75" customHeight="1">
      <c r="C218" s="30"/>
      <c r="D218" s="30"/>
    </row>
    <row r="219" ht="15.75" customHeight="1">
      <c r="C219" s="30"/>
      <c r="D219" s="30"/>
    </row>
    <row r="220" ht="15.75" customHeight="1">
      <c r="C220" s="30"/>
      <c r="D220" s="30"/>
    </row>
    <row r="221" ht="15.75" customHeight="1">
      <c r="C221" s="30"/>
      <c r="D221" s="30"/>
    </row>
    <row r="222" ht="15.75" customHeight="1">
      <c r="C222" s="30"/>
      <c r="D222" s="30"/>
    </row>
    <row r="223" ht="15.75" customHeight="1">
      <c r="C223" s="30"/>
      <c r="D223" s="30"/>
    </row>
    <row r="224" ht="15.75" customHeight="1">
      <c r="C224" s="30"/>
      <c r="D224" s="30"/>
    </row>
    <row r="225" ht="15.75" customHeight="1">
      <c r="C225" s="30"/>
      <c r="D225" s="30"/>
    </row>
    <row r="226" ht="15.75" customHeight="1">
      <c r="C226" s="30"/>
      <c r="D226" s="30"/>
    </row>
    <row r="227" ht="15.75" customHeight="1">
      <c r="C227" s="30"/>
      <c r="D227" s="30"/>
    </row>
    <row r="228" ht="15.75" customHeight="1">
      <c r="C228" s="30"/>
      <c r="D228" s="30"/>
    </row>
    <row r="229" ht="15.75" customHeight="1">
      <c r="C229" s="30"/>
      <c r="D229" s="30"/>
    </row>
    <row r="230" ht="15.75" customHeight="1">
      <c r="C230" s="30"/>
      <c r="D230" s="30"/>
    </row>
    <row r="231" ht="15.75" customHeight="1">
      <c r="C231" s="30"/>
      <c r="D231" s="30"/>
    </row>
    <row r="232" ht="15.75" customHeight="1">
      <c r="C232" s="30"/>
      <c r="D232" s="30"/>
    </row>
    <row r="233" ht="15.75" customHeight="1">
      <c r="C233" s="30"/>
      <c r="D233" s="30"/>
    </row>
    <row r="234" ht="15.75" customHeight="1">
      <c r="C234" s="30"/>
      <c r="D234" s="30"/>
    </row>
    <row r="235" ht="15.75" customHeight="1">
      <c r="C235" s="30"/>
      <c r="D235" s="30"/>
    </row>
    <row r="236" ht="15.75" customHeight="1">
      <c r="C236" s="30"/>
      <c r="D236" s="30"/>
    </row>
    <row r="237" ht="15.75" customHeight="1">
      <c r="C237" s="30"/>
      <c r="D237" s="30"/>
    </row>
    <row r="238" ht="15.75" customHeight="1">
      <c r="C238" s="30"/>
      <c r="D238" s="30"/>
    </row>
    <row r="239" ht="15.75" customHeight="1">
      <c r="C239" s="30"/>
      <c r="D239" s="30"/>
    </row>
    <row r="240" ht="15.75" customHeight="1">
      <c r="C240" s="30"/>
      <c r="D240" s="30"/>
    </row>
    <row r="241" ht="15.75" customHeight="1">
      <c r="C241" s="30"/>
      <c r="D241" s="30"/>
    </row>
    <row r="242" ht="15.75" customHeight="1">
      <c r="C242" s="30"/>
      <c r="D242" s="30"/>
    </row>
    <row r="243" ht="15.75" customHeight="1">
      <c r="C243" s="30"/>
      <c r="D243" s="30"/>
    </row>
    <row r="244" ht="15.75" customHeight="1">
      <c r="C244" s="30"/>
      <c r="D244" s="30"/>
    </row>
    <row r="245" ht="15.75" customHeight="1">
      <c r="C245" s="30"/>
      <c r="D245" s="30"/>
    </row>
    <row r="246" ht="15.75" customHeight="1">
      <c r="C246" s="30"/>
      <c r="D246" s="30"/>
    </row>
    <row r="247" ht="15.75" customHeight="1">
      <c r="C247" s="30"/>
      <c r="D247" s="30"/>
    </row>
    <row r="248" ht="15.75" customHeight="1">
      <c r="C248" s="30"/>
      <c r="D248" s="30"/>
    </row>
    <row r="249" ht="15.75" customHeight="1">
      <c r="C249" s="30"/>
      <c r="D249" s="30"/>
    </row>
    <row r="250" ht="15.75" customHeight="1">
      <c r="C250" s="30"/>
      <c r="D250" s="30"/>
    </row>
    <row r="251" ht="15.75" customHeight="1">
      <c r="C251" s="30"/>
      <c r="D251" s="30"/>
    </row>
    <row r="252" ht="15.75" customHeight="1">
      <c r="C252" s="30"/>
      <c r="D252" s="30"/>
    </row>
    <row r="253" ht="15.75" customHeight="1">
      <c r="C253" s="30"/>
      <c r="D253" s="30"/>
    </row>
    <row r="254" ht="15.75" customHeight="1">
      <c r="C254" s="30"/>
      <c r="D254" s="30"/>
    </row>
    <row r="255" ht="15.75" customHeight="1">
      <c r="C255" s="30"/>
      <c r="D255" s="30"/>
    </row>
    <row r="256" ht="15.75" customHeight="1">
      <c r="C256" s="30"/>
      <c r="D256" s="30"/>
    </row>
    <row r="257" ht="15.75" customHeight="1">
      <c r="C257" s="30"/>
      <c r="D257" s="30"/>
    </row>
    <row r="258" ht="15.75" customHeight="1">
      <c r="C258" s="30"/>
      <c r="D258" s="30"/>
    </row>
    <row r="259" ht="15.75" customHeight="1">
      <c r="C259" s="30"/>
      <c r="D259" s="30"/>
    </row>
  </sheetData>
  <mergeCells count="18">
    <mergeCell ref="G2:J4"/>
    <mergeCell ref="A6:E6"/>
    <mergeCell ref="A1:E1"/>
    <mergeCell ref="A2:E2"/>
    <mergeCell ref="A3:E3"/>
    <mergeCell ref="A4:E4"/>
    <mergeCell ref="A5:E5"/>
    <mergeCell ref="B7:B8"/>
    <mergeCell ref="A7:A8"/>
    <mergeCell ref="A9:A15"/>
    <mergeCell ref="A17:A22"/>
    <mergeCell ref="A24:A29"/>
    <mergeCell ref="A47:B47"/>
    <mergeCell ref="A16:E16"/>
    <mergeCell ref="A23:E23"/>
    <mergeCell ref="C47:G47"/>
    <mergeCell ref="C32:G32"/>
    <mergeCell ref="A32:B32"/>
  </mergeCells>
  <hyperlinks>
    <hyperlink r:id="rId1" ref="A6"/>
  </hyperlinks>
  <printOptions/>
  <pageMargins bottom="0.75" footer="0.0" header="0.0" left="0.7" right="0.7" top="0.75"/>
  <pageSetup orientation="landscape"/>
  <drawing r:id="rId2"/>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1</vt:i4>
      </vt:variant>
    </vt:vector>
  </HeadingPairs>
  <TitlesOfParts>
    <vt:vector baseType="lpstr" size="1">
      <vt:lpstr>Assignment 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2025-05-31T06:13:49Z</dcterms:created>
  <dc:creator>Microsoft Office User</dc:creator>
  <cp:lastModifiedBy>pakuy kuya</cp:lastModifiedBy>
  <dcterms:modified xsi:type="dcterms:W3CDTF">2025-11-06T15:19:47Z</dcterms:modified>
</cp:coreProperties>
</file>