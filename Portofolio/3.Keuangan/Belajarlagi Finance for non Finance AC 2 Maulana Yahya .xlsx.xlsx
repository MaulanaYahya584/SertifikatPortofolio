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xr:revisionPtr revIDLastSave="0" documentId="8_{14DE6F2A-202C-0242-B28B-56DF23404393}" xr6:coauthVersionLast="47" xr6:coauthVersionMax="47" xr10:uidLastSave="{00000000-0000-0000-0000-000000000000}"/>
  <bookViews>
    <workbookView xWindow="0" yWindow="0" windowWidth="0" windowHeight="0" xr2:uid="{00000000-000D-0000-FFFF-FFFF00000000}"/>
  </bookViews>
  <sheets>
    <sheet name="TUGAS" sheetId="1" r:id="rId1"/>
    <sheet name="IDX Financial Data and Ratio" sheetId="2" r:id="rId2"/>
    <sheet name="Summary Financial Ratio by Indu" sheetId="3" r:id="rId3"/>
    <sheet name="Income Statement" sheetId="4" r:id="rId4"/>
    <sheet name="Cashflow Statement" sheetId="5" r:id="rId5"/>
    <sheet name="Balance Sheet" sheetId="6" r:id="rId6"/>
  </sheets>
  <definedNames>
    <definedName name="_xlnm._FilterDatabase" localSheetId="1" hidden="1">'IDX Financial Data and Ratio'!$B$5:$AA$962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7" i="1" l="1"/>
  <c r="D27" i="1"/>
  <c r="C27" i="1"/>
  <c r="E26" i="1"/>
  <c r="D26" i="1"/>
  <c r="C26" i="1"/>
  <c r="D22" i="1"/>
  <c r="C22" i="1"/>
  <c r="D21" i="1"/>
  <c r="C21" i="1"/>
  <c r="D20" i="1"/>
  <c r="C20" i="1"/>
  <c r="D19" i="1"/>
  <c r="C19" i="1"/>
  <c r="D17" i="1"/>
  <c r="C17" i="1"/>
  <c r="D16" i="1"/>
  <c r="C16" i="1"/>
  <c r="D15" i="1"/>
  <c r="C15" i="1"/>
  <c r="D13" i="1"/>
  <c r="C13" i="1"/>
  <c r="D12" i="1"/>
  <c r="C12" i="1"/>
  <c r="D10" i="1"/>
  <c r="C10" i="1"/>
  <c r="D9" i="1"/>
  <c r="C9" i="1"/>
  <c r="D8" i="1"/>
  <c r="C8" i="1"/>
  <c r="D7" i="1"/>
  <c r="C7" i="1"/>
  <c r="D6" i="1"/>
  <c r="C6" i="1"/>
  <c r="D5" i="1"/>
  <c r="C5" i="1"/>
</calcChain>
</file>

<file path=xl/sharedStrings.xml><?xml version="1.0" encoding="utf-8"?>
<sst xmlns="http://schemas.openxmlformats.org/spreadsheetml/2006/main" count="10444" uniqueCount="2598">
  <si>
    <t>6. Horizontal Analysis</t>
  </si>
  <si>
    <t>Membaik vs Memburuk? Analisa!</t>
  </si>
  <si>
    <t>1. Rasio Profitabilitas</t>
  </si>
  <si>
    <t>1.1 ROE (Return on Equity)</t>
  </si>
  <si>
    <t>Memburuk, Perusahaan kurang baik dalam mengelola modal sendiri sehingga semakin kurang efisien dalam menghasilkan laba</t>
  </si>
  <si>
    <t>1.2 ROA (Return on Asset)</t>
  </si>
  <si>
    <t>Membaik, Perusahaan lebih baik dalam memanfaatkan assetnya sehingga lebih efisien dalam menghasilkan laba</t>
  </si>
  <si>
    <t>1.3 BEP (Basic Earning Power)</t>
  </si>
  <si>
    <t>Membaik, Aset digunakan lebih efektif menghasilkan laba operasi sebelum pajak dan bunga. Operasional makin efisien.</t>
  </si>
  <si>
    <t>1.4 Gross Profit Margin</t>
  </si>
  <si>
    <t>7. Vertical Analysis Terhadap Penjualan 2024</t>
  </si>
  <si>
    <t>1.5. Operating Profit Margin</t>
  </si>
  <si>
    <t>Membaik, artinya perusahaan berhasil menurunkan biaya operasioanalnya sehingga laba yang dihasilkan lebih tinggi</t>
  </si>
  <si>
    <t>1.6 Net Profit Margin</t>
  </si>
  <si>
    <t>Membaik, artinya perusahaan berhasil dalam mengelola biaya dan beban bunga sehingga laba yang dihasilkan meningkat</t>
  </si>
  <si>
    <t>2. Rasio Solvency</t>
  </si>
  <si>
    <t>2.1 DER (Debt to Earning Ratio)</t>
  </si>
  <si>
    <t>Membaik artinya modal sendiri perusahaan menguat sehingga ketergantungan hutang menurun</t>
  </si>
  <si>
    <t>2.2 DAR (Debt to Asset Ratio)</t>
  </si>
  <si>
    <t>Membaik, artinya proposi aset yang dibayarkan hutang menurun sehingga resiko keuangan menurun</t>
  </si>
  <si>
    <t>3. Rasio Likuiditas</t>
  </si>
  <si>
    <t>3.1 Current Ratio</t>
  </si>
  <si>
    <t>3.2 Quick Ratio</t>
  </si>
  <si>
    <t>Membaik, Likuiditas tanpa bergantung pada stok membaik. Perusahaan semakin mampu memenuhi kewajiban jangka pendeknya dengan kas dan piutang tanpa terlalu bergantung pada penjualan persediaan.</t>
  </si>
  <si>
    <t>3.3 Cash Ratio</t>
  </si>
  <si>
    <t>4. Rasio Efisiensi</t>
  </si>
  <si>
    <t>4.1 Inventory Turnover Ratio</t>
  </si>
  <si>
    <t xml:space="preserve">Memburuk, kemampuan perusahaan dalam mengelola persediaan semakin lemah sehingga perputaran persediaan melambat stok barang lebih lama tersimpan, bisa menambah biaya penyimapannan </t>
  </si>
  <si>
    <t>Note: ITO tidak sama dengan Days in Inventory</t>
  </si>
  <si>
    <t>4.2 Days Sales Outstanding</t>
  </si>
  <si>
    <t>Memburuk, Piutang lebih lama tertagih dari periode sebelumnya, risiko gagal bayar naik.</t>
  </si>
  <si>
    <t>4.3 Fixed Asset Turnover Ratio</t>
  </si>
  <si>
    <t>Membaik, artinya perusahaan semakin efisien dalam memanfatkan aset tetapnya untuk memperoleh pendapatan</t>
  </si>
  <si>
    <t>4.4 Total Asset Turnover Ratio</t>
  </si>
  <si>
    <t>Memburuk, artinya perusahaan semakin kurang efisien sedikit dalam memanfatkan total assetnya untuk memperoleh pendapatan</t>
  </si>
  <si>
    <t>5. Rasio Valuasi (Berdasarkan data bulanan IDX, Sep 2025, Q2 2025)</t>
  </si>
  <si>
    <t>INDF</t>
  </si>
  <si>
    <t xml:space="preserve">Industry </t>
  </si>
  <si>
    <t>Sub Industry</t>
  </si>
  <si>
    <t>Bandingkan! Analisa</t>
  </si>
  <si>
    <t>5.1 Price to Book Value (PBV)</t>
  </si>
  <si>
    <r>
      <rPr>
        <sz val="16"/>
        <color rgb="FF000000"/>
        <rFont val="Arial"/>
      </rPr>
      <t>PBV sebesar 0,56 sementara standart industri sebesar 1,96 dan standart sub industri sebesar 1,87. artinya secara aseet harga saham perusahaan lebih murah dibandingkan pesaingnya</t>
    </r>
    <r>
      <rPr>
        <sz val="11"/>
        <color rgb="FF000000"/>
        <rFont val="Arial"/>
      </rPr>
      <t>. PBV yang rendah bisa menjadi tanda undervalution, artinya harga saham mungkin diperdagangkan dibawah nilai wajarnya. Rendahnya PBV menunjukan rendahnya kepercayaan pasar teradap kemampuan perusahaan memaksimalkan asetnya atau menghadapi tantangan pertumbuhan</t>
    </r>
  </si>
  <si>
    <t>5.2 Price to Earning Ratio (PER)</t>
  </si>
  <si>
    <r>
      <rPr>
        <sz val="16"/>
        <color rgb="FF000000"/>
        <rFont val="Arial"/>
      </rPr>
      <t>PER INDF sebesar 5,97 , sementara sub industri sebesar 13,61 dan industri 14,31 artinya Investor membayar lebih murah untuk setiap laba dibanding saham saham lain di industri itu.</t>
    </r>
    <r>
      <rPr>
        <sz val="11"/>
        <color rgb="FF000000"/>
        <rFont val="Arial"/>
      </rPr>
      <t xml:space="preserve"> PER yang rendah bisa menjadi indikasi saham undervalued, karena investor membayar lebih murah  untuk setiap laba yang dihasilkan. Rendahnya PER juga berarti pasar meniilai pertumbuhan yang laba yang lambat atau mengadapi resiko bisnis yang lebih tinggi.</t>
    </r>
  </si>
  <si>
    <t>Analisis Vertikal</t>
  </si>
  <si>
    <t>Profitabilitas</t>
  </si>
  <si>
    <t>Disemua level mulai dari kinerja produksi, operasi, keuangan semua terlihat membaik dan ini indikasi bahwa protabilitas perusahaan meningkat dan strategi manajemen yang dijalakan berdampak positif bagi perusahaan</t>
  </si>
  <si>
    <t>Financial Data and Ratio - Sep 2025</t>
  </si>
  <si>
    <t>No.</t>
  </si>
  <si>
    <t>Sector</t>
  </si>
  <si>
    <t>Sub Industry Code</t>
  </si>
  <si>
    <t>Code</t>
  </si>
  <si>
    <t>Stock Name</t>
  </si>
  <si>
    <t>Sharia</t>
  </si>
  <si>
    <t>FS Date</t>
  </si>
  <si>
    <t>Fiscal Year End</t>
  </si>
  <si>
    <t>Type of FS</t>
  </si>
  <si>
    <t>Auditor's Opinion</t>
  </si>
  <si>
    <t>billion IDR</t>
  </si>
  <si>
    <t>Profit for the Period</t>
  </si>
  <si>
    <t>Profit attr.to owner's</t>
  </si>
  <si>
    <t>Trailing</t>
  </si>
  <si>
    <t>Assets, b.IDR</t>
  </si>
  <si>
    <t>Liabilities, b.IDR</t>
  </si>
  <si>
    <t>Equity, b.IDR</t>
  </si>
  <si>
    <t>Sales, b.IDR</t>
  </si>
  <si>
    <t>EBT, b.IDR</t>
  </si>
  <si>
    <t>EPS, IDR</t>
  </si>
  <si>
    <t>Book Value, IDR</t>
  </si>
  <si>
    <t>P/E Ratio, x</t>
  </si>
  <si>
    <t>Price to BV, x</t>
  </si>
  <si>
    <t>D/E Ratio, x</t>
  </si>
  <si>
    <t>ROA, %</t>
  </si>
  <si>
    <t>ROE, %</t>
  </si>
  <si>
    <t>NPM, %</t>
  </si>
  <si>
    <t>Energy</t>
  </si>
  <si>
    <t>A121</t>
  </si>
  <si>
    <t>Coal Production</t>
  </si>
  <si>
    <t>AADI</t>
  </si>
  <si>
    <t>PT Adaro Andalan Indonesia Tbk</t>
  </si>
  <si>
    <t>S</t>
  </si>
  <si>
    <t>06/30/2025</t>
  </si>
  <si>
    <t>Dec</t>
  </si>
  <si>
    <t>LR</t>
  </si>
  <si>
    <t/>
  </si>
  <si>
    <t>ABMM</t>
  </si>
  <si>
    <t>ABM Investama Tbk</t>
  </si>
  <si>
    <t>U</t>
  </si>
  <si>
    <t>ADMR</t>
  </si>
  <si>
    <t>Adaro Minerals Indonesia Tbk</t>
  </si>
  <si>
    <t>WTM</t>
  </si>
  <si>
    <t>ADRO</t>
  </si>
  <si>
    <t>Alamtri Resources Indonesia Tbk</t>
  </si>
  <si>
    <t>AIMS</t>
  </si>
  <si>
    <t>PT Artha Mahiya Investama Tbk</t>
  </si>
  <si>
    <t>-</t>
  </si>
  <si>
    <t>A112</t>
  </si>
  <si>
    <t>Oil &amp; Gas Storage &amp; Distribution</t>
  </si>
  <si>
    <t>AKRA</t>
  </si>
  <si>
    <t>AKR Corporindo Tbk.</t>
  </si>
  <si>
    <t>A122</t>
  </si>
  <si>
    <t>Coal Distribution</t>
  </si>
  <si>
    <t>ALII</t>
  </si>
  <si>
    <t>PT Ancara Logistics Indonesia Tbk</t>
  </si>
  <si>
    <t>A</t>
  </si>
  <si>
    <t>A131</t>
  </si>
  <si>
    <t>Oil &amp; Gas Drilling Service</t>
  </si>
  <si>
    <t>APEX</t>
  </si>
  <si>
    <t>Apexindo Pratama Duta Tbk</t>
  </si>
  <si>
    <t>ARII</t>
  </si>
  <si>
    <t>Atlas Resources Tbk</t>
  </si>
  <si>
    <t>A132</t>
  </si>
  <si>
    <t>Oil, Gas &amp; Coal Equipment &amp; Services</t>
  </si>
  <si>
    <t>ARTI</t>
  </si>
  <si>
    <t>Ratu Prabu Energi Tbk</t>
  </si>
  <si>
    <t>ATLA</t>
  </si>
  <si>
    <t>PT Atlantis Subsea Indonesia Tbk</t>
  </si>
  <si>
    <t>BBRM</t>
  </si>
  <si>
    <t>Pelayaran Nasional Bina Buana Raya Tbk</t>
  </si>
  <si>
    <t>BESS</t>
  </si>
  <si>
    <t>Batulicin Nusantara Maritim Tbk</t>
  </si>
  <si>
    <t>BIPI</t>
  </si>
  <si>
    <t>Astrindo Nusantara Infrastruktur Tbk</t>
  </si>
  <si>
    <t>BOAT</t>
  </si>
  <si>
    <t>PT Newport Marine Services Tbk</t>
  </si>
  <si>
    <t>BOSS</t>
  </si>
  <si>
    <t>Borneo Olah Sarana Sukses Tbk</t>
  </si>
  <si>
    <t>09/30/2023</t>
  </si>
  <si>
    <t>BSML</t>
  </si>
  <si>
    <t>Bintang Samudera Mandiri Lines Tbk</t>
  </si>
  <si>
    <t>BSSR</t>
  </si>
  <si>
    <t>Baramulti Suksessarana Tbk</t>
  </si>
  <si>
    <t>BULL</t>
  </si>
  <si>
    <t>Buana Lintas Lautan Tbk</t>
  </si>
  <si>
    <t>BUMI</t>
  </si>
  <si>
    <t>Bumi Resources Tbk</t>
  </si>
  <si>
    <t>BYAN</t>
  </si>
  <si>
    <t>Bayan Resources Tbk</t>
  </si>
  <si>
    <t>CANI</t>
  </si>
  <si>
    <t>Capitol Nusantara Indonesia Tbk</t>
  </si>
  <si>
    <t>Jun</t>
  </si>
  <si>
    <t>CBRE</t>
  </si>
  <si>
    <t>PT Cakra Buana Resources Energi Tbk</t>
  </si>
  <si>
    <t>CGAS</t>
  </si>
  <si>
    <t>PT Citra Nusantara Gemilang Tbk.</t>
  </si>
  <si>
    <t>CNKO</t>
  </si>
  <si>
    <t>Exploitasi Energi Indonesia Tbk</t>
  </si>
  <si>
    <t>COAL</t>
  </si>
  <si>
    <t>PT Black Diamond Resources Tbk</t>
  </si>
  <si>
    <t>CUAN</t>
  </si>
  <si>
    <t>PT Petrindo Jaya Kreasi Tbk</t>
  </si>
  <si>
    <t>DEWA</t>
  </si>
  <si>
    <t>Darma Henwa Tbk</t>
  </si>
  <si>
    <t>DOID</t>
  </si>
  <si>
    <t>Delta Dunia Makmur Tbk</t>
  </si>
  <si>
    <t>DSSA</t>
  </si>
  <si>
    <t>Dian Swastatika Sentosa Tbk</t>
  </si>
  <si>
    <t>DWGL</t>
  </si>
  <si>
    <t>Dwi Guna Laksana Tbk</t>
  </si>
  <si>
    <t>ELSA</t>
  </si>
  <si>
    <t>Elnusa Tbk</t>
  </si>
  <si>
    <t>A111</t>
  </si>
  <si>
    <t>Oil &amp; Gas Production &amp; Refinery</t>
  </si>
  <si>
    <t>ENRG</t>
  </si>
  <si>
    <t>Energi Mega Persada Tbk</t>
  </si>
  <si>
    <t>FIRE</t>
  </si>
  <si>
    <t>Alfa Energi Investama Tbk</t>
  </si>
  <si>
    <t>GEMS</t>
  </si>
  <si>
    <t>Golden Energy Mines Tbk</t>
  </si>
  <si>
    <t>GTBO</t>
  </si>
  <si>
    <t>Garda Tujuh Buana Tbk</t>
  </si>
  <si>
    <t>GTSI</t>
  </si>
  <si>
    <t>GTS Internasional Tbk</t>
  </si>
  <si>
    <t>HILL</t>
  </si>
  <si>
    <t>PT Hillcon Tbk</t>
  </si>
  <si>
    <t>HITS</t>
  </si>
  <si>
    <t>Humpuss Intermoda Transportasi Tbk</t>
  </si>
  <si>
    <t>HRUM</t>
  </si>
  <si>
    <t>Harum Energy Tbk</t>
  </si>
  <si>
    <t>HUMI</t>
  </si>
  <si>
    <t>PT Humpuss Maritim Internasional Tbk</t>
  </si>
  <si>
    <t>IATA</t>
  </si>
  <si>
    <t>MNC Energy Investments Tbk</t>
  </si>
  <si>
    <t>INDY</t>
  </si>
  <si>
    <t>Indika Energy Tbk</t>
  </si>
  <si>
    <t>INPS</t>
  </si>
  <si>
    <t>Indah Prakasa Sentosa Tbk</t>
  </si>
  <si>
    <t>ITMA</t>
  </si>
  <si>
    <t>SUMBER ENERGI ANDALAN Tbk</t>
  </si>
  <si>
    <t>ITMG</t>
  </si>
  <si>
    <t>Indo Tambangraya Megah Tbk</t>
  </si>
  <si>
    <t>KKGI</t>
  </si>
  <si>
    <t>Resource Alam Indonesia Tbk</t>
  </si>
  <si>
    <t>KOPI</t>
  </si>
  <si>
    <t>Mitra Energi Persada Tbk</t>
  </si>
  <si>
    <t>LEAD</t>
  </si>
  <si>
    <t>Logindo Samudramakmur Tbk</t>
  </si>
  <si>
    <t>MAHA</t>
  </si>
  <si>
    <t>PT Mandiri Herindo Adiperkasa Tbk</t>
  </si>
  <si>
    <t>MBAP</t>
  </si>
  <si>
    <t>Mitrabara Adiperdana Tbk</t>
  </si>
  <si>
    <t>MBSS</t>
  </si>
  <si>
    <t>Mitrabahtera Segara Sejati Tbk</t>
  </si>
  <si>
    <t>MCOL</t>
  </si>
  <si>
    <t>Prima Andalan Mandiri Tbk</t>
  </si>
  <si>
    <t>MEDC</t>
  </si>
  <si>
    <t>Medco Energi Internasional Tbk</t>
  </si>
  <si>
    <t>MKAP</t>
  </si>
  <si>
    <t>PT Multikarya Asia Pasifik Raya Tbk</t>
  </si>
  <si>
    <t>MTFN</t>
  </si>
  <si>
    <t>Capitalinc Investment Tbk</t>
  </si>
  <si>
    <t>MYOH</t>
  </si>
  <si>
    <t>Samindo Resources Tbk</t>
  </si>
  <si>
    <t>PGAS</t>
  </si>
  <si>
    <t>Perusahaan Gas Negara Tbk</t>
  </si>
  <si>
    <t>PKPK</t>
  </si>
  <si>
    <t>Perdana Karya Perkasa Tbk</t>
  </si>
  <si>
    <t>PSAT</t>
  </si>
  <si>
    <t>PT Pancaran Samudera Transport Tbk</t>
  </si>
  <si>
    <t>PSSI</t>
  </si>
  <si>
    <t>Pelita Samudera Shipping Tbk</t>
  </si>
  <si>
    <t>PTBA</t>
  </si>
  <si>
    <t>Bukit Asam Tbk</t>
  </si>
  <si>
    <t>PTIS</t>
  </si>
  <si>
    <t>Indo Straits Tbk</t>
  </si>
  <si>
    <t>PTRO</t>
  </si>
  <si>
    <t>Petrosea Tbk</t>
  </si>
  <si>
    <t>RAJA</t>
  </si>
  <si>
    <t>Rukun Raharja Tbk</t>
  </si>
  <si>
    <t>RATU</t>
  </si>
  <si>
    <t>PT Raharja Energi Cepu Tbk</t>
  </si>
  <si>
    <t>RGAS</t>
  </si>
  <si>
    <t>PT Kian Santang Muliatama Tbk.</t>
  </si>
  <si>
    <t>RIGS</t>
  </si>
  <si>
    <t>Rig Tenders Indonesia Tbk</t>
  </si>
  <si>
    <t>RMKE</t>
  </si>
  <si>
    <t>RMK Energy Tbk</t>
  </si>
  <si>
    <t>RMKO</t>
  </si>
  <si>
    <t>PT Royaltama Mulia Kontraktorindo Tbk.</t>
  </si>
  <si>
    <t>RUIS</t>
  </si>
  <si>
    <t>Radiant Utama Interinsco Tbk</t>
  </si>
  <si>
    <t>SGER</t>
  </si>
  <si>
    <t>Sumber Global Energy Tbk</t>
  </si>
  <si>
    <t>SHIP</t>
  </si>
  <si>
    <t>Sillo Maritime Perdana Tbk</t>
  </si>
  <si>
    <t>SICO</t>
  </si>
  <si>
    <t>PT Sigma Energy Compressindo Tbk</t>
  </si>
  <si>
    <t>SMMT</t>
  </si>
  <si>
    <t>Golden Eagle Energy Tbk</t>
  </si>
  <si>
    <t>SMRU</t>
  </si>
  <si>
    <t>SMR Utama Tbk</t>
  </si>
  <si>
    <t>SOCI</t>
  </si>
  <si>
    <t>Soechi Lines Tbk</t>
  </si>
  <si>
    <t>SUGI</t>
  </si>
  <si>
    <t>Sugih Energy Tbk</t>
  </si>
  <si>
    <t>09/30/2018</t>
  </si>
  <si>
    <t>SUNI</t>
  </si>
  <si>
    <t>PT Sunindo Pratama Tbk</t>
  </si>
  <si>
    <t>SURE</t>
  </si>
  <si>
    <t>Super Energy Tbk</t>
  </si>
  <si>
    <t>TAMU</t>
  </si>
  <si>
    <t>PT Pelayaran Tamarin Samudra Tbk.</t>
  </si>
  <si>
    <t>TCPI</t>
  </si>
  <si>
    <t>Transcoal Pacific Tbk</t>
  </si>
  <si>
    <t>TEBE</t>
  </si>
  <si>
    <t>Dana Brata Luhur Tbk</t>
  </si>
  <si>
    <t>TOBA</t>
  </si>
  <si>
    <t>TBS Energi Utama Tbk</t>
  </si>
  <si>
    <t>TPMA</t>
  </si>
  <si>
    <t>Trans Power Marine Tbk</t>
  </si>
  <si>
    <t>TRAM</t>
  </si>
  <si>
    <t>Trada Alam Minera Tbk</t>
  </si>
  <si>
    <t>12/31/2020</t>
  </si>
  <si>
    <t>WDP</t>
  </si>
  <si>
    <t>UNIQ</t>
  </si>
  <si>
    <t>PT Ulima Nitra Tbk</t>
  </si>
  <si>
    <t>WINS</t>
  </si>
  <si>
    <t>Wintermar Offshore Marine Tbk</t>
  </si>
  <si>
    <t>WOWS</t>
  </si>
  <si>
    <t>PT Ginting Jaya Energi Tbk</t>
  </si>
  <si>
    <t>A211</t>
  </si>
  <si>
    <t>Alternative Energy Equipment</t>
  </si>
  <si>
    <t>JSKY</t>
  </si>
  <si>
    <t>Sky Energy Indonesia Tbk</t>
  </si>
  <si>
    <t>12/31/2022</t>
  </si>
  <si>
    <t>SEMA</t>
  </si>
  <si>
    <t>Semacom Integrated Tbk</t>
  </si>
  <si>
    <t>Basic Materials</t>
  </si>
  <si>
    <t>B111</t>
  </si>
  <si>
    <t>Basic Chemicals</t>
  </si>
  <si>
    <t>ADMG</t>
  </si>
  <si>
    <t>Polychem Indonesia Tbk</t>
  </si>
  <si>
    <t>AGII</t>
  </si>
  <si>
    <t>Aneka Gas Industri Tbk</t>
  </si>
  <si>
    <t>B113</t>
  </si>
  <si>
    <t>Specialty Chemicals</t>
  </si>
  <si>
    <t>AKPI</t>
  </si>
  <si>
    <t>Argha Karya Prima Industry Tbk</t>
  </si>
  <si>
    <t>B131</t>
  </si>
  <si>
    <t>Containers &amp; Packaging</t>
  </si>
  <si>
    <t>ALDO</t>
  </si>
  <si>
    <t>Alkindo Naratama Tbk</t>
  </si>
  <si>
    <t>B141</t>
  </si>
  <si>
    <t>Aluminum</t>
  </si>
  <si>
    <t>ALKA</t>
  </si>
  <si>
    <t>Alakasa Industrindo Tbk</t>
  </si>
  <si>
    <t>ALMI</t>
  </si>
  <si>
    <t>Alumindo Light Metal Industry Tbk</t>
  </si>
  <si>
    <t>B142</t>
  </si>
  <si>
    <t>Cooper</t>
  </si>
  <si>
    <t>AMMN</t>
  </si>
  <si>
    <t>PT Amman Mineral Internasional Tbk.</t>
  </si>
  <si>
    <t>B146</t>
  </si>
  <si>
    <t>Diversified Metals &amp; Minerals</t>
  </si>
  <si>
    <t>ANTM</t>
  </si>
  <si>
    <t>Aneka Tambang Tbk.</t>
  </si>
  <si>
    <t>APLI</t>
  </si>
  <si>
    <t>Asiaplast Industries Tbk</t>
  </si>
  <si>
    <t>B143</t>
  </si>
  <si>
    <t>Gold</t>
  </si>
  <si>
    <t>ARCI</t>
  </si>
  <si>
    <t>Archi Indonesia Tbk</t>
  </si>
  <si>
    <t>ASPR</t>
  </si>
  <si>
    <t>PT Asia Pramulia Tbk</t>
  </si>
  <si>
    <t>AVIA</t>
  </si>
  <si>
    <t>Avia Avian Tbk</t>
  </si>
  <si>
    <t>B121</t>
  </si>
  <si>
    <t>Construction Materials</t>
  </si>
  <si>
    <t>AYLS</t>
  </si>
  <si>
    <t>Agro Yasa Lestari Tbk</t>
  </si>
  <si>
    <t>B144</t>
  </si>
  <si>
    <t>Iron &amp; Steel</t>
  </si>
  <si>
    <t>BAJA</t>
  </si>
  <si>
    <t>Saranacentral Bajatama Tbk</t>
  </si>
  <si>
    <t>BATR</t>
  </si>
  <si>
    <t>PT Benteng Api Technic Tbk</t>
  </si>
  <si>
    <t>BEBS</t>
  </si>
  <si>
    <t>Berkah Beton Sadaya Tbk</t>
  </si>
  <si>
    <t>09/30/2024</t>
  </si>
  <si>
    <t>BLES</t>
  </si>
  <si>
    <t>PT Superior Prima Sukses Tbk</t>
  </si>
  <si>
    <t>BMSR</t>
  </si>
  <si>
    <t>Bintang Mitra Semestaraya Tbk</t>
  </si>
  <si>
    <t>BRMS</t>
  </si>
  <si>
    <t>Bumi Resources Minerals Tbk</t>
  </si>
  <si>
    <t>BRNA</t>
  </si>
  <si>
    <t>Berlina Tbk</t>
  </si>
  <si>
    <t>BRPT</t>
  </si>
  <si>
    <t>Barito Pacific Tbk</t>
  </si>
  <si>
    <t>BTON</t>
  </si>
  <si>
    <t>Betonjaya Manunggal Tbk</t>
  </si>
  <si>
    <t>CHEM</t>
  </si>
  <si>
    <t>PT Chemstar Indonesia Tbk</t>
  </si>
  <si>
    <t>CITA</t>
  </si>
  <si>
    <t>Cita Mineral Investindo Tbk</t>
  </si>
  <si>
    <t>CLPI</t>
  </si>
  <si>
    <t>Colorpak Indonesia Tbk</t>
  </si>
  <si>
    <t>CMNT</t>
  </si>
  <si>
    <t>Cemindo Gemilang Tbk</t>
  </si>
  <si>
    <t>CTBN</t>
  </si>
  <si>
    <t>Citra Tubindo Tbk</t>
  </si>
  <si>
    <t>DAAZ</t>
  </si>
  <si>
    <t>PT Daaz Bara Lestari Tbk</t>
  </si>
  <si>
    <t>B112</t>
  </si>
  <si>
    <t>Agricultural Chemicals</t>
  </si>
  <si>
    <t>DGWG</t>
  </si>
  <si>
    <t>PT Delta Giri Wacana Tbk</t>
  </si>
  <si>
    <t>DKFT</t>
  </si>
  <si>
    <t>Central Omega Resources Tbk</t>
  </si>
  <si>
    <t>DPNS</t>
  </si>
  <si>
    <t>Duta Pertiwi Nusantara Tbk</t>
  </si>
  <si>
    <t>EKAD</t>
  </si>
  <si>
    <t>Ekadharma International Tbk</t>
  </si>
  <si>
    <t>EMAS</t>
  </si>
  <si>
    <t>PT Merdeka Gold Resources Tbk</t>
  </si>
  <si>
    <t>03/31/2025</t>
  </si>
  <si>
    <t>EPAC</t>
  </si>
  <si>
    <t>Megalestari Epack Sentosaraya Tbk</t>
  </si>
  <si>
    <t>ESIP</t>
  </si>
  <si>
    <t>Sinergi Inti Plastindo Tbk</t>
  </si>
  <si>
    <t>ESSA</t>
  </si>
  <si>
    <t>Surya Esa Perkasa Tbk</t>
  </si>
  <si>
    <t>ETWA</t>
  </si>
  <si>
    <t>Eterindo Wahanatama Tbk</t>
  </si>
  <si>
    <t>FASW</t>
  </si>
  <si>
    <t>Fajar Surya Wisesa Tbk</t>
  </si>
  <si>
    <t>FPNI</t>
  </si>
  <si>
    <t>Lotte Chemical Titan Tbk</t>
  </si>
  <si>
    <t>B151</t>
  </si>
  <si>
    <t>Timber</t>
  </si>
  <si>
    <t>FWCT</t>
  </si>
  <si>
    <t>PT Wijaya Cahaya Timber Tbk</t>
  </si>
  <si>
    <t>GDST</t>
  </si>
  <si>
    <t>Gunawan Dianjaya Steel Tbk</t>
  </si>
  <si>
    <t>GGRP</t>
  </si>
  <si>
    <t>Gunung Raja Paksi Tbk</t>
  </si>
  <si>
    <t>HKMU</t>
  </si>
  <si>
    <t>HK Metals Utama Tbk</t>
  </si>
  <si>
    <t>03/31/2023</t>
  </si>
  <si>
    <t>IFII</t>
  </si>
  <si>
    <t>Indonesia Fibreboard Industry Tbk</t>
  </si>
  <si>
    <t>IFSH</t>
  </si>
  <si>
    <t>Ifishdeco Tbk</t>
  </si>
  <si>
    <t>IGAR</t>
  </si>
  <si>
    <t>Champion Pacific Indonesia Tbk</t>
  </si>
  <si>
    <t>INAI</t>
  </si>
  <si>
    <t>Indal Aluminium Industry Tbk</t>
  </si>
  <si>
    <t>B153</t>
  </si>
  <si>
    <t>Diversified Forest</t>
  </si>
  <si>
    <t>INCF</t>
  </si>
  <si>
    <t>PT Indo Komoditi Korpora Tbk</t>
  </si>
  <si>
    <t>INCI</t>
  </si>
  <si>
    <t>Intanwijaya Internasional Tbk</t>
  </si>
  <si>
    <t>INCO</t>
  </si>
  <si>
    <t>Vale Indonesia Tbk</t>
  </si>
  <si>
    <t>B152</t>
  </si>
  <si>
    <t>Paper</t>
  </si>
  <si>
    <t>INKP</t>
  </si>
  <si>
    <t>Indah Kiat Pulp &amp; Paper Tbk</t>
  </si>
  <si>
    <t>INRU</t>
  </si>
  <si>
    <t>Toba Pulp Lestari Tbk.</t>
  </si>
  <si>
    <t>INTD</t>
  </si>
  <si>
    <t>Inter Delta Tbk</t>
  </si>
  <si>
    <t>INTP</t>
  </si>
  <si>
    <t>Indocement Tunggal Prakarsa Tbk</t>
  </si>
  <si>
    <t>IPOL</t>
  </si>
  <si>
    <t>Indopoly Swakarsa Industry Tbk</t>
  </si>
  <si>
    <t>ISSP</t>
  </si>
  <si>
    <t>Steel Pipe Industry of Indonesia Tbk</t>
  </si>
  <si>
    <t>KAYU</t>
  </si>
  <si>
    <t>Darmi Bersaudara Tbk</t>
  </si>
  <si>
    <t>12/31/2023</t>
  </si>
  <si>
    <t>TMP</t>
  </si>
  <si>
    <t>KBRI</t>
  </si>
  <si>
    <t>Kertas Basuki Rachmat Indonesia Tbk</t>
  </si>
  <si>
    <t>09/30/2019</t>
  </si>
  <si>
    <t>KDSI</t>
  </si>
  <si>
    <t>Kedawung Setia Industrial Tbk</t>
  </si>
  <si>
    <t>KKES</t>
  </si>
  <si>
    <t>PT Kusuma Kemindo Sentosa Tbk</t>
  </si>
  <si>
    <t>KMTR</t>
  </si>
  <si>
    <t>PT Kirana Megatara Tbk.</t>
  </si>
  <si>
    <t>KRAS</t>
  </si>
  <si>
    <t>Krakatau Steel (Persero) Tbk</t>
  </si>
  <si>
    <t>LMSH</t>
  </si>
  <si>
    <t>Lionmesh Prima Tbk</t>
  </si>
  <si>
    <t>LTLS</t>
  </si>
  <si>
    <t>Lautan Luas Tbk</t>
  </si>
  <si>
    <t>MBMA</t>
  </si>
  <si>
    <t>PT Merdeka Battery Materials Tbk</t>
  </si>
  <si>
    <t>MDKA</t>
  </si>
  <si>
    <t>Merdeka Copper Gold Tbk.</t>
  </si>
  <si>
    <t>MDKI</t>
  </si>
  <si>
    <t>Emdeki Utama Tbk</t>
  </si>
  <si>
    <t>MINE</t>
  </si>
  <si>
    <t>PT Sinar Terang Mandiri Tbk</t>
  </si>
  <si>
    <t>MOLI</t>
  </si>
  <si>
    <t>Madusari Murni Indah Tbk</t>
  </si>
  <si>
    <t>NCKL</t>
  </si>
  <si>
    <t>PT Trimegah Bangun Persada Tbk.</t>
  </si>
  <si>
    <t>NICE</t>
  </si>
  <si>
    <t>PT Adhi Kartiko Pratama Tbk</t>
  </si>
  <si>
    <t>NICL</t>
  </si>
  <si>
    <t>PAM Mineral Tbk</t>
  </si>
  <si>
    <t>NIKL</t>
  </si>
  <si>
    <t>Pelat Timah Nusantara Tbk</t>
  </si>
  <si>
    <t>NPGF</t>
  </si>
  <si>
    <t>Nusa Palapa Gemilang Tbk</t>
  </si>
  <si>
    <t>OBMD</t>
  </si>
  <si>
    <t>OBM Drilchem Tbk</t>
  </si>
  <si>
    <t>TW</t>
  </si>
  <si>
    <t>OKAS</t>
  </si>
  <si>
    <t>Ancora Indonesia Resources Tbk</t>
  </si>
  <si>
    <t>OPMS</t>
  </si>
  <si>
    <t>Optima Prima Metal Sinergi Tbk</t>
  </si>
  <si>
    <t>PACK</t>
  </si>
  <si>
    <t>PT Solusi Kemasan Digital Tbk</t>
  </si>
  <si>
    <t>PBID</t>
  </si>
  <si>
    <t>Panca Budi Idaman Tbk</t>
  </si>
  <si>
    <t>PDPP</t>
  </si>
  <si>
    <t>PT Primadaya Plastisindo Tbk</t>
  </si>
  <si>
    <t>PICO</t>
  </si>
  <si>
    <t>Pelangi Indah Canindo Tbk</t>
  </si>
  <si>
    <t>PPRI</t>
  </si>
  <si>
    <t>PT Paperocks Indonesia Tbk.</t>
  </si>
  <si>
    <t>PSAB</t>
  </si>
  <si>
    <t>J Resources Asia Pasifik Tbk</t>
  </si>
  <si>
    <t>PTMR</t>
  </si>
  <si>
    <t>PT Master Print Tbk</t>
  </si>
  <si>
    <t>PURE</t>
  </si>
  <si>
    <t>Trinitan Metals and Minerals Tbk</t>
  </si>
  <si>
    <t>SAMF</t>
  </si>
  <si>
    <t>Saraswanti Anugerah Makmur Tbk</t>
  </si>
  <si>
    <t>SBMA</t>
  </si>
  <si>
    <t>Surya Biru Murni Acetylene Tbk</t>
  </si>
  <si>
    <t>SIMA</t>
  </si>
  <si>
    <t>Siwani Makmur Tbk</t>
  </si>
  <si>
    <t>SMBR</t>
  </si>
  <si>
    <t>Semen Baturaja (Persero) Tbk</t>
  </si>
  <si>
    <t>SMCB</t>
  </si>
  <si>
    <t>Solusi Bangun Indonesia Tbk</t>
  </si>
  <si>
    <t>SMGA</t>
  </si>
  <si>
    <t>PT Sumber Mineral Global Abadi Tbk</t>
  </si>
  <si>
    <t>SMGR</t>
  </si>
  <si>
    <t>Semen Indonesia (Persero) Tbk</t>
  </si>
  <si>
    <t>SMKL</t>
  </si>
  <si>
    <t>Satyamitra Kemas Lestari Tbk</t>
  </si>
  <si>
    <t>SMLE</t>
  </si>
  <si>
    <t>PT Sinergi Multi Lestarindo Tbk</t>
  </si>
  <si>
    <t>SOLA</t>
  </si>
  <si>
    <t>PT Xolare RCR Energy Tbk</t>
  </si>
  <si>
    <t>SPMA</t>
  </si>
  <si>
    <t>Suparma Tbk</t>
  </si>
  <si>
    <t>SQMI</t>
  </si>
  <si>
    <t>Wilton Makmur Indonesia Tbk</t>
  </si>
  <si>
    <t>SRSN</t>
  </si>
  <si>
    <t>Indo Acidatama Tbk</t>
  </si>
  <si>
    <t>SULI</t>
  </si>
  <si>
    <t>SLJ Global Tbk</t>
  </si>
  <si>
    <t>SWAT</t>
  </si>
  <si>
    <t>Sriwahana Adityakarta Tbk</t>
  </si>
  <si>
    <t>TALF</t>
  </si>
  <si>
    <t>Tunas Alfin Tbk (Share A)</t>
  </si>
  <si>
    <t>TBMS</t>
  </si>
  <si>
    <t>Tembaga Mulia Semanan Tbk</t>
  </si>
  <si>
    <t>TDPM</t>
  </si>
  <si>
    <t>PT Tianrong Chemicals Industry Tbk</t>
  </si>
  <si>
    <t>TINS</t>
  </si>
  <si>
    <t>Timah Tbk</t>
  </si>
  <si>
    <t>TIRT</t>
  </si>
  <si>
    <t>Tirta Mahakam Resources Tbk</t>
  </si>
  <si>
    <t>TKIM</t>
  </si>
  <si>
    <t>Pabrik Kertas Tjiwi Kimia Tbk</t>
  </si>
  <si>
    <t>TPIA</t>
  </si>
  <si>
    <t>PT Chandra Asri Pacific Tbk</t>
  </si>
  <si>
    <t>TRST</t>
  </si>
  <si>
    <t>Trias Sentosa Tbk</t>
  </si>
  <si>
    <t>UNIC</t>
  </si>
  <si>
    <t>Unggul Indah Cahaya Tbk</t>
  </si>
  <si>
    <t>WSBP</t>
  </si>
  <si>
    <t>Waskita Beton Precast Tbk</t>
  </si>
  <si>
    <t>WTON</t>
  </si>
  <si>
    <t>Wijaya Karya Beton Tbk</t>
  </si>
  <si>
    <t>YPAS</t>
  </si>
  <si>
    <t>Yanaprima Hastapersada Tbk</t>
  </si>
  <si>
    <t>ZINC</t>
  </si>
  <si>
    <t>Kapuas Prima Coal Tbk</t>
  </si>
  <si>
    <t>Industrials</t>
  </si>
  <si>
    <t>C121</t>
  </si>
  <si>
    <t>Building Products &amp; Fixtures</t>
  </si>
  <si>
    <t>AMFG</t>
  </si>
  <si>
    <t>Asahimas Flat Glass Tbk</t>
  </si>
  <si>
    <t>C143</t>
  </si>
  <si>
    <t>Industrial Machinery &amp; Components</t>
  </si>
  <si>
    <t>AMIN</t>
  </si>
  <si>
    <t>PT Ateliers Mecaniques D Indonesie Tbk.</t>
  </si>
  <si>
    <t>07/31/2025</t>
  </si>
  <si>
    <t>Jan</t>
  </si>
  <si>
    <t>APII</t>
  </si>
  <si>
    <t>PT Arita Prima Indonesia Tbk.</t>
  </si>
  <si>
    <t>ARKA</t>
  </si>
  <si>
    <t>PT Arkha Jayanti Persada Tbk.</t>
  </si>
  <si>
    <t>ARNA</t>
  </si>
  <si>
    <t>Arwana Citramulia Tbk</t>
  </si>
  <si>
    <t>CAKK</t>
  </si>
  <si>
    <t>Cahayaputra Asa Keramik Tbk</t>
  </si>
  <si>
    <t>C131</t>
  </si>
  <si>
    <t>Electrical Components &amp; Equipment</t>
  </si>
  <si>
    <t>CCSI</t>
  </si>
  <si>
    <t>Communication Cable Systems Indonesia Tbk</t>
  </si>
  <si>
    <t>CTTH</t>
  </si>
  <si>
    <t>Citatah Tbk</t>
  </si>
  <si>
    <t>GPSO</t>
  </si>
  <si>
    <t>Geoprima Solusi Tbk</t>
  </si>
  <si>
    <t>C141</t>
  </si>
  <si>
    <t>Construction Machinery &amp; Heavy Vehicles</t>
  </si>
  <si>
    <t>HEXA</t>
  </si>
  <si>
    <t>Hexindo Adiperkasa Tbk</t>
  </si>
  <si>
    <t>Mar</t>
  </si>
  <si>
    <t>HOPE</t>
  </si>
  <si>
    <t>Harapan Duta Pertiwi Tbk</t>
  </si>
  <si>
    <t>IBFN</t>
  </si>
  <si>
    <t>Intan Baruprana Finance Tbk</t>
  </si>
  <si>
    <t>IKAI</t>
  </si>
  <si>
    <t>Intikeramik Alamasri Industri Tbk</t>
  </si>
  <si>
    <t>IKBI</t>
  </si>
  <si>
    <t>Sumi Indo Kabel Tbk</t>
  </si>
  <si>
    <t>IMPC</t>
  </si>
  <si>
    <t>Impack Pratama Industri Tbk</t>
  </si>
  <si>
    <t>INTA</t>
  </si>
  <si>
    <t>Intraco Penta Tbk</t>
  </si>
  <si>
    <t>JECC</t>
  </si>
  <si>
    <t>Jembo Cable Company Tbk</t>
  </si>
  <si>
    <t>KBLI</t>
  </si>
  <si>
    <t>KMI Wire &amp; Cable Tbk</t>
  </si>
  <si>
    <t>KBLM</t>
  </si>
  <si>
    <t>Kabelindo Murni Tbk</t>
  </si>
  <si>
    <t>KIAS</t>
  </si>
  <si>
    <t>Keramika Indonesia Assosiasi Tbk</t>
  </si>
  <si>
    <t>KOBX</t>
  </si>
  <si>
    <t>Kobexindo Tractors Tbk</t>
  </si>
  <si>
    <t>KOIN</t>
  </si>
  <si>
    <t>Kokoh Inti Arebama Tbk</t>
  </si>
  <si>
    <t>KUAS</t>
  </si>
  <si>
    <t>Ace Oldfields Tbk</t>
  </si>
  <si>
    <t>LABA</t>
  </si>
  <si>
    <t>PT Green Power Group Tbk</t>
  </si>
  <si>
    <t>MARK</t>
  </si>
  <si>
    <t>PT Mark Dynamics Indonesia Tbk.</t>
  </si>
  <si>
    <t>MLIA</t>
  </si>
  <si>
    <t>Mulia Industrindo Tbk</t>
  </si>
  <si>
    <t>NTBK</t>
  </si>
  <si>
    <t>Nusatama Berkah Tbk</t>
  </si>
  <si>
    <t>PIPA</t>
  </si>
  <si>
    <t>PT Multi Makmur Lemindo Tbk.</t>
  </si>
  <si>
    <t>PTMP</t>
  </si>
  <si>
    <t>PT Mitra Pack Tbk.</t>
  </si>
  <si>
    <t>SCCO</t>
  </si>
  <si>
    <t>Supreme Cable Manufacturing &amp; Commerce Tbk</t>
  </si>
  <si>
    <t>SINI</t>
  </si>
  <si>
    <t>Singaraja Putra Tbk</t>
  </si>
  <si>
    <t>SKRN</t>
  </si>
  <si>
    <t>Superkrane Mitra Utama Tbk</t>
  </si>
  <si>
    <t>SMIL</t>
  </si>
  <si>
    <t>PT Sarana Mitra Luas Tbk</t>
  </si>
  <si>
    <t>SPTO</t>
  </si>
  <si>
    <t>Surya Pertiwi Tbk</t>
  </si>
  <si>
    <t>TOTO</t>
  </si>
  <si>
    <t>Surya Toto Indonesia Tbk</t>
  </si>
  <si>
    <t>UNTR</t>
  </si>
  <si>
    <t>United Tractors Tbk</t>
  </si>
  <si>
    <t>VOKS</t>
  </si>
  <si>
    <t>Voksel Electric Tbk</t>
  </si>
  <si>
    <t>WIDI</t>
  </si>
  <si>
    <t>PT Widiant Jaya Krenindo Tbk.</t>
  </si>
  <si>
    <t>C224</t>
  </si>
  <si>
    <t>Business Support Services</t>
  </si>
  <si>
    <t>ASGR</t>
  </si>
  <si>
    <t>Astra Graphia Tbk</t>
  </si>
  <si>
    <t>C223</t>
  </si>
  <si>
    <t>Office Supplies</t>
  </si>
  <si>
    <t>BINO</t>
  </si>
  <si>
    <t>Perma Plasindo Tbk</t>
  </si>
  <si>
    <t>BLUE</t>
  </si>
  <si>
    <t>Berkah Prima Perkasa Tbk</t>
  </si>
  <si>
    <t>C232</t>
  </si>
  <si>
    <t>Research &amp; Consulting Services</t>
  </si>
  <si>
    <t>CRSN</t>
  </si>
  <si>
    <t>PT Carsurin Tbk</t>
  </si>
  <si>
    <t>DYAN</t>
  </si>
  <si>
    <t>Dyandra Media International Tbk</t>
  </si>
  <si>
    <t>C222</t>
  </si>
  <si>
    <t>Environmental &amp; Facilities Services</t>
  </si>
  <si>
    <t>HYGN</t>
  </si>
  <si>
    <t>PT Ecocare Indo Pasifik Tbk.</t>
  </si>
  <si>
    <t>ICON</t>
  </si>
  <si>
    <t>Island Concepts Indonesia Tbk</t>
  </si>
  <si>
    <t>INDX</t>
  </si>
  <si>
    <t>Tanah Laut Tbk</t>
  </si>
  <si>
    <t>C221</t>
  </si>
  <si>
    <t>Commercial Printing</t>
  </si>
  <si>
    <t>JTPE</t>
  </si>
  <si>
    <t>Jasuindo Tiga Perkasa Tbk</t>
  </si>
  <si>
    <t>C231</t>
  </si>
  <si>
    <t>Human Resource &amp; Employment Services</t>
  </si>
  <si>
    <t>KING</t>
  </si>
  <si>
    <t>PT Hoffmen Cleanindo Tbk</t>
  </si>
  <si>
    <t>KONI</t>
  </si>
  <si>
    <t>Perdana Bangun Pusaka Tbk</t>
  </si>
  <si>
    <t>LION</t>
  </si>
  <si>
    <t>Lion Metal Works Tbk</t>
  </si>
  <si>
    <t>MDRN</t>
  </si>
  <si>
    <t>Modern Internasional Tbk</t>
  </si>
  <si>
    <t>MFMI</t>
  </si>
  <si>
    <t>Multifiling Mitra Indonesia Tbk</t>
  </si>
  <si>
    <t>MHKI</t>
  </si>
  <si>
    <t>PT Multi Hanna Kreasindo Tbk</t>
  </si>
  <si>
    <t>MUTU</t>
  </si>
  <si>
    <t>PT Mutuagung Lestari Tbk</t>
  </si>
  <si>
    <t>C211</t>
  </si>
  <si>
    <t>Diversified Industrial Trading</t>
  </si>
  <si>
    <t>NAIK</t>
  </si>
  <si>
    <t>PT Adiwarna Anugerah Abadi Tbk</t>
  </si>
  <si>
    <t>PADA</t>
  </si>
  <si>
    <t>PT Personel Alih Daya Tbk</t>
  </si>
  <si>
    <t>SOSS</t>
  </si>
  <si>
    <t>Shield on Service Tbk</t>
  </si>
  <si>
    <t>TIRA</t>
  </si>
  <si>
    <t>Tira Austenite Tbk</t>
  </si>
  <si>
    <t>TRIL</t>
  </si>
  <si>
    <t>Triwira Insanlestari Tbk</t>
  </si>
  <si>
    <t>09/30/2021</t>
  </si>
  <si>
    <t>VISI</t>
  </si>
  <si>
    <t>PT Satu Visi Putra Tbk.</t>
  </si>
  <si>
    <t>C311</t>
  </si>
  <si>
    <t>Multi-sector Holdings</t>
  </si>
  <si>
    <t>ASII</t>
  </si>
  <si>
    <t>Astra International Tbk</t>
  </si>
  <si>
    <t>BHIT</t>
  </si>
  <si>
    <t>PT MNC Investama Tbk.</t>
  </si>
  <si>
    <t>BNBR</t>
  </si>
  <si>
    <t>Bakrie &amp; Brothers Tbk</t>
  </si>
  <si>
    <t>FOLK</t>
  </si>
  <si>
    <t>PT Multi Garam Utama Tbk.</t>
  </si>
  <si>
    <t>ZBRA</t>
  </si>
  <si>
    <t>Dosni Roha Indonesia Tbk</t>
  </si>
  <si>
    <t>Consumer Non-Cyclicals</t>
  </si>
  <si>
    <t>D113</t>
  </si>
  <si>
    <t>Supermarkets &amp; Convenience Store</t>
  </si>
  <si>
    <t>AMRT</t>
  </si>
  <si>
    <t>Sumber Alfaria Trijaya Tbk.</t>
  </si>
  <si>
    <t>D112</t>
  </si>
  <si>
    <t>Food Retail &amp; Distributors</t>
  </si>
  <si>
    <t>BUAH</t>
  </si>
  <si>
    <t>PT Segar Kumala Indonesia Tbk</t>
  </si>
  <si>
    <t>D111</t>
  </si>
  <si>
    <t>Drug Retail &amp; Distributors</t>
  </si>
  <si>
    <t>DAYA</t>
  </si>
  <si>
    <t>Duta Intidaya Tbk</t>
  </si>
  <si>
    <t>DMND</t>
  </si>
  <si>
    <t>Diamond Food Indonesia Tbk</t>
  </si>
  <si>
    <t>EPMT</t>
  </si>
  <si>
    <t>Enseval Putera Megatrading Tbk</t>
  </si>
  <si>
    <t>HERO</t>
  </si>
  <si>
    <t>PT DFI Retail Nusantara</t>
  </si>
  <si>
    <t>KMDS</t>
  </si>
  <si>
    <t>Kurniamitra Duta Sentosa Tbk</t>
  </si>
  <si>
    <t>LAPD</t>
  </si>
  <si>
    <t>Leyand International Tbk</t>
  </si>
  <si>
    <t>MIDI</t>
  </si>
  <si>
    <t>Midi Utama Indonesia Tbk</t>
  </si>
  <si>
    <t>MLPL</t>
  </si>
  <si>
    <t>Multipolar Tbk</t>
  </si>
  <si>
    <t>MPPA</t>
  </si>
  <si>
    <t>Matahari Putra Prima Tbk</t>
  </si>
  <si>
    <t>PCAR</t>
  </si>
  <si>
    <t>Prima Cakrawala Abadi Tbk</t>
  </si>
  <si>
    <t>RANC</t>
  </si>
  <si>
    <t>Supra Boga Lestari Tbk</t>
  </si>
  <si>
    <t>SDPC</t>
  </si>
  <si>
    <t>Millennium Pharmacon International Tbk</t>
  </si>
  <si>
    <t>WICO</t>
  </si>
  <si>
    <t>Wicaksana Overseas International Tbk</t>
  </si>
  <si>
    <t>D232</t>
  </si>
  <si>
    <t>Plantations &amp; Crops</t>
  </si>
  <si>
    <t>AALI</t>
  </si>
  <si>
    <t>Astra Agro Lestari Tbk</t>
  </si>
  <si>
    <t>D212</t>
  </si>
  <si>
    <t>Soft Drinks</t>
  </si>
  <si>
    <t>ADES</t>
  </si>
  <si>
    <t>Akasha Wira International Tbk</t>
  </si>
  <si>
    <t>D231</t>
  </si>
  <si>
    <t>Fish, Meat, &amp; Poultry</t>
  </si>
  <si>
    <t>AGAR</t>
  </si>
  <si>
    <t>Asia Sejahtera Mina Tbk</t>
  </si>
  <si>
    <t>D222</t>
  </si>
  <si>
    <t>Processed Foods</t>
  </si>
  <si>
    <t>AISA</t>
  </si>
  <si>
    <t>FKS Food Sejahtera Tbk</t>
  </si>
  <si>
    <t>ALTO</t>
  </si>
  <si>
    <t>Tri Banyan Tirta Tbk</t>
  </si>
  <si>
    <t>AMMS</t>
  </si>
  <si>
    <t>PT Agung Menjangan Mas Tbk</t>
  </si>
  <si>
    <t>ANDI</t>
  </si>
  <si>
    <t>PT Andira Agro Tbk</t>
  </si>
  <si>
    <t>ANJT</t>
  </si>
  <si>
    <t>PT Austindo Nusantara Jaya Tbk.</t>
  </si>
  <si>
    <t>ASHA</t>
  </si>
  <si>
    <t>Cilacap Samudera Fishing Industry Tbk</t>
  </si>
  <si>
    <t>AYAM</t>
  </si>
  <si>
    <t>PT Janu Putra Sejahtera Tbk.</t>
  </si>
  <si>
    <t>BEEF</t>
  </si>
  <si>
    <t>Estika Tata Tiara Tbk</t>
  </si>
  <si>
    <t>D211</t>
  </si>
  <si>
    <t>Liquors</t>
  </si>
  <si>
    <t>BEER</t>
  </si>
  <si>
    <t>PT Jobubu Jarum Minahasa Tbk</t>
  </si>
  <si>
    <t>BISI</t>
  </si>
  <si>
    <t>BISI INTERNATIONAL Tbk</t>
  </si>
  <si>
    <t>BOBA</t>
  </si>
  <si>
    <t>Formosa Ingredient Factory Tbk</t>
  </si>
  <si>
    <t>BRRC</t>
  </si>
  <si>
    <t>PT Raja Roti Cemerlang Tbk</t>
  </si>
  <si>
    <t>BTEK</t>
  </si>
  <si>
    <t>Bumi Teknokultura Unggul Tbk</t>
  </si>
  <si>
    <t>BUDI</t>
  </si>
  <si>
    <t>Budi Starch &amp; Sweetener Tbk</t>
  </si>
  <si>
    <t>BWPT</t>
  </si>
  <si>
    <t>Eagle High Plantations Tbk</t>
  </si>
  <si>
    <t>D221</t>
  </si>
  <si>
    <t>Dairy Products</t>
  </si>
  <si>
    <t>CAMP</t>
  </si>
  <si>
    <t>Campina Ice Cream Industry Tbk</t>
  </si>
  <si>
    <t>CBUT</t>
  </si>
  <si>
    <t>PT Citra Borneo Utama Tbk</t>
  </si>
  <si>
    <t>CEKA</t>
  </si>
  <si>
    <t>Wilmar Cahaya Indonesia Tbk</t>
  </si>
  <si>
    <t>CLEO</t>
  </si>
  <si>
    <t>Sariguna Primatirta Tbk</t>
  </si>
  <si>
    <t>CMRY</t>
  </si>
  <si>
    <t>Cisarua Mountain Dairy Tbk</t>
  </si>
  <si>
    <t>COCO</t>
  </si>
  <si>
    <t>Wahana Interfood Nusantara Tbk</t>
  </si>
  <si>
    <t>CPIN</t>
  </si>
  <si>
    <t>Charoen Pokphand Indonesia Tbk</t>
  </si>
  <si>
    <t>CPRO</t>
  </si>
  <si>
    <t>Central Proteina Prima Tbk</t>
  </si>
  <si>
    <t>CRAB</t>
  </si>
  <si>
    <t>PT Toba Surimi Industries Tbk</t>
  </si>
  <si>
    <t>CSRA</t>
  </si>
  <si>
    <t>PT Cisadane Sawit Raya Tbk.</t>
  </si>
  <si>
    <t>DEWI</t>
  </si>
  <si>
    <t>PT Dewi Shri Farmindo Tbk</t>
  </si>
  <si>
    <t>DLTA</t>
  </si>
  <si>
    <t>Delta Djakarta Tbk</t>
  </si>
  <si>
    <t>DPUM</t>
  </si>
  <si>
    <t>Dua Putra Utama Makmur Tbk</t>
  </si>
  <si>
    <t>DSFI</t>
  </si>
  <si>
    <t>Dharma Samudera Fishing Industries Tbk</t>
  </si>
  <si>
    <t>DSNG</t>
  </si>
  <si>
    <t>PT Dharma Satya Nusantara Tbk.</t>
  </si>
  <si>
    <t>ENZO</t>
  </si>
  <si>
    <t>Morenzo Abadi Perkasa Tbk</t>
  </si>
  <si>
    <t>FAPA</t>
  </si>
  <si>
    <t>PT FAP Agri Tbk</t>
  </si>
  <si>
    <t>FISH</t>
  </si>
  <si>
    <t>FKS Multi Agro Tbk</t>
  </si>
  <si>
    <t>FOOD</t>
  </si>
  <si>
    <t>Sentra Food Indonesia Tbk</t>
  </si>
  <si>
    <t>FORE</t>
  </si>
  <si>
    <t>PT Fore Kopi Indonesia Tbk</t>
  </si>
  <si>
    <t>GOLL</t>
  </si>
  <si>
    <t>PT Golden Plantation Tbk</t>
  </si>
  <si>
    <t>GOOD</t>
  </si>
  <si>
    <t>Garudafood Putra Putri Jaya Tbk</t>
  </si>
  <si>
    <t>GRPM</t>
  </si>
  <si>
    <t>PT Graha Prima Mentari Tbk.</t>
  </si>
  <si>
    <t>GULA</t>
  </si>
  <si>
    <t>PT Aman Agrindo Tbk</t>
  </si>
  <si>
    <t>GUNA</t>
  </si>
  <si>
    <t>PT Gunanusa Eramandiri Tbk</t>
  </si>
  <si>
    <t>GZCO</t>
  </si>
  <si>
    <t>Gozco Plantations Tbk</t>
  </si>
  <si>
    <t>HOKI</t>
  </si>
  <si>
    <t>Buyung Poetra Sembada Tbk</t>
  </si>
  <si>
    <t>IBOS</t>
  </si>
  <si>
    <t>PT Indo Boga Sukses Tbk</t>
  </si>
  <si>
    <t>ICBP</t>
  </si>
  <si>
    <t>Indofood CBP Sukses Makmur Tbk</t>
  </si>
  <si>
    <t>IKAN</t>
  </si>
  <si>
    <t>Era Mandiri Cemerlang Tbk</t>
  </si>
  <si>
    <t>Indofood Sukses Makmur Tbk</t>
  </si>
  <si>
    <t>IPPE</t>
  </si>
  <si>
    <t>Indo Pureco Pratama Tbk</t>
  </si>
  <si>
    <t>ISEA</t>
  </si>
  <si>
    <t>PT Indo American Seafoods Tbk</t>
  </si>
  <si>
    <t>JARR</t>
  </si>
  <si>
    <t>PT Jhonlin Agro Raya Tbk</t>
  </si>
  <si>
    <t>JAWA</t>
  </si>
  <si>
    <t>Jaya Agra Wattie Tbk</t>
  </si>
  <si>
    <t>JPFA</t>
  </si>
  <si>
    <t>Japfa Comfeed Indonesia Tbk</t>
  </si>
  <si>
    <t>KEJU</t>
  </si>
  <si>
    <t>Mulia Boga Raya Tbk</t>
  </si>
  <si>
    <t>LSIP</t>
  </si>
  <si>
    <t>PP London Sumatra Indonesia Tbk</t>
  </si>
  <si>
    <t>MAGP</t>
  </si>
  <si>
    <t>Multi Agro Gemilang Plantation Tbk</t>
  </si>
  <si>
    <t>03/31/2022</t>
  </si>
  <si>
    <t>MAIN</t>
  </si>
  <si>
    <t>Malindo Feedmill Tbk</t>
  </si>
  <si>
    <t>MAXI</t>
  </si>
  <si>
    <t>PT Maxindo Karya Anugerah Tbk</t>
  </si>
  <si>
    <t>MGRO</t>
  </si>
  <si>
    <t>PT Mahkota Group Tbk.</t>
  </si>
  <si>
    <t>MKTR</t>
  </si>
  <si>
    <t>PT Menthobi Karyatama Raya Tbk</t>
  </si>
  <si>
    <t>MLBI</t>
  </si>
  <si>
    <t>Multi Bintang Indonesia Tbk</t>
  </si>
  <si>
    <t>MYOR</t>
  </si>
  <si>
    <t>Mayora Indah Tbk</t>
  </si>
  <si>
    <t>NASI</t>
  </si>
  <si>
    <t>Wahana Inti Makmur Tbk</t>
  </si>
  <si>
    <t>NAYZ</t>
  </si>
  <si>
    <t>PT Hassana Boga Sejahtera Tbk</t>
  </si>
  <si>
    <t>NEST</t>
  </si>
  <si>
    <t>PT Esta Indonesia Tbk</t>
  </si>
  <si>
    <t>NSSS</t>
  </si>
  <si>
    <t>PT Nusantara Sawit Sejahtera Tbk</t>
  </si>
  <si>
    <t>OILS</t>
  </si>
  <si>
    <t>Indo Oil Perkasa Tbk</t>
  </si>
  <si>
    <t>PGUN</t>
  </si>
  <si>
    <t>PT Pradiksi Gunatama Tbk</t>
  </si>
  <si>
    <t>PMMP</t>
  </si>
  <si>
    <t>Panca Mitra Multiperdana Tbk</t>
  </si>
  <si>
    <t>PNGO</t>
  </si>
  <si>
    <t>PT Pinago Utama Tbk</t>
  </si>
  <si>
    <t>PSDN</t>
  </si>
  <si>
    <t>Prasidha Aneka Niaga Tbk</t>
  </si>
  <si>
    <t>PSGO</t>
  </si>
  <si>
    <t>PT Palma Serasih Tbk.</t>
  </si>
  <si>
    <t>PTPS</t>
  </si>
  <si>
    <t>PT Pulau Subur Tbk.</t>
  </si>
  <si>
    <t>ROTI</t>
  </si>
  <si>
    <t>Nippon Indosari Corpindo Tbk</t>
  </si>
  <si>
    <t>SGRO</t>
  </si>
  <si>
    <t>PT Sampoerna Agro Tbk</t>
  </si>
  <si>
    <t>SIMP</t>
  </si>
  <si>
    <t>Salim Ivomas Pratama Tbk</t>
  </si>
  <si>
    <t>SIPD</t>
  </si>
  <si>
    <t>Sreeya Sewu Indonesia Tbk</t>
  </si>
  <si>
    <t>SKBM</t>
  </si>
  <si>
    <t>Sekar Bumi Tbk</t>
  </si>
  <si>
    <t>SKLT</t>
  </si>
  <si>
    <t>Sekar Laut Tbk</t>
  </si>
  <si>
    <t>SMAR</t>
  </si>
  <si>
    <t>PT Sinas Mas Agro Resources and Technology Tbk</t>
  </si>
  <si>
    <t>SOUL</t>
  </si>
  <si>
    <t>PT Mitra Tirta Buwana Tbk</t>
  </si>
  <si>
    <t>SSMS</t>
  </si>
  <si>
    <t>PT Sawit Sumbermas Sarana Tbk.</t>
  </si>
  <si>
    <t>STAA</t>
  </si>
  <si>
    <t>PT Sumber Tani Agung Resources Tbk</t>
  </si>
  <si>
    <t>STRK</t>
  </si>
  <si>
    <t>PT Lovina Beach Brewery Tbk.</t>
  </si>
  <si>
    <t>STTP</t>
  </si>
  <si>
    <t>Siantar Top Tbk</t>
  </si>
  <si>
    <t>TAPG</t>
  </si>
  <si>
    <t>Triputra Agro Persada Tbk</t>
  </si>
  <si>
    <t>TAYS</t>
  </si>
  <si>
    <t>Jaya Swarasa Agung Tbk</t>
  </si>
  <si>
    <t>TBLA</t>
  </si>
  <si>
    <t>Tunas Baru Lampung Tbk</t>
  </si>
  <si>
    <t>TGKA</t>
  </si>
  <si>
    <t>Tigaraksa Satria Tbk</t>
  </si>
  <si>
    <t>TGUK</t>
  </si>
  <si>
    <t>PT Platinum Wahab Nusantara Tbk.</t>
  </si>
  <si>
    <t>TLDN</t>
  </si>
  <si>
    <t>PT Teladan Prima Agro Tbk</t>
  </si>
  <si>
    <t>TRGU</t>
  </si>
  <si>
    <t>PT Cerestar Indonesia Tbk</t>
  </si>
  <si>
    <t>UDNG</t>
  </si>
  <si>
    <t>PT Agro Bahari Nusantara Tbk</t>
  </si>
  <si>
    <t>ULTJ</t>
  </si>
  <si>
    <t>Ultra Jaya Milk Industry &amp; Trading Company Tbk</t>
  </si>
  <si>
    <t>UNSP</t>
  </si>
  <si>
    <t>Bakrie Sumatera Plantations Tbk</t>
  </si>
  <si>
    <t>WAPO</t>
  </si>
  <si>
    <t>Wahana Pronatural Tbk</t>
  </si>
  <si>
    <t>WINE</t>
  </si>
  <si>
    <t>PT Hatten Bali Tbk</t>
  </si>
  <si>
    <t>WMPP</t>
  </si>
  <si>
    <t>Widodo Makmur Perkasa Tbk</t>
  </si>
  <si>
    <t>WMUU</t>
  </si>
  <si>
    <t>Widodo Makmur Unggas Tbk</t>
  </si>
  <si>
    <t>YUPI</t>
  </si>
  <si>
    <t>PT Yupi Indo Jelly Gum Tbk</t>
  </si>
  <si>
    <t>D311</t>
  </si>
  <si>
    <t>Tobacco</t>
  </si>
  <si>
    <t>GGRM</t>
  </si>
  <si>
    <t>Gudang Garam Tbk</t>
  </si>
  <si>
    <t>HMSP</t>
  </si>
  <si>
    <t>HM Sampoerna Tbk</t>
  </si>
  <si>
    <t>ITIC</t>
  </si>
  <si>
    <t>PT Indonesian Tobacco Tbk.</t>
  </si>
  <si>
    <t>WIIM</t>
  </si>
  <si>
    <t>Wismilak Inti Makmur Tbk</t>
  </si>
  <si>
    <t>D421</t>
  </si>
  <si>
    <t>Personal Care Products</t>
  </si>
  <si>
    <t>EURO</t>
  </si>
  <si>
    <t>PT Estee Gold Feet Tbk</t>
  </si>
  <si>
    <t>FLMC</t>
  </si>
  <si>
    <t>Falmaco Nonwoven Industri Tbk</t>
  </si>
  <si>
    <t>KINO</t>
  </si>
  <si>
    <t>PT Kino Indonesia Tbk</t>
  </si>
  <si>
    <t>MBTO</t>
  </si>
  <si>
    <t>Martina Berto Tbk</t>
  </si>
  <si>
    <t>MRAT</t>
  </si>
  <si>
    <t>Mustika Ratu Tbk</t>
  </si>
  <si>
    <t>MSJA</t>
  </si>
  <si>
    <t>PT Multi Spunindo Jaya Tbk.</t>
  </si>
  <si>
    <t>NANO</t>
  </si>
  <si>
    <t>PT Nanotech Indonesia Global Tbk</t>
  </si>
  <si>
    <t>TCID</t>
  </si>
  <si>
    <t>Mandom Indonesia Tbk</t>
  </si>
  <si>
    <t>UCID</t>
  </si>
  <si>
    <t>PT Uni-Charm Indonesia Tbk.</t>
  </si>
  <si>
    <t>UNVR</t>
  </si>
  <si>
    <t>Unilever Indonesia Tbk.</t>
  </si>
  <si>
    <t>VICI</t>
  </si>
  <si>
    <t>PT Victoria Care Indonesia Tbk</t>
  </si>
  <si>
    <t>Consumer Cyclicals</t>
  </si>
  <si>
    <t>E111</t>
  </si>
  <si>
    <t>Auto Parts &amp; Equipment</t>
  </si>
  <si>
    <t>AEGS</t>
  </si>
  <si>
    <t>PT Anugerah Spareparts Sejahtera Tbk.</t>
  </si>
  <si>
    <t>AUTO</t>
  </si>
  <si>
    <t>Astra Otoparts Tbk</t>
  </si>
  <si>
    <t>BOLT</t>
  </si>
  <si>
    <t>Garuda Metalindo Tbk</t>
  </si>
  <si>
    <t>E112</t>
  </si>
  <si>
    <t>Tires</t>
  </si>
  <si>
    <t>BRAM</t>
  </si>
  <si>
    <t>Indo Kordsa Tbk</t>
  </si>
  <si>
    <t>DRMA</t>
  </si>
  <si>
    <t>Dharma Polimetal Tbk</t>
  </si>
  <si>
    <t>GDYR</t>
  </si>
  <si>
    <t>Goodyear Indonesia Tbk</t>
  </si>
  <si>
    <t>GJTL</t>
  </si>
  <si>
    <t>Gajah Tunggal Tbk</t>
  </si>
  <si>
    <t>INDS</t>
  </si>
  <si>
    <t>Indospring Tbk</t>
  </si>
  <si>
    <t>ISAP</t>
  </si>
  <si>
    <t>PT Isra Presisi Indonesia Tbk</t>
  </si>
  <si>
    <t>KAQI</t>
  </si>
  <si>
    <t>PT Jantra Grupo Indonesia Tbk</t>
  </si>
  <si>
    <t>LMAX</t>
  </si>
  <si>
    <t>PT Lupromax Pelumas Indonesia Tbk.</t>
  </si>
  <si>
    <t>LPIN</t>
  </si>
  <si>
    <t>Multi Prima Sejahtera Tbk</t>
  </si>
  <si>
    <t>MASA</t>
  </si>
  <si>
    <t>Multistrada Arah Sarana Tbk</t>
  </si>
  <si>
    <t>PART</t>
  </si>
  <si>
    <t>PT Cipta Perdana Lancar Tbk</t>
  </si>
  <si>
    <t>SMSM</t>
  </si>
  <si>
    <t>Selamat Sempurna Tbk</t>
  </si>
  <si>
    <t>TYRE</t>
  </si>
  <si>
    <t>PT King Tire Indonesia Tbk.</t>
  </si>
  <si>
    <t>VKTR</t>
  </si>
  <si>
    <t>PT VKTR Teknologi Mobilitas Tbk</t>
  </si>
  <si>
    <t>E211</t>
  </si>
  <si>
    <t>Home Furnishings</t>
  </si>
  <si>
    <t>CBMF</t>
  </si>
  <si>
    <t>Cahaya Bintang Medan Tbk</t>
  </si>
  <si>
    <t>CINT</t>
  </si>
  <si>
    <t>Chitose Internasional Tbk</t>
  </si>
  <si>
    <t>GEMA</t>
  </si>
  <si>
    <t>Gema Grahasarana Tbk</t>
  </si>
  <si>
    <t>E213</t>
  </si>
  <si>
    <t>Housewares &amp; Specialties</t>
  </si>
  <si>
    <t>KICI</t>
  </si>
  <si>
    <t>Kedaung Indah Can Tbk</t>
  </si>
  <si>
    <t>LFLO</t>
  </si>
  <si>
    <t>Imago Mulia Persada Tbk</t>
  </si>
  <si>
    <t>LIVE</t>
  </si>
  <si>
    <t>PT Homeco Victoria Makmur Tbk</t>
  </si>
  <si>
    <t>LMPI</t>
  </si>
  <si>
    <t>Langgeng Makmur Industri Tbk</t>
  </si>
  <si>
    <t>MEJA</t>
  </si>
  <si>
    <t>PT Harta Djaya Karya Tbk</t>
  </si>
  <si>
    <t>MGLV</t>
  </si>
  <si>
    <t>Panca Anugrah Wisesa Tbk</t>
  </si>
  <si>
    <t>MICE</t>
  </si>
  <si>
    <t>Multi Indocitra Tbk</t>
  </si>
  <si>
    <t>OLIV</t>
  </si>
  <si>
    <t>Oscar Mitra Sukses Sejahtera Tbk</t>
  </si>
  <si>
    <t>E212</t>
  </si>
  <si>
    <t>Household Appliances</t>
  </si>
  <si>
    <t>SCNP</t>
  </si>
  <si>
    <t>Selaras Citra Nusantara Perkasa Tbk</t>
  </si>
  <si>
    <t>SOFA</t>
  </si>
  <si>
    <t>Boston Furniture Industries Tbk</t>
  </si>
  <si>
    <t>WOOD</t>
  </si>
  <si>
    <t>Integra Indocabinet Tbk</t>
  </si>
  <si>
    <t>E321</t>
  </si>
  <si>
    <t>Sport Equipment &amp; Hobbies Goods</t>
  </si>
  <si>
    <t>BIKE</t>
  </si>
  <si>
    <t>PT Sepeda Bersama Indonesia Tbk</t>
  </si>
  <si>
    <t>E311</t>
  </si>
  <si>
    <t>Consumer Electronics</t>
  </si>
  <si>
    <t>DOSS</t>
  </si>
  <si>
    <t>PT Global Sukses Digital Tbk</t>
  </si>
  <si>
    <t>IIKP</t>
  </si>
  <si>
    <t>Inti Agri Resources Tbk</t>
  </si>
  <si>
    <t>TOYS</t>
  </si>
  <si>
    <t>PT Sunindo Adipersada Tbk.</t>
  </si>
  <si>
    <t>UNTD</t>
  </si>
  <si>
    <t>PT Terang Dunia Internusa Tbk.</t>
  </si>
  <si>
    <t>E413</t>
  </si>
  <si>
    <t>Textiles</t>
  </si>
  <si>
    <t>ACRO</t>
  </si>
  <si>
    <t>PT Samcro Hyosung Adilestari Tbk.</t>
  </si>
  <si>
    <t>ARGO</t>
  </si>
  <si>
    <t>Argo Pantes Tbk</t>
  </si>
  <si>
    <t>E412</t>
  </si>
  <si>
    <t>Footwear</t>
  </si>
  <si>
    <t>BATA</t>
  </si>
  <si>
    <t>Sepatu Bata Tbk</t>
  </si>
  <si>
    <t>BELL</t>
  </si>
  <si>
    <t>PT Trisula Textile Industries Tbk</t>
  </si>
  <si>
    <t>BIMA</t>
  </si>
  <si>
    <t>Primarindo Asia Infrastructure Tbk</t>
  </si>
  <si>
    <t>CNTB</t>
  </si>
  <si>
    <t>Century Textile Industry (Seri B) Tbk.</t>
  </si>
  <si>
    <t>CNTX</t>
  </si>
  <si>
    <t>Centex Tbk</t>
  </si>
  <si>
    <t>E411</t>
  </si>
  <si>
    <t>Clothing, Accessories &amp; Bags</t>
  </si>
  <si>
    <t>ERTX</t>
  </si>
  <si>
    <t>Eratex Djaja Tbk</t>
  </si>
  <si>
    <t>ESTI</t>
  </si>
  <si>
    <t>Ever Shine Textile Industry Tbk</t>
  </si>
  <si>
    <t>HRTA</t>
  </si>
  <si>
    <t>Hartadinata Abadi Tbk</t>
  </si>
  <si>
    <t>INDR</t>
  </si>
  <si>
    <t>Indorama Synthetics Tbk</t>
  </si>
  <si>
    <t>INOV</t>
  </si>
  <si>
    <t>PT Inocycle Technology Group Tbk.</t>
  </si>
  <si>
    <t>MYTX</t>
  </si>
  <si>
    <t>PT Asia Pacific Investama Tbk.</t>
  </si>
  <si>
    <t>PBRX</t>
  </si>
  <si>
    <t>Pan Brothers Tbk</t>
  </si>
  <si>
    <t>POLU</t>
  </si>
  <si>
    <t>Golden Flower Tbk</t>
  </si>
  <si>
    <t>POLY</t>
  </si>
  <si>
    <t>Asia Pacific Fibers Tbk</t>
  </si>
  <si>
    <t>RICY</t>
  </si>
  <si>
    <t>Ricky Putra Globalindo Tbk</t>
  </si>
  <si>
    <t>SBAT</t>
  </si>
  <si>
    <t>PT Sejahtera Bintang Abadi Textile Tbk.</t>
  </si>
  <si>
    <t>SPRE</t>
  </si>
  <si>
    <t>PT Soraya Berjaya Indonesia Tbk</t>
  </si>
  <si>
    <t>SRIL</t>
  </si>
  <si>
    <t>PT Sri Rejeki Isman Tbk</t>
  </si>
  <si>
    <t>SSTM</t>
  </si>
  <si>
    <t>Sunson Textile Manufacturer Tbk</t>
  </si>
  <si>
    <t>TFCO</t>
  </si>
  <si>
    <t>Tifico Fiber Indonesia Tbk</t>
  </si>
  <si>
    <t>TRIS</t>
  </si>
  <si>
    <t>Trisula International Tbk</t>
  </si>
  <si>
    <t>UNIT</t>
  </si>
  <si>
    <t>Nusantara Inti Corpora Tbk</t>
  </si>
  <si>
    <t>06/30/2020</t>
  </si>
  <si>
    <t>E512</t>
  </si>
  <si>
    <t>Hotels, Resorts &amp; Cruise Lines</t>
  </si>
  <si>
    <t>AKKU</t>
  </si>
  <si>
    <t>Anugerah Kagum Karya Utama Tbk</t>
  </si>
  <si>
    <t>ARTA</t>
  </si>
  <si>
    <t>Arthavest Tbk</t>
  </si>
  <si>
    <t>E515</t>
  </si>
  <si>
    <t>Restaurants</t>
  </si>
  <si>
    <t>BAIK</t>
  </si>
  <si>
    <t>PT Bersama Mencapai Puncak Tbk.</t>
  </si>
  <si>
    <t>E513</t>
  </si>
  <si>
    <t>Travel Agencies</t>
  </si>
  <si>
    <t>BAYU</t>
  </si>
  <si>
    <t>Bayu Buana Tbk</t>
  </si>
  <si>
    <t>E514</t>
  </si>
  <si>
    <t>Recreational &amp; Sports Facilities</t>
  </si>
  <si>
    <t>BLTZ</t>
  </si>
  <si>
    <t>Graha Layar Prima Tbk</t>
  </si>
  <si>
    <t>E521</t>
  </si>
  <si>
    <t>Education Services</t>
  </si>
  <si>
    <t>BMBL</t>
  </si>
  <si>
    <t>PT Lavender Bina Cendikia Tbk</t>
  </si>
  <si>
    <t>BOLA</t>
  </si>
  <si>
    <t>Bali Bintang Sejahtera Tbk</t>
  </si>
  <si>
    <t>BUVA</t>
  </si>
  <si>
    <t>Bukit Uluwatu Villa Tbk</t>
  </si>
  <si>
    <t>CLAY</t>
  </si>
  <si>
    <t>Citra Putra Realty Tbk</t>
  </si>
  <si>
    <t>CNMA</t>
  </si>
  <si>
    <t>PT Nusantara Sejahtera Raya Tbk</t>
  </si>
  <si>
    <t>CSMI</t>
  </si>
  <si>
    <t>Cipta Selera Murni Tbk</t>
  </si>
  <si>
    <t>DFAM</t>
  </si>
  <si>
    <t>Dafam Property Indonesia Tbk</t>
  </si>
  <si>
    <t>DUCK</t>
  </si>
  <si>
    <t>Jaya Bersama Indo Tbk</t>
  </si>
  <si>
    <t>09/30/2020</t>
  </si>
  <si>
    <t>EAST</t>
  </si>
  <si>
    <t>Eastparc Hotel Tbk</t>
  </si>
  <si>
    <t>ENAK</t>
  </si>
  <si>
    <t>Champ Resto Indonesia Tbk</t>
  </si>
  <si>
    <t>ESTA</t>
  </si>
  <si>
    <t>Esta Multi Usaha Tbk</t>
  </si>
  <si>
    <t>FAST</t>
  </si>
  <si>
    <t>Fast Food Indonesia Tbk</t>
  </si>
  <si>
    <t>FITT</t>
  </si>
  <si>
    <t>Hotel Fitra International Tbk</t>
  </si>
  <si>
    <t>GOLF</t>
  </si>
  <si>
    <t>PT Intra GolfLink Resorts Tbk</t>
  </si>
  <si>
    <t>GRPH</t>
  </si>
  <si>
    <t>PT Griptha Putra Persada Tbk.</t>
  </si>
  <si>
    <t>GWSA</t>
  </si>
  <si>
    <t>Greenwood Sejahtera Tbk</t>
  </si>
  <si>
    <t>HAJJ</t>
  </si>
  <si>
    <t>PT Arsy Buana Travelindo Tbk</t>
  </si>
  <si>
    <t>HOME</t>
  </si>
  <si>
    <t>Hotel Mandarine Regency Tbk</t>
  </si>
  <si>
    <t>HOTL</t>
  </si>
  <si>
    <t>Saraswati Griya Lestari Tbk</t>
  </si>
  <si>
    <t>HRME</t>
  </si>
  <si>
    <t>Menteng Heritage Realty Tbk</t>
  </si>
  <si>
    <t>IDEA</t>
  </si>
  <si>
    <t>Idea Indonesia Akademi Tbk</t>
  </si>
  <si>
    <t>JGLE</t>
  </si>
  <si>
    <t>Graha Andrasentra Propertindo Tbk</t>
  </si>
  <si>
    <t>JIHD</t>
  </si>
  <si>
    <t>Jakarta International Hotels &amp; Development Tbk</t>
  </si>
  <si>
    <t>JSPT</t>
  </si>
  <si>
    <t>Jakarta Setiabudi Internasional Tbk</t>
  </si>
  <si>
    <t>KDTN</t>
  </si>
  <si>
    <t>PT Puri Sentul Permai Tbk</t>
  </si>
  <si>
    <t>KOTA</t>
  </si>
  <si>
    <t>DMS Propertindo Tbk</t>
  </si>
  <si>
    <t>KPIG</t>
  </si>
  <si>
    <t>MNC Land Tbk</t>
  </si>
  <si>
    <t>LUCY</t>
  </si>
  <si>
    <t>Lima Dua Lima Tiga Tbk</t>
  </si>
  <si>
    <t>MABA</t>
  </si>
  <si>
    <t>Marga Abhinaya Abadi Tbk</t>
  </si>
  <si>
    <t>12/31/2019</t>
  </si>
  <si>
    <t>MAPB</t>
  </si>
  <si>
    <t>MAP Boga Adiperkasa Tbk</t>
  </si>
  <si>
    <t>MERI</t>
  </si>
  <si>
    <t>PT Merry Riana Edukasi Tbk</t>
  </si>
  <si>
    <t>MGNA</t>
  </si>
  <si>
    <t>PT Magna Investama Mandiri Tbk</t>
  </si>
  <si>
    <t>MINA</t>
  </si>
  <si>
    <t>Sanurhasta Mitra Tbk</t>
  </si>
  <si>
    <t>NATO</t>
  </si>
  <si>
    <t>Surya Permata Andalan Tbk</t>
  </si>
  <si>
    <t>NUSA</t>
  </si>
  <si>
    <t>Sinergi Megah Internusa Tbk</t>
  </si>
  <si>
    <t>PANR</t>
  </si>
  <si>
    <t>Panorama Sentrawisata Tbk</t>
  </si>
  <si>
    <t>PDES</t>
  </si>
  <si>
    <t>Destinasi Tirta Nusantara Tbk</t>
  </si>
  <si>
    <t>PGLI</t>
  </si>
  <si>
    <t>Pembangunan Graha Lestari Indah Tbk</t>
  </si>
  <si>
    <t>PJAA</t>
  </si>
  <si>
    <t>Pembangunan Jaya Ancol Tbk</t>
  </si>
  <si>
    <t>PLAN</t>
  </si>
  <si>
    <t>Planet Properindo Jaya Tbk</t>
  </si>
  <si>
    <t>PNSE</t>
  </si>
  <si>
    <t>Pudjiadi &amp; Sons Tbk</t>
  </si>
  <si>
    <t>PSKT</t>
  </si>
  <si>
    <t>Red Planet Indonesia Tbk</t>
  </si>
  <si>
    <t>PTSP</t>
  </si>
  <si>
    <t>Pioneerindo Gourmet International Tbk</t>
  </si>
  <si>
    <t>PZZA</t>
  </si>
  <si>
    <t>Sarimelati Kencana Tbk</t>
  </si>
  <si>
    <t>RAFI</t>
  </si>
  <si>
    <t>PT Sari Kreasi Boga Tbk</t>
  </si>
  <si>
    <t>SHID</t>
  </si>
  <si>
    <t>Hotel Sahid Jaya International Tbk</t>
  </si>
  <si>
    <t>SNLK</t>
  </si>
  <si>
    <t>Sunter Lakeside Hotel Tbk</t>
  </si>
  <si>
    <t>SOTS</t>
  </si>
  <si>
    <t>Satria Mega Kencana Tbk</t>
  </si>
  <si>
    <t>SWID</t>
  </si>
  <si>
    <t>PT Saraswanti Indoland Development Tbk</t>
  </si>
  <si>
    <t>E614</t>
  </si>
  <si>
    <t>Consumer Publishing</t>
  </si>
  <si>
    <t>ABBA</t>
  </si>
  <si>
    <t>Mahaka Media Tbk</t>
  </si>
  <si>
    <t>E611</t>
  </si>
  <si>
    <t>Advertising</t>
  </si>
  <si>
    <t>BMTR</t>
  </si>
  <si>
    <t>PT Global Mediacom Tbk</t>
  </si>
  <si>
    <t>DIGI</t>
  </si>
  <si>
    <t>Arkadia Digital Media Tbk</t>
  </si>
  <si>
    <t>DOOH</t>
  </si>
  <si>
    <t>PT Era Media Sejahtera Tbk</t>
  </si>
  <si>
    <t>E621</t>
  </si>
  <si>
    <t>Entertainment &amp; Movie Production</t>
  </si>
  <si>
    <t>FILM</t>
  </si>
  <si>
    <t>PT MD Entertainment Tbk</t>
  </si>
  <si>
    <t>FORU</t>
  </si>
  <si>
    <t>Fortune Indonesia Tbk</t>
  </si>
  <si>
    <t>FUTR</t>
  </si>
  <si>
    <t>PT Lini Imaji Kreasi Ekosistem Tbk</t>
  </si>
  <si>
    <t>E613</t>
  </si>
  <si>
    <t>Cable &amp; Satellite</t>
  </si>
  <si>
    <t>IPTV</t>
  </si>
  <si>
    <t>MNC Vision Networks Tbk</t>
  </si>
  <si>
    <t>E612</t>
  </si>
  <si>
    <t>Broadcasting</t>
  </si>
  <si>
    <t>MARI</t>
  </si>
  <si>
    <t>Mahaka Radio Integra Tbk</t>
  </si>
  <si>
    <t>MDIA</t>
  </si>
  <si>
    <t>Intermedia Capital Tbk</t>
  </si>
  <si>
    <t>MNCN</t>
  </si>
  <si>
    <t>Media Nusantara Citra Tbk</t>
  </si>
  <si>
    <t>MSIN</t>
  </si>
  <si>
    <t>PT MNC Studios International Tbk.</t>
  </si>
  <si>
    <t>MSKY</t>
  </si>
  <si>
    <t>MNC Sky Vision Tbk</t>
  </si>
  <si>
    <t>NETV</t>
  </si>
  <si>
    <t>PT MDTV Media Technologies Tbk</t>
  </si>
  <si>
    <t>RAAM</t>
  </si>
  <si>
    <t>PT Tripar Multivision Plus Tbk.</t>
  </si>
  <si>
    <t>SCMA</t>
  </si>
  <si>
    <t>Surya Citra Media Tbk</t>
  </si>
  <si>
    <t>TMPO</t>
  </si>
  <si>
    <t>Tempo Intimedia Tbk</t>
  </si>
  <si>
    <t>VERN</t>
  </si>
  <si>
    <t>PT Verona Indah Pictures Tbk</t>
  </si>
  <si>
    <t>VIVA</t>
  </si>
  <si>
    <t>Visi Media Asia Tbk</t>
  </si>
  <si>
    <t>E743</t>
  </si>
  <si>
    <t>Home Improvement Retail</t>
  </si>
  <si>
    <t>ACES</t>
  </si>
  <si>
    <t>PT Aspirasi Hidup Indonesia Tbk</t>
  </si>
  <si>
    <t>E745</t>
  </si>
  <si>
    <t>Automotive Retail</t>
  </si>
  <si>
    <t>ASLC</t>
  </si>
  <si>
    <t>Autopedia Sukses Lestari Tbk</t>
  </si>
  <si>
    <t>E741</t>
  </si>
  <si>
    <t>Apparel &amp; Textile Retail</t>
  </si>
  <si>
    <t>BABY</t>
  </si>
  <si>
    <t>PT Multitrend Indo Tbk.</t>
  </si>
  <si>
    <t>BAUT</t>
  </si>
  <si>
    <t>Mitra Angkasa Sejahtera Tbk</t>
  </si>
  <si>
    <t>BOGA</t>
  </si>
  <si>
    <t>PT Bintang Oto Global Tbk</t>
  </si>
  <si>
    <t>CARS</t>
  </si>
  <si>
    <t>PT Industri dan Perdagangan Bintraco Dharma Tbk</t>
  </si>
  <si>
    <t>CSAP</t>
  </si>
  <si>
    <t>Catur Sentosa Adiprana Tbk</t>
  </si>
  <si>
    <t>DEPO</t>
  </si>
  <si>
    <t>Caturkarda Depo Bangunan Tbk</t>
  </si>
  <si>
    <t>E742</t>
  </si>
  <si>
    <t>Electronics Retail</t>
  </si>
  <si>
    <t>ECII</t>
  </si>
  <si>
    <t>Electronic City Indonesia Tbk</t>
  </si>
  <si>
    <t>ERAA</t>
  </si>
  <si>
    <t>Erajaya Swasembada Tbk</t>
  </si>
  <si>
    <t>ERAL</t>
  </si>
  <si>
    <t>PT Sinar Eka Selaras Tbk</t>
  </si>
  <si>
    <t>GLOB</t>
  </si>
  <si>
    <t>Globe Kita Terang Tbk</t>
  </si>
  <si>
    <t>IMAS</t>
  </si>
  <si>
    <t>Indomobil Sukses Internasional Tbk</t>
  </si>
  <si>
    <t>KLIN</t>
  </si>
  <si>
    <t>PT Klinko Karya Imaji Tbk</t>
  </si>
  <si>
    <t>E731</t>
  </si>
  <si>
    <t>Department Stores</t>
  </si>
  <si>
    <t>LPPF</t>
  </si>
  <si>
    <t>Matahari Department Store Tbk</t>
  </si>
  <si>
    <t>MAPA</t>
  </si>
  <si>
    <t>Map Aktif Adiperkasa Tbk</t>
  </si>
  <si>
    <t>MAPI</t>
  </si>
  <si>
    <t>Mitra Adiperkasa Tbk</t>
  </si>
  <si>
    <t>MDIY</t>
  </si>
  <si>
    <t>PT Daya Intiguna Yasa Tbk</t>
  </si>
  <si>
    <t>E711</t>
  </si>
  <si>
    <t>Consumer Distributors</t>
  </si>
  <si>
    <t>MKNT</t>
  </si>
  <si>
    <t>Mitra Komunikasi Nusantara Tbk</t>
  </si>
  <si>
    <t>MPMX</t>
  </si>
  <si>
    <t>PT Mitra Pinasthika Mustika Tbk.</t>
  </si>
  <si>
    <t>PMJS</t>
  </si>
  <si>
    <t>PT Putra Mandiri Jembar Tbk</t>
  </si>
  <si>
    <t>PMUI</t>
  </si>
  <si>
    <t>PT Prima Multi Usaha Indonesia Tbk</t>
  </si>
  <si>
    <t>RALS</t>
  </si>
  <si>
    <t>Ramayana Lestari Sentosa Tbk</t>
  </si>
  <si>
    <t>SLIS</t>
  </si>
  <si>
    <t>Gaya Abadi Sempurna Tbk</t>
  </si>
  <si>
    <t>SONA</t>
  </si>
  <si>
    <t>Sona Topas Tourism Industry Tbk</t>
  </si>
  <si>
    <t>TELE</t>
  </si>
  <si>
    <t>Tiphone Mobile Indonesia Tbk</t>
  </si>
  <si>
    <t>TOOL</t>
  </si>
  <si>
    <t>PT Rohartindo Nusantara Luas Tbk</t>
  </si>
  <si>
    <t>TRIO</t>
  </si>
  <si>
    <t>Trikomsel Oke Tbk</t>
  </si>
  <si>
    <t>UFOE</t>
  </si>
  <si>
    <t>Damai Sejahtera Abadi Tbk</t>
  </si>
  <si>
    <t>YELO</t>
  </si>
  <si>
    <t>PT Yelooo Integra Datanet Tbk.</t>
  </si>
  <si>
    <t>ZATA</t>
  </si>
  <si>
    <t>PT Bersama Zatta Jaya Tbk</t>
  </si>
  <si>
    <t>ZONE</t>
  </si>
  <si>
    <t>Mega Perintis Tbk</t>
  </si>
  <si>
    <t>Healthcare</t>
  </si>
  <si>
    <t>F121</t>
  </si>
  <si>
    <t>Healthcare Providers</t>
  </si>
  <si>
    <t>BMHS</t>
  </si>
  <si>
    <t>Bundamedik Tbk</t>
  </si>
  <si>
    <t>CARE</t>
  </si>
  <si>
    <t>PT Metro Healthcare Indonesia Tbk</t>
  </si>
  <si>
    <t>F112</t>
  </si>
  <si>
    <t>Healthcare Supplies &amp; Distributions</t>
  </si>
  <si>
    <t>CHEK</t>
  </si>
  <si>
    <t>PT Diastika Biotekindo Tbk</t>
  </si>
  <si>
    <t>DGNS</t>
  </si>
  <si>
    <t>PT Diagnos Laboratorium Utama Tbk</t>
  </si>
  <si>
    <t>DKHH</t>
  </si>
  <si>
    <t>PT Cipta Sarana Medika Tbk</t>
  </si>
  <si>
    <t>HALO</t>
  </si>
  <si>
    <t>PT Haloni Jane Tbk</t>
  </si>
  <si>
    <t>HEAL</t>
  </si>
  <si>
    <t>PT Medikaloka Hermina Tbk.</t>
  </si>
  <si>
    <t>F111</t>
  </si>
  <si>
    <t>Healthcare Equipment</t>
  </si>
  <si>
    <t>IRRA</t>
  </si>
  <si>
    <t>Itama Ranoraya Tbk</t>
  </si>
  <si>
    <t>LABS</t>
  </si>
  <si>
    <t>PT UBC Medical Indonesia Tbk</t>
  </si>
  <si>
    <t>MEDS</t>
  </si>
  <si>
    <t>PT Hetzer Medical Indonesia Tbk</t>
  </si>
  <si>
    <t>MIKA</t>
  </si>
  <si>
    <t>PT Mitra Keluarga Karyasehat Tbk.</t>
  </si>
  <si>
    <t>MMIX</t>
  </si>
  <si>
    <t>PT Multi Medika Internasional Tbk</t>
  </si>
  <si>
    <t>MTMH</t>
  </si>
  <si>
    <t>PT Murni Sadar Tbk</t>
  </si>
  <si>
    <t>OMED</t>
  </si>
  <si>
    <t>PT Jayamas Medica Industri Tbk</t>
  </si>
  <si>
    <t>PRAY</t>
  </si>
  <si>
    <t>PT Famon Awal Bros Sedaya Tbk</t>
  </si>
  <si>
    <t>PRDA</t>
  </si>
  <si>
    <t>PT Prodia Widyahusada Tbk.</t>
  </si>
  <si>
    <t>PRIM</t>
  </si>
  <si>
    <t>PT Royal Prima Tbk.</t>
  </si>
  <si>
    <t>RSCH</t>
  </si>
  <si>
    <t>PT Charlie Hospital Semarang Tbk.</t>
  </si>
  <si>
    <t>RSGK</t>
  </si>
  <si>
    <t>Kedoya Adyaraya Tbk</t>
  </si>
  <si>
    <t>SAME</t>
  </si>
  <si>
    <t>Sarana Meditama Metropolitan Tbk</t>
  </si>
  <si>
    <t>SILO</t>
  </si>
  <si>
    <t>PT Siloam International Hospitals Tbk.</t>
  </si>
  <si>
    <t>SRAJ</t>
  </si>
  <si>
    <t>Sejahteraraya Anugrahjaya Tbk</t>
  </si>
  <si>
    <t>SURI</t>
  </si>
  <si>
    <t>PT Maja Agung Latexindo Tbk.</t>
  </si>
  <si>
    <t>F211</t>
  </si>
  <si>
    <t>Pharmaceuticals</t>
  </si>
  <si>
    <t>DVLA</t>
  </si>
  <si>
    <t>Darya-Varia Laboratoria Tbk</t>
  </si>
  <si>
    <t>IKPM</t>
  </si>
  <si>
    <t>PT Ikapharmindo Putramas Tbk.</t>
  </si>
  <si>
    <t>INAF</t>
  </si>
  <si>
    <t>Indofarma Tbk</t>
  </si>
  <si>
    <t>KAEF</t>
  </si>
  <si>
    <t>Kimia Farma Tbk</t>
  </si>
  <si>
    <t>KLBF</t>
  </si>
  <si>
    <t>Kalbe Farma Tbk</t>
  </si>
  <si>
    <t>MDLA</t>
  </si>
  <si>
    <t>PT Medela Potentia Tbk</t>
  </si>
  <si>
    <t>MERK</t>
  </si>
  <si>
    <t>Merck Tbk</t>
  </si>
  <si>
    <t>OBAT</t>
  </si>
  <si>
    <t>PT Brigit Biofarmaka Teknologi Tbk</t>
  </si>
  <si>
    <t>PEHA</t>
  </si>
  <si>
    <t>Phapros Tbk</t>
  </si>
  <si>
    <t>PEVE</t>
  </si>
  <si>
    <t>PT Penta Valent Tbk</t>
  </si>
  <si>
    <t>PYFA</t>
  </si>
  <si>
    <t>Pyridam Farma Tbk</t>
  </si>
  <si>
    <t>SCPI</t>
  </si>
  <si>
    <t>Organon Pharma Indonesia Tbk</t>
  </si>
  <si>
    <t>SIDO</t>
  </si>
  <si>
    <t>Industri Jamu dan Farmasi Sido Muncul Tbk</t>
  </si>
  <si>
    <t>SOHO</t>
  </si>
  <si>
    <t>Soho Global Health Tbk</t>
  </si>
  <si>
    <t>TSPC</t>
  </si>
  <si>
    <t>Tempo Scan Pacific Tbk</t>
  </si>
  <si>
    <t>Financials</t>
  </si>
  <si>
    <t>G111</t>
  </si>
  <si>
    <t>Banks</t>
  </si>
  <si>
    <t>AGRO</t>
  </si>
  <si>
    <t>PT Bank Rakyat Indonesia Agroniaga Tbk</t>
  </si>
  <si>
    <t>AGRS</t>
  </si>
  <si>
    <t>PT Bank IBK Indonesia Tbk.</t>
  </si>
  <si>
    <t>AMAR</t>
  </si>
  <si>
    <t>PT Bank Amar Indonesia Tbk.</t>
  </si>
  <si>
    <t>ARTO</t>
  </si>
  <si>
    <t>Bank Jago Tbk.</t>
  </si>
  <si>
    <t>BABP</t>
  </si>
  <si>
    <t>PT Bank MNC Internasional Tbk.</t>
  </si>
  <si>
    <t>BACA</t>
  </si>
  <si>
    <t>PT Bank Capital Indonesia Tbk</t>
  </si>
  <si>
    <t>BANK</t>
  </si>
  <si>
    <t>PT Bank Net Indonesia Syariah Tbk</t>
  </si>
  <si>
    <t>BBCA</t>
  </si>
  <si>
    <t>Bank Central Asia Tbk.</t>
  </si>
  <si>
    <t>BBHI</t>
  </si>
  <si>
    <t>PT Bank Harda Internasional Tbk.</t>
  </si>
  <si>
    <t>BBKP</t>
  </si>
  <si>
    <t>Bank Bukopin Tbk</t>
  </si>
  <si>
    <t>BBMD</t>
  </si>
  <si>
    <t>PT Bank Mestika Dharma Tbk.</t>
  </si>
  <si>
    <t>BBNI</t>
  </si>
  <si>
    <t>PT Bank Negara Indonesia (Persero) Tbk</t>
  </si>
  <si>
    <t>BBRI</t>
  </si>
  <si>
    <t>PT Bank Rakyat Indonesia (Persero) Tbk</t>
  </si>
  <si>
    <t>BBSI</t>
  </si>
  <si>
    <t>PT Bank Bisnis Internasional Tbk.</t>
  </si>
  <si>
    <t>BBTN</t>
  </si>
  <si>
    <t>PT Bank Tabungan Negara (Persero) Tbk</t>
  </si>
  <si>
    <t>BBYB</t>
  </si>
  <si>
    <t>PT Bank Neo Commerce Tbk.</t>
  </si>
  <si>
    <t>BCIC</t>
  </si>
  <si>
    <t>PT Bank JTrust Indonesia Tbk.</t>
  </si>
  <si>
    <t>BDMN</t>
  </si>
  <si>
    <t>PT Bank Danamon Indonesia Tbk</t>
  </si>
  <si>
    <t>BEKS</t>
  </si>
  <si>
    <t>PT Bank Pembangunan Daerah Banten Tbk.</t>
  </si>
  <si>
    <t>BGTG</t>
  </si>
  <si>
    <t>PT Bank Ganesha Tbk.</t>
  </si>
  <si>
    <t>BINA</t>
  </si>
  <si>
    <t>PT Bank Ina Perdana Tbk.</t>
  </si>
  <si>
    <t>BJBR</t>
  </si>
  <si>
    <t>Bank Pembangunan Daerah Jawa Barat dan Banten Tbk</t>
  </si>
  <si>
    <t>BJTM</t>
  </si>
  <si>
    <t>Bank Pembangunan Daerah Jawa Timur Tbk</t>
  </si>
  <si>
    <t>BKSW</t>
  </si>
  <si>
    <t>PT Bank QNB Indonesia Tbk</t>
  </si>
  <si>
    <t>BMAS</t>
  </si>
  <si>
    <t>PT Bank Maspion Indonesia Tbk.</t>
  </si>
  <si>
    <t>BMRI</t>
  </si>
  <si>
    <t>Bank Mandiri (Persero) Tbk.</t>
  </si>
  <si>
    <t>BNBA</t>
  </si>
  <si>
    <t>Bank Bumi Arta Tbk</t>
  </si>
  <si>
    <t>BNGA</t>
  </si>
  <si>
    <t>PT Bank CIMB Niaga Tbk</t>
  </si>
  <si>
    <t>BNII</t>
  </si>
  <si>
    <t>PT Bank Maybank Indonesia Tbk</t>
  </si>
  <si>
    <t>BNLI</t>
  </si>
  <si>
    <t>Bank Permata Tbk</t>
  </si>
  <si>
    <t>BRIS</t>
  </si>
  <si>
    <t>PT Bank BRIsyariah Tbk</t>
  </si>
  <si>
    <t>BSIM</t>
  </si>
  <si>
    <t>Bank Sinarmas Tbk</t>
  </si>
  <si>
    <t>BSWD</t>
  </si>
  <si>
    <t>Bank of India Indonesia Tbk</t>
  </si>
  <si>
    <t>BTPN</t>
  </si>
  <si>
    <t>PT Bank SMBC Indonesia Tbk</t>
  </si>
  <si>
    <t>BTPS</t>
  </si>
  <si>
    <t>PT Bank BTPN Syariah Tbk.</t>
  </si>
  <si>
    <t>BVIC</t>
  </si>
  <si>
    <t>Bank Victoria International Tbk</t>
  </si>
  <si>
    <t>DNAR</t>
  </si>
  <si>
    <t>PT Bank Oke Indonesia Tbk.</t>
  </si>
  <si>
    <t>INPC</t>
  </si>
  <si>
    <t>Bank Artha Graha Internasional Tbk</t>
  </si>
  <si>
    <t>MASB</t>
  </si>
  <si>
    <t>Bank Multiarta Sentosa Tbk</t>
  </si>
  <si>
    <t>MAYA</t>
  </si>
  <si>
    <t>PT Bank Mayapada Internasional Tbk</t>
  </si>
  <si>
    <t>MCOR</t>
  </si>
  <si>
    <t>PT Bank China Construction Bank Indonesia Tbk</t>
  </si>
  <si>
    <t>MEGA</t>
  </si>
  <si>
    <t>Bank Mega Tbk</t>
  </si>
  <si>
    <t>NISP</t>
  </si>
  <si>
    <t>PT Bank OCBC NISP Tbk</t>
  </si>
  <si>
    <t>NOBU</t>
  </si>
  <si>
    <t>PT Bank Nationalnobu Tbk.</t>
  </si>
  <si>
    <t>PNBN</t>
  </si>
  <si>
    <t>Bank Pan Indonesia Tbk</t>
  </si>
  <si>
    <t>PNBS</t>
  </si>
  <si>
    <t>PT Bank Panin Dubai Syariah Tbk.</t>
  </si>
  <si>
    <t>SDRA</t>
  </si>
  <si>
    <t>PT Bank Woori Saudara Indonesia 1906 Tbk</t>
  </si>
  <si>
    <t>G211</t>
  </si>
  <si>
    <t>Consumer Financing</t>
  </si>
  <si>
    <t>ADMF</t>
  </si>
  <si>
    <t>Adira Dinamika Multi Finance Tbk</t>
  </si>
  <si>
    <t>BBLD</t>
  </si>
  <si>
    <t>Buana Finance Tbk</t>
  </si>
  <si>
    <t>BFIN</t>
  </si>
  <si>
    <t>BFI Finance Indonesia Tbk</t>
  </si>
  <si>
    <t>BPFI</t>
  </si>
  <si>
    <t>Batavia Prosperindo Finance Tbk</t>
  </si>
  <si>
    <t>CFIN</t>
  </si>
  <si>
    <t>Clipan Finance Indonesia Tbk</t>
  </si>
  <si>
    <t>FUJI</t>
  </si>
  <si>
    <t>Fuji Finance Indonesia Tbk</t>
  </si>
  <si>
    <t>HDFA</t>
  </si>
  <si>
    <t>Radana Bhaskara Finance Tbk</t>
  </si>
  <si>
    <t>MFIN</t>
  </si>
  <si>
    <t>Mandala Multifinance Tbk</t>
  </si>
  <si>
    <t>POLA</t>
  </si>
  <si>
    <t>Pool Advista Finance Tbk</t>
  </si>
  <si>
    <t>TIFA</t>
  </si>
  <si>
    <t>KDB Tifa Finance Tbk</t>
  </si>
  <si>
    <t>TRUS</t>
  </si>
  <si>
    <t>Trust Finance Indonesia Tbk</t>
  </si>
  <si>
    <t>VRNA</t>
  </si>
  <si>
    <t>Verena Multi Finance Tbk</t>
  </si>
  <si>
    <t>VTNY</t>
  </si>
  <si>
    <t>PT Venteny Fortuna International Tbk</t>
  </si>
  <si>
    <t>WOMF</t>
  </si>
  <si>
    <t>Wahana Ottomitra Multiartha Tbk</t>
  </si>
  <si>
    <t>G311</t>
  </si>
  <si>
    <t>Investment Management</t>
  </si>
  <si>
    <t>AMOR</t>
  </si>
  <si>
    <t>Ashmore Asset Management Indonesia Tbk</t>
  </si>
  <si>
    <t>G312</t>
  </si>
  <si>
    <t>Investment Banking &amp; Brokerage Services</t>
  </si>
  <si>
    <t>PADI</t>
  </si>
  <si>
    <t>Minna Padi Investama Sekuritas Tbk</t>
  </si>
  <si>
    <t>PANS</t>
  </si>
  <si>
    <t>Panin Sekuritas Tbk</t>
  </si>
  <si>
    <t>RELI</t>
  </si>
  <si>
    <t>Reliance Sekuritas Indonesia Tbk</t>
  </si>
  <si>
    <t>TRIM</t>
  </si>
  <si>
    <t>Trimegah Sekuritas Indonesia Tbk</t>
  </si>
  <si>
    <t>YULE</t>
  </si>
  <si>
    <t>Yulie Sekuritas Indonesia Tbk</t>
  </si>
  <si>
    <t>G412</t>
  </si>
  <si>
    <t>General Insurance</t>
  </si>
  <si>
    <t>ABDA</t>
  </si>
  <si>
    <t>Asuransi Bina Dana Arta Tbk</t>
  </si>
  <si>
    <t>AHAP</t>
  </si>
  <si>
    <t>Asuransi Harta Aman Pratama Tbk</t>
  </si>
  <si>
    <t>AMAG</t>
  </si>
  <si>
    <t>Asuransi Multi Artha Guna Tbk</t>
  </si>
  <si>
    <t>ASBI</t>
  </si>
  <si>
    <t>Asuransi Bintang Tbk</t>
  </si>
  <si>
    <t>ASDM</t>
  </si>
  <si>
    <t>Asuransi Dayin Mitra Tbk</t>
  </si>
  <si>
    <t>ASJT</t>
  </si>
  <si>
    <t>Asuransi Jasa Tania Tbk</t>
  </si>
  <si>
    <t>ASMI</t>
  </si>
  <si>
    <t>Asuransi Maximus Graha Persada Tbk</t>
  </si>
  <si>
    <t>ASRM</t>
  </si>
  <si>
    <t>Asuransi Ramayana Tbk</t>
  </si>
  <si>
    <t>G413</t>
  </si>
  <si>
    <t>Life Insurance</t>
  </si>
  <si>
    <t>BHAT</t>
  </si>
  <si>
    <t>Bhakti Multi Artha Tbk</t>
  </si>
  <si>
    <t>JMAS</t>
  </si>
  <si>
    <t>Asuransi Jiwa Syariah Jasa Mitra Abadi Tbk</t>
  </si>
  <si>
    <t>LIFE</t>
  </si>
  <si>
    <t>Asuransi Jiwa Sinarmas MSIG Tbk</t>
  </si>
  <si>
    <t>LPGI</t>
  </si>
  <si>
    <t>Lippo General Insurance Tbk</t>
  </si>
  <si>
    <t>G414</t>
  </si>
  <si>
    <t>Reasurance</t>
  </si>
  <si>
    <t>MREI</t>
  </si>
  <si>
    <t>Maskapai Reasuransi Indonesia Tbk</t>
  </si>
  <si>
    <t>MTWI</t>
  </si>
  <si>
    <t>Malacca Trust Wuwungan Insurance Tbk</t>
  </si>
  <si>
    <t>PNIN</t>
  </si>
  <si>
    <t>Paninvest Tbk</t>
  </si>
  <si>
    <t>PNLF</t>
  </si>
  <si>
    <t>Panin Financial Tbk</t>
  </si>
  <si>
    <t>TUGU</t>
  </si>
  <si>
    <t>Asuransi Tugu Pratama Indonesia Tbk</t>
  </si>
  <si>
    <t>VINS</t>
  </si>
  <si>
    <t>Victoria Insurance Tbk</t>
  </si>
  <si>
    <t>YOII</t>
  </si>
  <si>
    <t>PT Asuransi Digital Bersama Tbk</t>
  </si>
  <si>
    <t>G511</t>
  </si>
  <si>
    <t>Financial Holdings</t>
  </si>
  <si>
    <t>APIC</t>
  </si>
  <si>
    <t>Pacific Strategic Financial Tbk</t>
  </si>
  <si>
    <t>BCAP</t>
  </si>
  <si>
    <t>MNC Kapital Indonesia Tbk</t>
  </si>
  <si>
    <t>BPII</t>
  </si>
  <si>
    <t>Batavia Prosperindo Internasional Tbk</t>
  </si>
  <si>
    <t>CASA</t>
  </si>
  <si>
    <t>Capital Financial Indonesia Tbk</t>
  </si>
  <si>
    <t>COIN</t>
  </si>
  <si>
    <t>PT Indokripto Koin Semesta Tbk</t>
  </si>
  <si>
    <t>G512</t>
  </si>
  <si>
    <t>Investment Companies</t>
  </si>
  <si>
    <t>DEFI</t>
  </si>
  <si>
    <t>Danasupra Erapacific Tbk</t>
  </si>
  <si>
    <t>DNET</t>
  </si>
  <si>
    <t>PT Indoritel Makmur Internasional Tbk.</t>
  </si>
  <si>
    <t>GSMF</t>
  </si>
  <si>
    <t>Equity Development Investment Tbk</t>
  </si>
  <si>
    <t>LPPS</t>
  </si>
  <si>
    <t>PT Lenox Pasifik Investama Tbk</t>
  </si>
  <si>
    <t>NICK</t>
  </si>
  <si>
    <t>PT Charnic Capital Tbk.</t>
  </si>
  <si>
    <t>OCAP</t>
  </si>
  <si>
    <t>Onix Capital Tbk</t>
  </si>
  <si>
    <t>PALM</t>
  </si>
  <si>
    <t>PT Provident Investasi Bersama Tbk</t>
  </si>
  <si>
    <t>PEGE</t>
  </si>
  <si>
    <t>Panca Global Kapital Tbk</t>
  </si>
  <si>
    <t>PLAS</t>
  </si>
  <si>
    <t>Polaris Investama Tbk</t>
  </si>
  <si>
    <t>POOL</t>
  </si>
  <si>
    <t>Pool Advista Indonesia Tbk</t>
  </si>
  <si>
    <t>09/30/2022</t>
  </si>
  <si>
    <t>SFAN</t>
  </si>
  <si>
    <t>Surya Fajar Capital Tbk</t>
  </si>
  <si>
    <t>SMMA</t>
  </si>
  <si>
    <t>Sinarmas Multiartha Tbk</t>
  </si>
  <si>
    <t>SRTG</t>
  </si>
  <si>
    <t>PT Saratoga Investama Sedaya Tbk.</t>
  </si>
  <si>
    <t>STAR</t>
  </si>
  <si>
    <t>Buana Artha Anugerah Tbk</t>
  </si>
  <si>
    <t>VICO</t>
  </si>
  <si>
    <t>Victoria Investama Tbk</t>
  </si>
  <si>
    <t>Properties &amp; Real Estate</t>
  </si>
  <si>
    <t>H111</t>
  </si>
  <si>
    <t>Real Estate Development &amp; Management</t>
  </si>
  <si>
    <t>ADCP</t>
  </si>
  <si>
    <t>Adhi Commuter Properti Tbk</t>
  </si>
  <si>
    <t>AMAN</t>
  </si>
  <si>
    <t>Makmur Berkah Amanda Tbk</t>
  </si>
  <si>
    <t>APLN</t>
  </si>
  <si>
    <t>Agung Podomoro Land Tbk</t>
  </si>
  <si>
    <t>ARMY</t>
  </si>
  <si>
    <t>Armidian Karyatama Tbk</t>
  </si>
  <si>
    <t>ASPI</t>
  </si>
  <si>
    <t>Andalan Sakti Primaindo Tbk</t>
  </si>
  <si>
    <t>ASRI</t>
  </si>
  <si>
    <t>Alam Sutera Realty Tbk</t>
  </si>
  <si>
    <t>ATAP</t>
  </si>
  <si>
    <t>Trimitra Prawara Goldland Tbk</t>
  </si>
  <si>
    <t>BAPA</t>
  </si>
  <si>
    <t>Bekasi Asri Pemula Tbk</t>
  </si>
  <si>
    <t>BAPI</t>
  </si>
  <si>
    <t>Bhakti Agung Propertindo Tbk</t>
  </si>
  <si>
    <t>BBSS</t>
  </si>
  <si>
    <t>Bumi Benowo Sukses Sejahtera Tbk</t>
  </si>
  <si>
    <t>BCIP</t>
  </si>
  <si>
    <t>Bumi Citra Permai Tbk</t>
  </si>
  <si>
    <t>BEST</t>
  </si>
  <si>
    <t>Bekasi Fajar Industrial Estate Tbk</t>
  </si>
  <si>
    <t>BIKA</t>
  </si>
  <si>
    <t>Binakarya Jaya Abadi Tbk</t>
  </si>
  <si>
    <t>BIPP</t>
  </si>
  <si>
    <t>Bhuwanatala Indah Permai Tbk</t>
  </si>
  <si>
    <t>BKDP</t>
  </si>
  <si>
    <t>Bukit Darmo Property Tbk</t>
  </si>
  <si>
    <t>BKSL</t>
  </si>
  <si>
    <t>Sentul City Tbk</t>
  </si>
  <si>
    <t>BSBK</t>
  </si>
  <si>
    <t>PT Wulandari Bangun Laksana Tbk</t>
  </si>
  <si>
    <t>BSDE</t>
  </si>
  <si>
    <t>Bumi Serpong Damai Tbk</t>
  </si>
  <si>
    <t>CBDK</t>
  </si>
  <si>
    <t>PT Bangun Kosambi Sukses Tbk</t>
  </si>
  <si>
    <t>CBPE</t>
  </si>
  <si>
    <t>PT Citra Buana Prasida Tbk</t>
  </si>
  <si>
    <t>CITY</t>
  </si>
  <si>
    <t>Natura City Developments Tbk</t>
  </si>
  <si>
    <t>COWL</t>
  </si>
  <si>
    <t>Cowell Development Tbk</t>
  </si>
  <si>
    <t>CPRI</t>
  </si>
  <si>
    <t>Capri Nusa Satu Properti Tbk</t>
  </si>
  <si>
    <t>CSIS</t>
  </si>
  <si>
    <t>Cahayasakti Investindo Sukses Tbk</t>
  </si>
  <si>
    <t>CTRA</t>
  </si>
  <si>
    <t>Ciputra Development Tbk</t>
  </si>
  <si>
    <t>DADA</t>
  </si>
  <si>
    <t>Diamond Citra Propertindo Tbk</t>
  </si>
  <si>
    <t>DART</t>
  </si>
  <si>
    <t>Duta Anggada Realty Tbk</t>
  </si>
  <si>
    <t>DILD</t>
  </si>
  <si>
    <t>Intiland Development Tbk</t>
  </si>
  <si>
    <t>DMAS</t>
  </si>
  <si>
    <t>Puradelta Lestari Tbk</t>
  </si>
  <si>
    <t>DUTI</t>
  </si>
  <si>
    <t>Duta Pertiwi Tbk</t>
  </si>
  <si>
    <t>ELTY</t>
  </si>
  <si>
    <t>Bakrieland Development Tbk</t>
  </si>
  <si>
    <t>EMDE</t>
  </si>
  <si>
    <t>Megapolitan Developments Tbk</t>
  </si>
  <si>
    <t>FMII</t>
  </si>
  <si>
    <t>Fortune Mate Indonesia Tbk</t>
  </si>
  <si>
    <t>GAMA</t>
  </si>
  <si>
    <t>Aksara Global Development Tbk</t>
  </si>
  <si>
    <t>GMTD</t>
  </si>
  <si>
    <t>Gowa Makassar Tourism Development Tbk</t>
  </si>
  <si>
    <t>GPRA</t>
  </si>
  <si>
    <t>Perdana Gapuraprima Tbk</t>
  </si>
  <si>
    <t>GRIA</t>
  </si>
  <si>
    <t>PT Ingria Pratama Capitalindo Tbk</t>
  </si>
  <si>
    <t>HBAT</t>
  </si>
  <si>
    <t>PT Minahasa Membangun Hebat Tbk</t>
  </si>
  <si>
    <t>HOMI</t>
  </si>
  <si>
    <t>Grand House Mulia Tbk</t>
  </si>
  <si>
    <t>H112</t>
  </si>
  <si>
    <t>Real Estate Services</t>
  </si>
  <si>
    <t>INDO</t>
  </si>
  <si>
    <t>PT Royalindo Investa Wijaya Tbk</t>
  </si>
  <si>
    <t>INPP</t>
  </si>
  <si>
    <t>Indonesian Paradise Property Tbk</t>
  </si>
  <si>
    <t>IPAC</t>
  </si>
  <si>
    <t>Era Graharealty Tbk</t>
  </si>
  <si>
    <t>JRPT</t>
  </si>
  <si>
    <t>Jaya Real Property Tbk</t>
  </si>
  <si>
    <t>KBAG</t>
  </si>
  <si>
    <t>Karya Bersama Anugerah Tbk</t>
  </si>
  <si>
    <t>KIJA</t>
  </si>
  <si>
    <t>Kawasan Industri Jababeka Tbk</t>
  </si>
  <si>
    <t>KOCI</t>
  </si>
  <si>
    <t>PT Kokoh Exa Nusantara</t>
  </si>
  <si>
    <t>KSIX</t>
  </si>
  <si>
    <t>PT Kentanix Supra International Tbk</t>
  </si>
  <si>
    <t>LAND</t>
  </si>
  <si>
    <t>Trimitra Propertindo Tbk</t>
  </si>
  <si>
    <t>LCGP</t>
  </si>
  <si>
    <t>Eureka Prima Jakarta Tbk</t>
  </si>
  <si>
    <t>LPCK</t>
  </si>
  <si>
    <t>Lippo Cikarang Tbk</t>
  </si>
  <si>
    <t>LPKR</t>
  </si>
  <si>
    <t>Lippo Karawaci Tbk</t>
  </si>
  <si>
    <t>LPLI</t>
  </si>
  <si>
    <t>Star Pacific Tbk</t>
  </si>
  <si>
    <t>MDLN</t>
  </si>
  <si>
    <t>Modernland Realty Tbk</t>
  </si>
  <si>
    <t>MKPI</t>
  </si>
  <si>
    <t>Metropolitan Kentjana Tbk</t>
  </si>
  <si>
    <t>MMLP</t>
  </si>
  <si>
    <t>Mega Manunggal Property Tbk</t>
  </si>
  <si>
    <t>MPRO</t>
  </si>
  <si>
    <t>Maha Properti Indonesia Tbk</t>
  </si>
  <si>
    <t>MSIE</t>
  </si>
  <si>
    <t>PT Multisarana Intan Eduka Tbk</t>
  </si>
  <si>
    <t>MTLA</t>
  </si>
  <si>
    <t>Metropolitan Land Tbk</t>
  </si>
  <si>
    <t>MTSM</t>
  </si>
  <si>
    <t>Metro Realty Tbk</t>
  </si>
  <si>
    <t>NASA</t>
  </si>
  <si>
    <t>Andalan Perkasa Abadi Tbk</t>
  </si>
  <si>
    <t>NIRO</t>
  </si>
  <si>
    <t>City Retail Developments Tbk</t>
  </si>
  <si>
    <t>NZIA</t>
  </si>
  <si>
    <t>Nusantara Almazia Tbk</t>
  </si>
  <si>
    <t>OMRE</t>
  </si>
  <si>
    <t>Indonesia Prima Property Tbk</t>
  </si>
  <si>
    <t>PAMG</t>
  </si>
  <si>
    <t>Bima Sakti Pertiwi Tbk</t>
  </si>
  <si>
    <t>PANI</t>
  </si>
  <si>
    <t>Pantai Indah Kapuk Dua Tbk</t>
  </si>
  <si>
    <t>PLIN</t>
  </si>
  <si>
    <t>Plaza Indonesia Realty Tbk</t>
  </si>
  <si>
    <t>POLI</t>
  </si>
  <si>
    <t>Pollux Hotels Group Tbk</t>
  </si>
  <si>
    <t>POLL</t>
  </si>
  <si>
    <t>Pollux Properties Indonesia Tbk</t>
  </si>
  <si>
    <t>POSA</t>
  </si>
  <si>
    <t>Bliss Properti Indonesia Tbk</t>
  </si>
  <si>
    <t>PPRO</t>
  </si>
  <si>
    <t>PP Properti Tbk</t>
  </si>
  <si>
    <t>PUDP</t>
  </si>
  <si>
    <t>Pudjiadi Prestige Tbk</t>
  </si>
  <si>
    <t>PURI</t>
  </si>
  <si>
    <t>Puri Global Sukses Tbk</t>
  </si>
  <si>
    <t>PWON</t>
  </si>
  <si>
    <t>Pakuwon Jati Tbk</t>
  </si>
  <si>
    <t>RBMS</t>
  </si>
  <si>
    <t>Ristia Bintang Mahkotasejati Tbk</t>
  </si>
  <si>
    <t>RDTX</t>
  </si>
  <si>
    <t>Roda Vivatex Tbk</t>
  </si>
  <si>
    <t>REAL</t>
  </si>
  <si>
    <t>Repower Asia Indonesia Tbk</t>
  </si>
  <si>
    <t>RELF</t>
  </si>
  <si>
    <t xml:space="preserve">PT Graha Mitra Asia Tbk. </t>
  </si>
  <si>
    <t>RIMO</t>
  </si>
  <si>
    <t>Rimo International Lestari Tbk</t>
  </si>
  <si>
    <t>RISE</t>
  </si>
  <si>
    <t>Jaya Sukses Makmur Sentosa Tbk</t>
  </si>
  <si>
    <t>ROCK</t>
  </si>
  <si>
    <t>Rockfields Properti Indonesia Tbk</t>
  </si>
  <si>
    <t>RODA</t>
  </si>
  <si>
    <t>Pikko Land Development Tbk</t>
  </si>
  <si>
    <t>SAGE</t>
  </si>
  <si>
    <t>PT Saptausaha Gemilangindah Tbk</t>
  </si>
  <si>
    <t>SATU</t>
  </si>
  <si>
    <t>Kota Satu Properti Tbk</t>
  </si>
  <si>
    <t>SMDM</t>
  </si>
  <si>
    <t>Suryamas Dutamakmur Tbk</t>
  </si>
  <si>
    <t>SMRA</t>
  </si>
  <si>
    <t>Summarecon Agung Tbk</t>
  </si>
  <si>
    <t>TARA</t>
  </si>
  <si>
    <t>Agung Semesta Sejahtera Tbk</t>
  </si>
  <si>
    <t>TRIN</t>
  </si>
  <si>
    <t>Perintis Triniti Properti Tbk</t>
  </si>
  <si>
    <t>TRUE</t>
  </si>
  <si>
    <t>Triniti Dinamik Tbk</t>
  </si>
  <si>
    <t>UANG</t>
  </si>
  <si>
    <t>Pakuan Tbk</t>
  </si>
  <si>
    <t>URBN</t>
  </si>
  <si>
    <t>Urban Jakarta Propertindo Tbk</t>
  </si>
  <si>
    <t>VAST</t>
  </si>
  <si>
    <t>PT Vastland Indonesia Tbk</t>
  </si>
  <si>
    <t>WINR</t>
  </si>
  <si>
    <t>PT Winner Nusantara Jaya Tbk</t>
  </si>
  <si>
    <t>Technology</t>
  </si>
  <si>
    <t>I121</t>
  </si>
  <si>
    <t>IT Services &amp; Consulting</t>
  </si>
  <si>
    <t>AREA</t>
  </si>
  <si>
    <t>PT Dunia Virtual Online Tbk</t>
  </si>
  <si>
    <t>ATIC</t>
  </si>
  <si>
    <t>Anabatic Technologies Tbk</t>
  </si>
  <si>
    <t>I111</t>
  </si>
  <si>
    <t>Online Applications &amp; Services</t>
  </si>
  <si>
    <t>AWAN</t>
  </si>
  <si>
    <t>PT Era Digital Media Tbk</t>
  </si>
  <si>
    <t>BELI</t>
  </si>
  <si>
    <t>PT Global Digital Niaga Tbk</t>
  </si>
  <si>
    <t>BUKA</t>
  </si>
  <si>
    <t>Bukalapakcom Tbk</t>
  </si>
  <si>
    <t>CASH</t>
  </si>
  <si>
    <t>Cashlez Worldwide Indonesia Tbk</t>
  </si>
  <si>
    <t>CYBR</t>
  </si>
  <si>
    <t>PT ITSEC Asia Tbk.</t>
  </si>
  <si>
    <t>DCII</t>
  </si>
  <si>
    <t>DCI Indonesia Tbk</t>
  </si>
  <si>
    <t>DIVA</t>
  </si>
  <si>
    <t>Distribusi Voucher Nusantara Tbk</t>
  </si>
  <si>
    <t>DMMX</t>
  </si>
  <si>
    <t>Digital Mediatama Maxima Tbk</t>
  </si>
  <si>
    <t>EDGE</t>
  </si>
  <si>
    <t>Indointernet Tbk</t>
  </si>
  <si>
    <t>ELIT</t>
  </si>
  <si>
    <t>PT Data Sinergitama Jaya Tbk</t>
  </si>
  <si>
    <t>EMTK</t>
  </si>
  <si>
    <t>Elang Mahkota Teknologi Tbk</t>
  </si>
  <si>
    <t>ENVY</t>
  </si>
  <si>
    <t>Envy Technologies Indonesia Tbk</t>
  </si>
  <si>
    <t>GOTO</t>
  </si>
  <si>
    <t>GoTo Gojek Tokopedia Tbk.</t>
  </si>
  <si>
    <t>GOTOM</t>
  </si>
  <si>
    <t>MVS GoTo Gojek Tokopedia Tbk.</t>
  </si>
  <si>
    <t>HDIT</t>
  </si>
  <si>
    <t>Hensel Davest Indonesia Tbk</t>
  </si>
  <si>
    <t>I131</t>
  </si>
  <si>
    <t>Software</t>
  </si>
  <si>
    <t>IRSX</t>
  </si>
  <si>
    <t>PT Aviana Sinar Abadi Tbk</t>
  </si>
  <si>
    <t>JATI</t>
  </si>
  <si>
    <t>PT Informasi Teknologi Indonesia Tbk.</t>
  </si>
  <si>
    <t>KIOS</t>
  </si>
  <si>
    <t>Kioson Komersial Indonesia Tbk</t>
  </si>
  <si>
    <t>KREN</t>
  </si>
  <si>
    <t>Kresna Graha Investama Tbk</t>
  </si>
  <si>
    <t>LMAS</t>
  </si>
  <si>
    <t>Limas Indonesia Makmur Tbk</t>
  </si>
  <si>
    <t>MCAS</t>
  </si>
  <si>
    <t>M Cash Integrasi Tbk</t>
  </si>
  <si>
    <t>MLPT</t>
  </si>
  <si>
    <t>Multipolar Technology Tbk</t>
  </si>
  <si>
    <t>MPIX</t>
  </si>
  <si>
    <t>PT Mitra Pedagang Indonesia Tbk.</t>
  </si>
  <si>
    <t>NFCX</t>
  </si>
  <si>
    <t>NFC Indonesia Tbk</t>
  </si>
  <si>
    <t>PGJO</t>
  </si>
  <si>
    <t>Tourindo Guide Indonesia Tbk</t>
  </si>
  <si>
    <t>RUNS</t>
  </si>
  <si>
    <t>Global Sukses Solusi Tbk</t>
  </si>
  <si>
    <t>SKYB</t>
  </si>
  <si>
    <t>PT Northcliff Citranusa Indonesia Tbk.</t>
  </si>
  <si>
    <t>TECH</t>
  </si>
  <si>
    <t>Indosterling Technomedia Tbk</t>
  </si>
  <si>
    <t>TFAS</t>
  </si>
  <si>
    <t>Telefast Indonesia Tbk</t>
  </si>
  <si>
    <t>TOSK</t>
  </si>
  <si>
    <t>PT Topindo Solusi Komunika Tbk.</t>
  </si>
  <si>
    <t>TRON</t>
  </si>
  <si>
    <t>PT Teknologi Karya Digital Nusa Tbk.</t>
  </si>
  <si>
    <t>UVCR</t>
  </si>
  <si>
    <t>Trimegah Karya Pratama Tbk</t>
  </si>
  <si>
    <t>WGSH</t>
  </si>
  <si>
    <t>Wira Global Solusi Tbk</t>
  </si>
  <si>
    <t>WIFI</t>
  </si>
  <si>
    <t>Solusi Sinergi Digital Tbk</t>
  </si>
  <si>
    <t>WIRG</t>
  </si>
  <si>
    <t>PT WIR ASIA Tbk</t>
  </si>
  <si>
    <t>I221</t>
  </si>
  <si>
    <t>Computer Hardware</t>
  </si>
  <si>
    <t>AXIO</t>
  </si>
  <si>
    <t>PT Tera Data Indonusa Tbk</t>
  </si>
  <si>
    <t>I231</t>
  </si>
  <si>
    <t>Electronic Equipment &amp; Instruments</t>
  </si>
  <si>
    <t>CHIP</t>
  </si>
  <si>
    <t>PT Pelita Teknologi Global Tbk</t>
  </si>
  <si>
    <t>GLVA</t>
  </si>
  <si>
    <t>Galva Technologies Tbk</t>
  </si>
  <si>
    <t>IOTF</t>
  </si>
  <si>
    <t>PT Sumber Sinergi Makmur Tbk</t>
  </si>
  <si>
    <t>LUCK</t>
  </si>
  <si>
    <t>Sentral Mitra Informatika Tbk</t>
  </si>
  <si>
    <t>MENN</t>
  </si>
  <si>
    <t>PT Menn Teknologi Indonesia Tbk.</t>
  </si>
  <si>
    <t>I211</t>
  </si>
  <si>
    <t>Networking Equipment</t>
  </si>
  <si>
    <t>MSTI</t>
  </si>
  <si>
    <t>PT Mastersystem Infotama Tbk.</t>
  </si>
  <si>
    <t>MTDL</t>
  </si>
  <si>
    <t>Metrodata Electronics Tbk</t>
  </si>
  <si>
    <t>NINE</t>
  </si>
  <si>
    <t>PT Techno9 Indonesia Tbk</t>
  </si>
  <si>
    <t>PTSN</t>
  </si>
  <si>
    <t>Sat Nusapersada Tbk</t>
  </si>
  <si>
    <t>ZYRX</t>
  </si>
  <si>
    <t>Zyrexindo Mandiri Buana Tbk</t>
  </si>
  <si>
    <t>Infrastructures</t>
  </si>
  <si>
    <t>J111</t>
  </si>
  <si>
    <t>Airport Operators</t>
  </si>
  <si>
    <t>CASS</t>
  </si>
  <si>
    <t>Cardig Aero Services Tbk</t>
  </si>
  <si>
    <t>J112</t>
  </si>
  <si>
    <t>Highways &amp; Railtracks</t>
  </si>
  <si>
    <t>CMNP</t>
  </si>
  <si>
    <t>Citra Marga Nusaphala Persada Tbk</t>
  </si>
  <si>
    <t>GMFI</t>
  </si>
  <si>
    <t>Garuda Maintenance Facility Aero Asia Tbk</t>
  </si>
  <si>
    <t>J113</t>
  </si>
  <si>
    <t>Marine Ports &amp; Services</t>
  </si>
  <si>
    <t>IPCC</t>
  </si>
  <si>
    <t>PT Indonesia Kendaraan Terminal Tbk.</t>
  </si>
  <si>
    <t>IPCM</t>
  </si>
  <si>
    <t>PT Jasa Armada Indonesia Tbk.</t>
  </si>
  <si>
    <t>JSMR</t>
  </si>
  <si>
    <t>Jasa Marga (Persero) Tbk</t>
  </si>
  <si>
    <t>KARW</t>
  </si>
  <si>
    <t>Meratus Jasa Prima Tbk</t>
  </si>
  <si>
    <t>META</t>
  </si>
  <si>
    <t>Nusantara Infrastructure Tbk</t>
  </si>
  <si>
    <t>PORT</t>
  </si>
  <si>
    <t>PT Nusantara Pelabuhan Handal Tbk.</t>
  </si>
  <si>
    <t>J211</t>
  </si>
  <si>
    <t>Heavy Constructions &amp; Civil Engineering</t>
  </si>
  <si>
    <t>ACST</t>
  </si>
  <si>
    <t>PT Acset Indonusa Tbk.</t>
  </si>
  <si>
    <t>ADHI</t>
  </si>
  <si>
    <t>PT Adhi Karya (Persero) Tbk.</t>
  </si>
  <si>
    <t>ASLI</t>
  </si>
  <si>
    <t>PT Asri Karya Lestari Tbk.</t>
  </si>
  <si>
    <t>BDKR</t>
  </si>
  <si>
    <t>PT Berdikari Pondasi Perkasa Tbk.</t>
  </si>
  <si>
    <t>BUKK</t>
  </si>
  <si>
    <t>Bukaka Teknik Utama Tbk</t>
  </si>
  <si>
    <t>DGIK</t>
  </si>
  <si>
    <t>Nusa Konstruksi Enjiniring  Tbk</t>
  </si>
  <si>
    <t>FIMP</t>
  </si>
  <si>
    <t>Fimperkasa Utama Tbk</t>
  </si>
  <si>
    <t>IDPR</t>
  </si>
  <si>
    <t>PT Indonesia Pondasi Raya Tbk.</t>
  </si>
  <si>
    <t>JKON</t>
  </si>
  <si>
    <t>Jaya Konstruksi Manggala Pratama Tbk</t>
  </si>
  <si>
    <t>KOKA</t>
  </si>
  <si>
    <t>PT Koka Indonesia Tbk.</t>
  </si>
  <si>
    <t>KRYA</t>
  </si>
  <si>
    <t>PT Bangun Karya Perkasa Jaya Tbk</t>
  </si>
  <si>
    <t>MANG</t>
  </si>
  <si>
    <t>PT Manggung Polahraya Tbk</t>
  </si>
  <si>
    <t>MTPS</t>
  </si>
  <si>
    <t>PT Meta Epsi Tbk.</t>
  </si>
  <si>
    <t>MTRA</t>
  </si>
  <si>
    <t>PT Mitra Pemuda Tbk.</t>
  </si>
  <si>
    <t>NRCA</t>
  </si>
  <si>
    <t>PT Nusa Raya Cipta Tbk.</t>
  </si>
  <si>
    <t>PBSA</t>
  </si>
  <si>
    <t>PT Paramita Bangun Sarana Tbk</t>
  </si>
  <si>
    <t>PPRE</t>
  </si>
  <si>
    <t>PT PP Presisi Tbk.</t>
  </si>
  <si>
    <t>PTDU</t>
  </si>
  <si>
    <t>PT Djasa Ubersakti Tbk</t>
  </si>
  <si>
    <t>12/31/2024</t>
  </si>
  <si>
    <t>PTPP</t>
  </si>
  <si>
    <t>PP (Persero) Tbk</t>
  </si>
  <si>
    <t>PTPW</t>
  </si>
  <si>
    <t>PT Pratama Widya Tbk.</t>
  </si>
  <si>
    <t>RONY</t>
  </si>
  <si>
    <t>PT Aesler Grup Internasional Tbk</t>
  </si>
  <si>
    <t>SMKM</t>
  </si>
  <si>
    <t>PT Sumber Mas Konstruksi Tbk</t>
  </si>
  <si>
    <t>SSIA</t>
  </si>
  <si>
    <t>PT Surya Semesta Internusa Tbk</t>
  </si>
  <si>
    <t>TAMA</t>
  </si>
  <si>
    <t>PT Lancartama Sejati Tbk.</t>
  </si>
  <si>
    <t>TOPS</t>
  </si>
  <si>
    <t>PT Totalindo Eka Persada Tbk.</t>
  </si>
  <si>
    <t>TOTL</t>
  </si>
  <si>
    <t>Total Bangun Persada Tbk</t>
  </si>
  <si>
    <t>WEGE</t>
  </si>
  <si>
    <t>PT Wijaya Karya Bangunan Gedung Tbk.</t>
  </si>
  <si>
    <t>WIKA</t>
  </si>
  <si>
    <t>PT Wijaya Karya (Persero) Tbk</t>
  </si>
  <si>
    <t>WSKT</t>
  </si>
  <si>
    <t>PT Waskita Karya (Persero) Tbk</t>
  </si>
  <si>
    <t>J321</t>
  </si>
  <si>
    <t>Wireless Telecommunication Services</t>
  </si>
  <si>
    <t>BALI</t>
  </si>
  <si>
    <t>PT Bali Towerindo Sentra Tbk.</t>
  </si>
  <si>
    <t>BTEL</t>
  </si>
  <si>
    <t>Bakrie Telecom Tbk</t>
  </si>
  <si>
    <t>CENT</t>
  </si>
  <si>
    <t>PT Centratama Telekomunikasi Indonesia Tbk.</t>
  </si>
  <si>
    <t>J311</t>
  </si>
  <si>
    <t>Wired Telecommunication Service</t>
  </si>
  <si>
    <t>DATA</t>
  </si>
  <si>
    <t>PT Remala Abadi Tbk</t>
  </si>
  <si>
    <t>EXCL</t>
  </si>
  <si>
    <t>PT XL Axiata Tbk</t>
  </si>
  <si>
    <t>GHON</t>
  </si>
  <si>
    <t>PT Gihon Telekomunikasi Indonesia Tbk</t>
  </si>
  <si>
    <t>GOLD</t>
  </si>
  <si>
    <t>PT Visi Telekomunikasi Infrastruktur Tbk.</t>
  </si>
  <si>
    <t>IBST</t>
  </si>
  <si>
    <t>Inti Bangun Sejahtera Tbk</t>
  </si>
  <si>
    <t>INET</t>
  </si>
  <si>
    <t>PT Sinergi Inti Andalan Prima Tbk.</t>
  </si>
  <si>
    <t>ISAT</t>
  </si>
  <si>
    <t>PT Indosat Tbk</t>
  </si>
  <si>
    <t>JAST</t>
  </si>
  <si>
    <t>Jasnita Telekomindo Tbk</t>
  </si>
  <si>
    <t>KBLV</t>
  </si>
  <si>
    <t>First Media Tbk</t>
  </si>
  <si>
    <t>KETR</t>
  </si>
  <si>
    <t>PT Ketrosden Triasmitra</t>
  </si>
  <si>
    <t>LCKM</t>
  </si>
  <si>
    <t>PT LCK Global Kedaton Tbk</t>
  </si>
  <si>
    <t>LINK</t>
  </si>
  <si>
    <t>Link Net Tbk</t>
  </si>
  <si>
    <t>MORA</t>
  </si>
  <si>
    <t>PT Mora Telematika Indonesia Tbk</t>
  </si>
  <si>
    <t>MTEL</t>
  </si>
  <si>
    <t>Dayamitra Telekomunikasi Tbk</t>
  </si>
  <si>
    <t>OASA</t>
  </si>
  <si>
    <t>PT Protech Mitra Perkasa Tbk</t>
  </si>
  <si>
    <t>SUPR</t>
  </si>
  <si>
    <t>Solusi Tunas Pratama Tbk</t>
  </si>
  <si>
    <t>TBIG</t>
  </si>
  <si>
    <t>PT Tower Bersama Infrastructure Tbk</t>
  </si>
  <si>
    <t>J312</t>
  </si>
  <si>
    <t>Integrated Telecommunication Service</t>
  </si>
  <si>
    <t>TLKM</t>
  </si>
  <si>
    <t>Telkom Indonesia (Persero) Tbk.</t>
  </si>
  <si>
    <t>TOWR</t>
  </si>
  <si>
    <t>Sarana Menara Nusantara Tbk</t>
  </si>
  <si>
    <t>J411</t>
  </si>
  <si>
    <t>Electric Utilities</t>
  </si>
  <si>
    <t>ARKO</t>
  </si>
  <si>
    <t>PT Arkora Hydro Tbk.</t>
  </si>
  <si>
    <t>BREN</t>
  </si>
  <si>
    <t>PT Barito Renewables Energy Tbk.</t>
  </si>
  <si>
    <t>CDIA</t>
  </si>
  <si>
    <t>PT Chandra Daya Investasi Tbk</t>
  </si>
  <si>
    <t>J421</t>
  </si>
  <si>
    <t>Gas Utilities</t>
  </si>
  <si>
    <t>HADE</t>
  </si>
  <si>
    <t>Himalaya Energi Perkasa Tbk</t>
  </si>
  <si>
    <t>HGII</t>
  </si>
  <si>
    <t>PT Hero Global Investment Tbk</t>
  </si>
  <si>
    <t>KEEN</t>
  </si>
  <si>
    <t>Kencana Energi Lestari Tbk</t>
  </si>
  <si>
    <t>MPOW</t>
  </si>
  <si>
    <t>Megapower Makmur Tbk</t>
  </si>
  <si>
    <t>PGEO</t>
  </si>
  <si>
    <t>PT Pertamina Geothermal Energy Tbk</t>
  </si>
  <si>
    <t>POWR</t>
  </si>
  <si>
    <t>Cikarang Listrindo Tbk</t>
  </si>
  <si>
    <t>TGRA</t>
  </si>
  <si>
    <t>Terregra Asia Energy Tbk</t>
  </si>
  <si>
    <t>Transportation &amp; Logistic</t>
  </si>
  <si>
    <t>K132</t>
  </si>
  <si>
    <t>Road Transportation</t>
  </si>
  <si>
    <t>ASSA</t>
  </si>
  <si>
    <t>Adi Sarana Armada Tbk</t>
  </si>
  <si>
    <t>BIRD</t>
  </si>
  <si>
    <t>PT Blue Bird Tbk</t>
  </si>
  <si>
    <t>BPTR</t>
  </si>
  <si>
    <t>PT Batavia Prosperindo Trans Tbk.</t>
  </si>
  <si>
    <t>K111</t>
  </si>
  <si>
    <t>Airlines</t>
  </si>
  <si>
    <t>CMPP</t>
  </si>
  <si>
    <t>AirAsia Indonesia Tbk</t>
  </si>
  <si>
    <t>GIAA</t>
  </si>
  <si>
    <t>Garuda Indonesia (Persero) Tbk</t>
  </si>
  <si>
    <t>HELI</t>
  </si>
  <si>
    <t>Jaya Trishindo Tbk</t>
  </si>
  <si>
    <t>IMJS</t>
  </si>
  <si>
    <t>Indomobil Multi Jasa Tbk</t>
  </si>
  <si>
    <t>LRNA</t>
  </si>
  <si>
    <t>PT Eka Sari Lorena Transport Tbk.</t>
  </si>
  <si>
    <t>SAFE</t>
  </si>
  <si>
    <t>Steady Safe Tbk</t>
  </si>
  <si>
    <t>TAXI</t>
  </si>
  <si>
    <t>Express Transindo Utama Tbk</t>
  </si>
  <si>
    <t>TRJA</t>
  </si>
  <si>
    <t>PT Transkon Jaya Tbk.</t>
  </si>
  <si>
    <t>WEHA</t>
  </si>
  <si>
    <t>PT WEHA Transportasi Indonesia Tbk</t>
  </si>
  <si>
    <t>K211</t>
  </si>
  <si>
    <t>Logistics &amp; Deliveries</t>
  </si>
  <si>
    <t>AKSI</t>
  </si>
  <si>
    <t>PT Maming Enam Sembilan Mineral Tbk.</t>
  </si>
  <si>
    <t>BLOG</t>
  </si>
  <si>
    <t>PT Trimitra Trans Persada Tbk</t>
  </si>
  <si>
    <t>BLTA</t>
  </si>
  <si>
    <t>Berlian Laju Tanker Tbk</t>
  </si>
  <si>
    <t>DEAL</t>
  </si>
  <si>
    <t>PT Dewata Freightinternational Tbk.</t>
  </si>
  <si>
    <t>ELPI</t>
  </si>
  <si>
    <t>PT Pelayaran Nasional Ekalya Purnamasari Tbk</t>
  </si>
  <si>
    <t>GTRA</t>
  </si>
  <si>
    <t>PT Grahaprima Suksesmandiri Tbk</t>
  </si>
  <si>
    <t>HAIS</t>
  </si>
  <si>
    <t>Hasnur Internasional Shipping Tbk</t>
  </si>
  <si>
    <t>HATM</t>
  </si>
  <si>
    <t>PT Habco Trans Maritima Tbk</t>
  </si>
  <si>
    <t>JAYA</t>
  </si>
  <si>
    <t>PT Armada Berjaya Trans Tbk.</t>
  </si>
  <si>
    <t>KJEN</t>
  </si>
  <si>
    <t>PT Krida Jaringan Nusantara Tbk.</t>
  </si>
  <si>
    <t>KLAS</t>
  </si>
  <si>
    <t>PT Pelayaran Kurnia Lautan Semesta Tbk</t>
  </si>
  <si>
    <t>LAJU</t>
  </si>
  <si>
    <t>PT Jasa Berdikari Logistics Tbk</t>
  </si>
  <si>
    <t>LOPI</t>
  </si>
  <si>
    <t>PT Logisticsplus International Tbk</t>
  </si>
  <si>
    <t>MIRA</t>
  </si>
  <si>
    <t>Mitra International Resources Tbk</t>
  </si>
  <si>
    <t>MITI</t>
  </si>
  <si>
    <t>Mitra Investindo Tbk</t>
  </si>
  <si>
    <t>MPXL</t>
  </si>
  <si>
    <t>PT MPX Logistics International Tbk</t>
  </si>
  <si>
    <t>NELY</t>
  </si>
  <si>
    <t>Pelayaran Nelly Dwi Putri Tbk</t>
  </si>
  <si>
    <t>PPGL</t>
  </si>
  <si>
    <t>PT Prima Globalindo Logistik Tbk.</t>
  </si>
  <si>
    <t>PURA</t>
  </si>
  <si>
    <t>PT Putra Rajawali Kencana Tbk.</t>
  </si>
  <si>
    <t>RCCC</t>
  </si>
  <si>
    <t>PT Utama Radar Cahaya Tbk</t>
  </si>
  <si>
    <t>SAPX</t>
  </si>
  <si>
    <t>PT Satria Antaran Prima Tbk.</t>
  </si>
  <si>
    <t>SDMU</t>
  </si>
  <si>
    <t>Sidomulyo Selaras Tbk</t>
  </si>
  <si>
    <t>SMDR</t>
  </si>
  <si>
    <t>Samudera Indonesia Tbk</t>
  </si>
  <si>
    <t>TMAS</t>
  </si>
  <si>
    <t>PT Temas Tbk.</t>
  </si>
  <si>
    <t>TNCA</t>
  </si>
  <si>
    <t>PT Trimuda Nuansa Citra Tbk.</t>
  </si>
  <si>
    <t>TRUK</t>
  </si>
  <si>
    <t>PT Guna Timur Raya Tbk.</t>
  </si>
  <si>
    <t>Market PER</t>
  </si>
  <si>
    <t>14.55</t>
  </si>
  <si>
    <t>Market PBV</t>
  </si>
  <si>
    <t>2.42</t>
  </si>
  <si>
    <t>Summary Financial Ratio by Industry - Sep 2025</t>
  </si>
  <si>
    <t>Sector/Sub Sector</t>
  </si>
  <si>
    <t>P/E Ratio, X</t>
  </si>
  <si>
    <t>Price to BV, X</t>
  </si>
  <si>
    <t>D/E Ratio, X</t>
  </si>
  <si>
    <t>A. Energy</t>
  </si>
  <si>
    <t>A1. Oil, Gas &amp; Coal</t>
  </si>
  <si>
    <t>A2. Alternative Energy</t>
  </si>
  <si>
    <t>B. Basic Materials</t>
  </si>
  <si>
    <t>B1. Basic Materials</t>
  </si>
  <si>
    <t>C. Industrials</t>
  </si>
  <si>
    <t>C1. Industrial Goods</t>
  </si>
  <si>
    <t>C2. Industrial Services</t>
  </si>
  <si>
    <t>C3. Multi-sector Holdings</t>
  </si>
  <si>
    <t>D. Consumer Non-Cyclicals</t>
  </si>
  <si>
    <t>D1. Food &amp; Staples Retailing</t>
  </si>
  <si>
    <t>D2. Food &amp; Beverage</t>
  </si>
  <si>
    <t>D3. Tobacco</t>
  </si>
  <si>
    <t>D4. Nondurable Household Products</t>
  </si>
  <si>
    <t>E. Consumer Cyclicals</t>
  </si>
  <si>
    <t>E1. Automobiles &amp; Components</t>
  </si>
  <si>
    <t>E2. Household Goods</t>
  </si>
  <si>
    <t>E3. Leisure Goods</t>
  </si>
  <si>
    <t>E4. Apparel &amp; Luxury Goods</t>
  </si>
  <si>
    <t>E5. Consumer Services</t>
  </si>
  <si>
    <t>E6. Media &amp; Entertainment</t>
  </si>
  <si>
    <t>E7. Retailing</t>
  </si>
  <si>
    <t>F. Healthcare</t>
  </si>
  <si>
    <t>F1. Healthcare Equipment &amp; Providers</t>
  </si>
  <si>
    <t>F2. Pharmaceuticals &amp; Health Care Research</t>
  </si>
  <si>
    <t>G. Financials</t>
  </si>
  <si>
    <t>G1. Banks</t>
  </si>
  <si>
    <t>G2. Financing Service</t>
  </si>
  <si>
    <t>G3. Investment Service</t>
  </si>
  <si>
    <t>G4. Insurance</t>
  </si>
  <si>
    <t>G5. Holding &amp; Investment Companies</t>
  </si>
  <si>
    <t>H. Properties &amp; Real Estate</t>
  </si>
  <si>
    <t>H1. Properties &amp; Real Estate</t>
  </si>
  <si>
    <t>I. Technology</t>
  </si>
  <si>
    <t>I1. Software &amp; IT Services</t>
  </si>
  <si>
    <t>I2. Technology Hardware &amp; Equipment</t>
  </si>
  <si>
    <t>J. Infrastructures</t>
  </si>
  <si>
    <t>J1. Transportation Infrastructure</t>
  </si>
  <si>
    <t>J2. Heavy Constructions &amp; Civil Engineering</t>
  </si>
  <si>
    <t>J3. Telecommunication</t>
  </si>
  <si>
    <t>J4. Utilities</t>
  </si>
  <si>
    <t>K. Transportation &amp; Logistic</t>
  </si>
  <si>
    <t>K1. Transportation</t>
  </si>
  <si>
    <t>K2. Logistics &amp; Deliveries</t>
  </si>
  <si>
    <t>INDF_income-statement_Annual_As_Originally_Reported</t>
  </si>
  <si>
    <t>2020</t>
  </si>
  <si>
    <t>2021</t>
  </si>
  <si>
    <t>2022</t>
  </si>
  <si>
    <t>2023</t>
  </si>
  <si>
    <t>2024</t>
  </si>
  <si>
    <t>TTM</t>
  </si>
  <si>
    <t>Gross Profit</t>
  </si>
  <si>
    <t xml:space="preserve">    Total Revenue</t>
  </si>
  <si>
    <t xml:space="preserve">        Business Revenue</t>
  </si>
  <si>
    <t xml:space="preserve">    Cost of Revenue</t>
  </si>
  <si>
    <t xml:space="preserve">        Cost of Goods and Services</t>
  </si>
  <si>
    <t>Operating Income/Expenses</t>
  </si>
  <si>
    <t xml:space="preserve">    Selling, General and Administrative Expenses</t>
  </si>
  <si>
    <t xml:space="preserve">        Staff Costs</t>
  </si>
  <si>
    <t xml:space="preserve">            Wages and Salaries</t>
  </si>
  <si>
    <t xml:space="preserve">            Directors' Remuneration</t>
  </si>
  <si>
    <t xml:space="preserve">        General and Administrative Expenses</t>
  </si>
  <si>
    <t xml:space="preserve">        Rent Expense</t>
  </si>
  <si>
    <t xml:space="preserve">        Selling and Marketing Expenses</t>
  </si>
  <si>
    <t xml:space="preserve">        Legal, Accounting, Auditing and Consulting Fee</t>
  </si>
  <si>
    <t xml:space="preserve">    Operation and Maintenance Expenses</t>
  </si>
  <si>
    <t xml:space="preserve">    Depreciation, Amortization and Depletion</t>
  </si>
  <si>
    <t xml:space="preserve">        Depreciation and Amortization</t>
  </si>
  <si>
    <t xml:space="preserve">            Depreciation</t>
  </si>
  <si>
    <t xml:space="preserve">            Amortization</t>
  </si>
  <si>
    <t xml:space="preserve">    Taxes Other Than Income Taxes</t>
  </si>
  <si>
    <t xml:space="preserve">    Provisions</t>
  </si>
  <si>
    <t xml:space="preserve">        Provision for Doubtful Accounts</t>
  </si>
  <si>
    <t xml:space="preserve">    Other Income/Expense, Operating</t>
  </si>
  <si>
    <t xml:space="preserve">        Other Income, Operating</t>
  </si>
  <si>
    <t xml:space="preserve">        Other Expenses, Operating</t>
  </si>
  <si>
    <t>Total Operating Profit/Loss</t>
  </si>
  <si>
    <t>Non-Operating Income/Expense, Total</t>
  </si>
  <si>
    <t xml:space="preserve">    Total Net Finance Income/Expense</t>
  </si>
  <si>
    <t xml:space="preserve">        Net Interest Income/Expense</t>
  </si>
  <si>
    <t xml:space="preserve">            Interest Expense Net of Capitalized Interest</t>
  </si>
  <si>
    <t xml:space="preserve">            Interest Income</t>
  </si>
  <si>
    <t xml:space="preserve">        Other Finance Income/Expenses</t>
  </si>
  <si>
    <t xml:space="preserve">            Other Finance Income</t>
  </si>
  <si>
    <t xml:space="preserve">    Net Investment Income</t>
  </si>
  <si>
    <t xml:space="preserve">        Income from Associates, JointVentures and Other Participating Interests</t>
  </si>
  <si>
    <t xml:space="preserve">            Share of Profit and Interest from Associates</t>
  </si>
  <si>
    <t xml:space="preserve">        Gain/Loss on Foreign Currency Exchange</t>
  </si>
  <si>
    <t xml:space="preserve">        Fair Value or Unrealized Gain/Loss on Financial Assets</t>
  </si>
  <si>
    <t xml:space="preserve">    Irregular Income/Expense</t>
  </si>
  <si>
    <t xml:space="preserve">        Disposal of Businesses</t>
  </si>
  <si>
    <t xml:space="preserve">        Fixed Asset Disposals</t>
  </si>
  <si>
    <t xml:space="preserve">        Impairment/Write Off/Write Down of Capital Assets</t>
  </si>
  <si>
    <t xml:space="preserve">        Goodwill Impairment/Write Off</t>
  </si>
  <si>
    <t xml:space="preserve">        Write Off/Write Down of Other Assets</t>
  </si>
  <si>
    <t xml:space="preserve">    Other Income/Expense, Non-Operating</t>
  </si>
  <si>
    <t>Pretax Income</t>
  </si>
  <si>
    <t>Provision for Income Tax</t>
  </si>
  <si>
    <t>Net Income before Extraordinary Items and Discontinued Operations</t>
  </si>
  <si>
    <t>Net Income after Extraordinary Items and Discontinued Operations</t>
  </si>
  <si>
    <t>Non-Controlling/Minority Interests</t>
  </si>
  <si>
    <t>Net Income after Non-Controlling/Minority Interests</t>
  </si>
  <si>
    <t>Net Income Available to Common Stockholders</t>
  </si>
  <si>
    <t>Diluted Net Income Available to Common Stockholders</t>
  </si>
  <si>
    <t>Income Statement Supplemental Section</t>
  </si>
  <si>
    <t xml:space="preserve">    Reported Normalized and Operating Income/Expense Supplemental Section</t>
  </si>
  <si>
    <t xml:space="preserve">        Total Revenue as Reported, Supplemental</t>
  </si>
  <si>
    <t xml:space="preserve">        Reported Total Operating Profit/Loss</t>
  </si>
  <si>
    <t xml:space="preserve">        Reported Normalized Income</t>
  </si>
  <si>
    <t xml:space="preserve">    Operating Income/Expense, Supplemental Section</t>
  </si>
  <si>
    <t xml:space="preserve">        Depreciation, Amortization and Depletion, Supplemental</t>
  </si>
  <si>
    <t xml:space="preserve">            Depreciation and Amortization, Supplemental</t>
  </si>
  <si>
    <t xml:space="preserve">                Depreciation, Supplemental</t>
  </si>
  <si>
    <t xml:space="preserve">                Amortization, Supplemental</t>
  </si>
  <si>
    <t>Discontinued Operations</t>
  </si>
  <si>
    <t>Basic EPS</t>
  </si>
  <si>
    <t xml:space="preserve">    Basic EPS from Continuing Operations</t>
  </si>
  <si>
    <t xml:space="preserve">    Basic EPS from Discontinued Operations</t>
  </si>
  <si>
    <t>Diluted EPS</t>
  </si>
  <si>
    <t xml:space="preserve">    Diluted EPS from Continuing Operations</t>
  </si>
  <si>
    <t xml:space="preserve">    Diluted EPS from Discontinued Operations</t>
  </si>
  <si>
    <t>Basic Weighted Average Shares Outstanding</t>
  </si>
  <si>
    <t>Diluted Weighted Average Shares Outstanding</t>
  </si>
  <si>
    <t>Total Dividend Per Share</t>
  </si>
  <si>
    <t xml:space="preserve">    Regular Dividend Per Share Calc</t>
  </si>
  <si>
    <t>Basic WASO</t>
  </si>
  <si>
    <t>Diluted WASO</t>
  </si>
  <si>
    <t>Fiscal year ends in Dec 31 | IDR</t>
  </si>
  <si>
    <t>INDF_cash-flow_Annual_As_Originally_Reported</t>
  </si>
  <si>
    <t>Cash Flows from/Used in Operating Activities, Direct</t>
  </si>
  <si>
    <t xml:space="preserve">    Net Cash Flow from Continuing Operating Activities, Direct</t>
  </si>
  <si>
    <t xml:space="preserve">        Cash Receipts from Operating Activities, Direct</t>
  </si>
  <si>
    <t xml:space="preserve">            Receipts from Customers, Direct</t>
  </si>
  <si>
    <t xml:space="preserve">            Interest Received, Direct</t>
  </si>
  <si>
    <t xml:space="preserve">            Other Cash Receipts from Operating Activities, Direct</t>
  </si>
  <si>
    <t xml:space="preserve">        Cash Payments from Operating Activities, Direct</t>
  </si>
  <si>
    <t xml:space="preserve">            Payments to Suppliers for Goods and Services, Direct</t>
  </si>
  <si>
    <t xml:space="preserve">            Payments to Employees, Direct</t>
  </si>
  <si>
    <t xml:space="preserve">            Taxes Paid, Direct</t>
  </si>
  <si>
    <t xml:space="preserve">            Interest Paid, Direct</t>
  </si>
  <si>
    <t xml:space="preserve">            Other Cash Payments from Operating Activities, Direct</t>
  </si>
  <si>
    <t>Cash Flow from Investing Activities</t>
  </si>
  <si>
    <t xml:space="preserve">    Cash Flow from Continuing Investing Activities</t>
  </si>
  <si>
    <t xml:space="preserve">        Capital Expenditure, Reported</t>
  </si>
  <si>
    <t xml:space="preserve">        Purchase/Sale and Disposal of Property, Plant and Equipment, Net</t>
  </si>
  <si>
    <t xml:space="preserve">            Purchase of Property, Plant and Equipment</t>
  </si>
  <si>
    <t xml:space="preserve">            Sale and Disposal of Property, Plant and Equipment</t>
  </si>
  <si>
    <t xml:space="preserve">        Purchase/Sale of Business, Net</t>
  </si>
  <si>
    <t xml:space="preserve">            Purchase/Acquisition of Business</t>
  </si>
  <si>
    <t xml:space="preserve">            Sale of Business</t>
  </si>
  <si>
    <t xml:space="preserve">        Purchase/Sale of Investments, Net</t>
  </si>
  <si>
    <t xml:space="preserve">            Purchase of Investments</t>
  </si>
  <si>
    <t xml:space="preserve">            Sale of Investments</t>
  </si>
  <si>
    <t xml:space="preserve">        Purchase/Sale of Equity Investments</t>
  </si>
  <si>
    <t xml:space="preserve">            Purchase of Joint Venture/Associate</t>
  </si>
  <si>
    <t xml:space="preserve">        Purchase/Sale of Intangibles, Net</t>
  </si>
  <si>
    <t xml:space="preserve">            Purchase of Intangibles</t>
  </si>
  <si>
    <t xml:space="preserve">        Increase/Decrease in Restricted Cash and Cash Equivalents</t>
  </si>
  <si>
    <t xml:space="preserve">        Purchase/Sale of Other Non-Current Assets, Net</t>
  </si>
  <si>
    <t xml:space="preserve">            Sales of Other Non-Current Assets</t>
  </si>
  <si>
    <t xml:space="preserve">        Dividends Received/Paid, CFI</t>
  </si>
  <si>
    <t>Cash Flow from Financing Activities</t>
  </si>
  <si>
    <t xml:space="preserve">    Cash Flow from Continuing Financing Activities</t>
  </si>
  <si>
    <t xml:space="preserve">        Issuance of/Repayments for Debt, Net</t>
  </si>
  <si>
    <t xml:space="preserve">            Issuance of/Repayments for Short Term Debt, Net</t>
  </si>
  <si>
    <t xml:space="preserve">                Proceeds from Issuance of Short Term Debt</t>
  </si>
  <si>
    <t xml:space="preserve">                Repayments for Short Term Debt</t>
  </si>
  <si>
    <t xml:space="preserve">            Issuance of/Repayments for Long Term Debt, Net</t>
  </si>
  <si>
    <t xml:space="preserve">                Proceeds from Issuance of Long Term Debt</t>
  </si>
  <si>
    <t xml:space="preserve">                Repayments for Long Term Debt</t>
  </si>
  <si>
    <t xml:space="preserve">        Issuance of/Repayments for Lease Financing</t>
  </si>
  <si>
    <t xml:space="preserve">            Repayments for Lease Financing</t>
  </si>
  <si>
    <t xml:space="preserve">        Net Movement in Non-Controlling/Minority Interest</t>
  </si>
  <si>
    <t xml:space="preserve">        Cash Dividends and Interest Paid</t>
  </si>
  <si>
    <t xml:space="preserve">            Cash Dividends Paid</t>
  </si>
  <si>
    <t xml:space="preserve">        Cash Dividends Paid to Non-Controlling/Minority Interests</t>
  </si>
  <si>
    <t xml:space="preserve">        Other Financing Cash Flow</t>
  </si>
  <si>
    <t xml:space="preserve">        Issuance of/Payments for Common Stock, Net</t>
  </si>
  <si>
    <t xml:space="preserve">            Payments for Common Stock</t>
  </si>
  <si>
    <t>Cash and Cash Equivalents, End of Period</t>
  </si>
  <si>
    <t xml:space="preserve">    Change in Cash</t>
  </si>
  <si>
    <t xml:space="preserve">    Effect of Exchange Rate Changes</t>
  </si>
  <si>
    <t xml:space="preserve">    Cash and Cash Equivalents, Beginning of Period</t>
  </si>
  <si>
    <t>Cash Flow Supplemental Section</t>
  </si>
  <si>
    <t xml:space="preserve">    Change in Cash as Reported, Supplemental</t>
  </si>
  <si>
    <t>INDF_balance-sheet_Annual_As_Originally_Reported</t>
  </si>
  <si>
    <t>Total Assets</t>
  </si>
  <si>
    <t xml:space="preserve">    Total Current Assets</t>
  </si>
  <si>
    <t xml:space="preserve">        Cash, Cash Equivalents and Short Term Investments</t>
  </si>
  <si>
    <t xml:space="preserve">            Cash and Cash Equivalents</t>
  </si>
  <si>
    <t xml:space="preserve">                Cash</t>
  </si>
  <si>
    <t xml:space="preserve">                Cash Equivalents</t>
  </si>
  <si>
    <t xml:space="preserve">            Short Term Investments</t>
  </si>
  <si>
    <t xml:space="preserve">                Trading/ Listed Investments, Current</t>
  </si>
  <si>
    <t xml:space="preserve">                Other Short Term Investments</t>
  </si>
  <si>
    <t xml:space="preserve">        Inventories</t>
  </si>
  <si>
    <t xml:space="preserve">            Raw Materials, Consumables and Supplies</t>
  </si>
  <si>
    <t xml:space="preserve">            Work-in-Process</t>
  </si>
  <si>
    <t xml:space="preserve">            Finished Goods and Merchandise</t>
  </si>
  <si>
    <t xml:space="preserve">            Other Inventories</t>
  </si>
  <si>
    <t xml:space="preserve">            Inventory Allowance/Adjustments</t>
  </si>
  <si>
    <t xml:space="preserve">        Trade and Other Receivables, Current</t>
  </si>
  <si>
    <t xml:space="preserve">            Trade/Accounts Receivable, Current</t>
  </si>
  <si>
    <t xml:space="preserve">                Gross Trade/Accounts Receivable, Current</t>
  </si>
  <si>
    <t xml:space="preserve">                Allowance/Adjustments for Trade/Accounts Receivable, Current</t>
  </si>
  <si>
    <t xml:space="preserve">            Amount Due From Related Parties, Current</t>
  </si>
  <si>
    <t xml:space="preserve">            Other Receivables, Current</t>
  </si>
  <si>
    <t xml:space="preserve">        Prepayments and Deposits, Current</t>
  </si>
  <si>
    <t xml:space="preserve">        Other Current Assets</t>
  </si>
  <si>
    <t xml:space="preserve">        Assets Held for Sale/Discontinued Operations, Current</t>
  </si>
  <si>
    <t xml:space="preserve">    Total Non-Current Assets</t>
  </si>
  <si>
    <t xml:space="preserve">        Net Property, Plant and Equipment</t>
  </si>
  <si>
    <t xml:space="preserve">            Gross Property, Plant and Equipment</t>
  </si>
  <si>
    <t xml:space="preserve">                Properties</t>
  </si>
  <si>
    <t xml:space="preserve">                    Buildings and Improvements</t>
  </si>
  <si>
    <t xml:space="preserve">                    Leasehold and Improvements</t>
  </si>
  <si>
    <t xml:space="preserve">                    Land and Improvements</t>
  </si>
  <si>
    <t xml:space="preserve">                Machinery, Furniture and Equipment</t>
  </si>
  <si>
    <t xml:space="preserve">                    Plant and Machinery</t>
  </si>
  <si>
    <t xml:space="preserve">                    Furniture, Fixtures and Office Equipment</t>
  </si>
  <si>
    <t xml:space="preserve">                    Flight, Fleet, Vehicle and Related Equipment</t>
  </si>
  <si>
    <t xml:space="preserve">                Construction in Progress and Advance Payments</t>
  </si>
  <si>
    <t xml:space="preserve">                Leased Property, Plant and Equipment</t>
  </si>
  <si>
    <t xml:space="preserve">                Other Property, Plant and Equipment</t>
  </si>
  <si>
    <t xml:space="preserve">            Accumulated Depreciation and Impairment</t>
  </si>
  <si>
    <t xml:space="preserve">                Accumulated Depreciation</t>
  </si>
  <si>
    <t xml:space="preserve">                    Accumulated Depreciation of Properties</t>
  </si>
  <si>
    <t xml:space="preserve">                        Accumulated Depreciation of Buildings</t>
  </si>
  <si>
    <t xml:space="preserve">                        Accumulated Depreciation of Leasehold and Improvements</t>
  </si>
  <si>
    <t xml:space="preserve">                    Accumulated Depreciation of Machinery, Furniture and Equipment</t>
  </si>
  <si>
    <t xml:space="preserve">                        Accumulated Depreciation of Plant and Machinery</t>
  </si>
  <si>
    <t xml:space="preserve">                        Accumulated Depreciation of Furniture, Fixtures and Office Equipment</t>
  </si>
  <si>
    <t xml:space="preserve">                        Accumulated Depreciation of Flight, Fleet, Vehicle and Related Equipments</t>
  </si>
  <si>
    <t xml:space="preserve">                    Accumulated Depreciation of Other Property, Plant and Equipment</t>
  </si>
  <si>
    <t xml:space="preserve">                    Accumulated Depreciation of Construction in Progress</t>
  </si>
  <si>
    <t xml:space="preserve">                Accumulated Impairment of PPE</t>
  </si>
  <si>
    <t xml:space="preserve">        Investment Properties and Properties Held for Development</t>
  </si>
  <si>
    <t xml:space="preserve">        Net Intangible Assets</t>
  </si>
  <si>
    <t xml:space="preserve">            Gross Goodwill and Other Intangible Assets</t>
  </si>
  <si>
    <t xml:space="preserve">                Goodwill</t>
  </si>
  <si>
    <t xml:space="preserve">                Intangibles other than Goodwill</t>
  </si>
  <si>
    <t xml:space="preserve">                    Licenses and Rights</t>
  </si>
  <si>
    <t xml:space="preserve">                    Other Intangible Assets</t>
  </si>
  <si>
    <t xml:space="preserve">                    Trademarks and Patents</t>
  </si>
  <si>
    <t xml:space="preserve">            Accumulated Amortization and Impairment</t>
  </si>
  <si>
    <t xml:space="preserve">                Accumulated Amortization of Intangible Assets</t>
  </si>
  <si>
    <t xml:space="preserve">                    Accumulated Amortization of Intangibles other than Goodwill</t>
  </si>
  <si>
    <t xml:space="preserve">                        Accumulated Amortization of Licences and Rights</t>
  </si>
  <si>
    <t xml:space="preserve">                        Accumulated Amortization of Other Intangible Assets</t>
  </si>
  <si>
    <t xml:space="preserve">                        Accumulated Amortization of Trademarks and Patents</t>
  </si>
  <si>
    <t xml:space="preserve">        Total Long Term Investments</t>
  </si>
  <si>
    <t xml:space="preserve">            Long Term Equity Investments</t>
  </si>
  <si>
    <t xml:space="preserve">            Investment in Financial Assets, Non-Current</t>
  </si>
  <si>
    <t xml:space="preserve">                Financial Investment Securities, Available-for-Sale &amp; Held-to-Maturity, Non-Current</t>
  </si>
  <si>
    <t xml:space="preserve">                    Available-for-Sale Securities, Non-Current</t>
  </si>
  <si>
    <t xml:space="preserve">                Other Financial Assets, Non-Current</t>
  </si>
  <si>
    <t xml:space="preserve">        Trade and Other Receivables, Non-Current</t>
  </si>
  <si>
    <t xml:space="preserve">            Taxes Receivable, Non-Current</t>
  </si>
  <si>
    <t xml:space="preserve">            Other Receivables, Non-Current</t>
  </si>
  <si>
    <t xml:space="preserve">            Amount Due from Related Parties, Non-Current</t>
  </si>
  <si>
    <t xml:space="preserve">        Prepayments and Deposits, Non-Current</t>
  </si>
  <si>
    <t xml:space="preserve">            Prepayments, Non-Current</t>
  </si>
  <si>
    <t xml:space="preserve">        Deferred Tax Assets, Non-Current</t>
  </si>
  <si>
    <t xml:space="preserve">        Deferred Costs/Assets, Non-Current</t>
  </si>
  <si>
    <t xml:space="preserve">        Other Non-Current Assets</t>
  </si>
  <si>
    <t xml:space="preserve">        Biological Assets</t>
  </si>
  <si>
    <t xml:space="preserve">            Gross Biological Assets</t>
  </si>
  <si>
    <t xml:space="preserve">            Accumulated Depreciation and Amortization of Biological Assets</t>
  </si>
  <si>
    <t>Total Liabilities</t>
  </si>
  <si>
    <t xml:space="preserve">    Total Current Liabilities</t>
  </si>
  <si>
    <t xml:space="preserve">        Payables and Accrued Expenses, Current</t>
  </si>
  <si>
    <t xml:space="preserve">            Trade and Other Payables, Current</t>
  </si>
  <si>
    <t xml:space="preserve">                Trade/Accounts Payable, Current</t>
  </si>
  <si>
    <t xml:space="preserve">                Interest Payable, Current</t>
  </si>
  <si>
    <t xml:space="preserve">                Taxes Payable, Current</t>
  </si>
  <si>
    <t xml:space="preserve">                Other Payable, Current</t>
  </si>
  <si>
    <t xml:space="preserve">                Amount Due to Related Parties/Shareholders, Current</t>
  </si>
  <si>
    <t xml:space="preserve">            Accrued Expenses, Current</t>
  </si>
  <si>
    <t xml:space="preserve">        Financial Liabilities, Current</t>
  </si>
  <si>
    <t xml:space="preserve">            Current Debt and Capital Lease Obligation</t>
  </si>
  <si>
    <t xml:space="preserve">                Current Debt</t>
  </si>
  <si>
    <t xml:space="preserve">                    Bank/Credit Facilities, Current Debt</t>
  </si>
  <si>
    <t xml:space="preserve">                    Bank Overdraft, Current Debt</t>
  </si>
  <si>
    <t xml:space="preserve">                    Notes Payable, Current Debt</t>
  </si>
  <si>
    <t xml:space="preserve">                    Other Loans, Current Debt</t>
  </si>
  <si>
    <t xml:space="preserve">                Current Portion of Long Term Debt and Capital Lease</t>
  </si>
  <si>
    <t xml:space="preserve">                    Current Portion of Long Term Debt</t>
  </si>
  <si>
    <t xml:space="preserve">                        Bank/Institutional Loans, Current Portion of LT Debt</t>
  </si>
  <si>
    <t xml:space="preserve">                        Other Current Portion of LT Debt</t>
  </si>
  <si>
    <t xml:space="preserve">                    Capital Lease Obligations, Current</t>
  </si>
  <si>
    <t xml:space="preserve">        Provisions, Current</t>
  </si>
  <si>
    <t xml:space="preserve">            Provision for Employee Entitlements, Current</t>
  </si>
  <si>
    <t xml:space="preserve">        Other Current Liabilities</t>
  </si>
  <si>
    <t xml:space="preserve">        Discontinued Operations Liabilities, Current</t>
  </si>
  <si>
    <t xml:space="preserve">    Total Non-Current Liabilities</t>
  </si>
  <si>
    <t xml:space="preserve">        Financial Liabilities, Non-Current</t>
  </si>
  <si>
    <t xml:space="preserve">            Long Term Debt and Capital Lease Obligation</t>
  </si>
  <si>
    <t xml:space="preserve">                Long Term Debt</t>
  </si>
  <si>
    <t xml:space="preserve">                    Notes Payables, Non-Current</t>
  </si>
  <si>
    <t xml:space="preserve">                    Bank/Institutional Loans, Non-Current</t>
  </si>
  <si>
    <t xml:space="preserve">                    Other Loans, Non-Current</t>
  </si>
  <si>
    <t xml:space="preserve">                Capital Lease Obligations, Non-Current</t>
  </si>
  <si>
    <t xml:space="preserve">        Provisions, Non-Current</t>
  </si>
  <si>
    <t xml:space="preserve">            Provision for Employee Entitlements, Non-Current</t>
  </si>
  <si>
    <t xml:space="preserve">                Pension and Other Post-Retirement Benefit Plans, Non-Current</t>
  </si>
  <si>
    <t xml:space="preserve">            Provision for Asset Retirement Obligation/Site Restoration and Rehabilitation, Non-Current</t>
  </si>
  <si>
    <t xml:space="preserve">        Tax Liabilities, Non-Current</t>
  </si>
  <si>
    <t xml:space="preserve">            Deferred Tax Liabilities, Non-Current</t>
  </si>
  <si>
    <t xml:space="preserve">        Payables and Accrued Expenses, Non-Current</t>
  </si>
  <si>
    <t xml:space="preserve">            Trade and Other Payables, Non-Current</t>
  </si>
  <si>
    <t xml:space="preserve">                Amount Due to Related Parties/Shareholders, Non-Current</t>
  </si>
  <si>
    <t xml:space="preserve">                Other Payables, Non-Current</t>
  </si>
  <si>
    <t xml:space="preserve">            Accrued Expenses, Non-Current</t>
  </si>
  <si>
    <t xml:space="preserve">        Other Non-Current Liabilities</t>
  </si>
  <si>
    <t>Total Equity</t>
  </si>
  <si>
    <t xml:space="preserve">    Equity Attributable to Parent Stockholders</t>
  </si>
  <si>
    <t xml:space="preserve">        Paid in Capital</t>
  </si>
  <si>
    <t xml:space="preserve">            Capital Stock</t>
  </si>
  <si>
    <t xml:space="preserve">                Common Stock</t>
  </si>
  <si>
    <t xml:space="preserve">                Additional Paid in Capital/Share Premium</t>
  </si>
  <si>
    <t xml:space="preserve">        Retained Earnings/Accumulated Deficit</t>
  </si>
  <si>
    <t xml:space="preserve">        Reserves/Accumulated Comprehensive Income/Losses</t>
  </si>
  <si>
    <t xml:space="preserve">            Surplus/Revenue Reserve</t>
  </si>
  <si>
    <t xml:space="preserve">            Cumulative Foreign Exchange Translation Reserves/Accum.Comp.Inc</t>
  </si>
  <si>
    <t xml:space="preserve">             Available for Sale Financial Investments Reserves/Accum.Comp.Inc</t>
  </si>
  <si>
    <t xml:space="preserve">        Other Equity Interest</t>
  </si>
  <si>
    <t xml:space="preserve">    Non-Controlling/Minority Interests in Equity</t>
  </si>
  <si>
    <t>Debt Maturity Schedule Total</t>
  </si>
  <si>
    <t xml:space="preserve">    Debt due in Year 1</t>
  </si>
  <si>
    <t xml:space="preserve">    Debt due in Year 5</t>
  </si>
  <si>
    <t xml:space="preserve">    Debt due Beyond</t>
  </si>
  <si>
    <t xml:space="preserve">    Debt - Interests Charges and Other Adjustments</t>
  </si>
  <si>
    <t>Capital Lease Obligation Maturity Schedule Total</t>
  </si>
  <si>
    <t xml:space="preserve">    Capital Lease due in Year 1</t>
  </si>
  <si>
    <t xml:space="preserve">    Capital Lease due in Year 5</t>
  </si>
  <si>
    <t>Other Contractual Obligations Maturity Schedule Total</t>
  </si>
  <si>
    <t xml:space="preserve">    Other Contractual Obligations due in Year 1</t>
  </si>
  <si>
    <t xml:space="preserve">    Other Contractual Obligations due in Year 5</t>
  </si>
  <si>
    <t xml:space="preserve">    Other Contractual Obligations due Beyond</t>
  </si>
  <si>
    <t>Total Lease Liability</t>
  </si>
  <si>
    <t xml:space="preserve">    Total Lease Liability - Due in year 1</t>
  </si>
  <si>
    <t xml:space="preserve">    Total Lease Liability - Due in year 5</t>
  </si>
  <si>
    <t>Total Contractual Obligations</t>
  </si>
  <si>
    <t xml:space="preserve">    Total Contractual Obligations due in year 1</t>
  </si>
  <si>
    <t xml:space="preserve">    Total Contractual Obligations due in year 5</t>
  </si>
  <si>
    <t xml:space="preserve">    Total Contractual Obligations due Beyond</t>
  </si>
  <si>
    <t xml:space="preserve">    Total Contractual Obligations - Interests Charges and Other Adjustments</t>
  </si>
  <si>
    <t>Membaik, artinya biaya pokok penjualan menurun atau harga jual meningkat sehingga laba yang dihasilkan lebih  tinggi</t>
  </si>
  <si>
    <t>Membaik, artinya likuiditas pada asset lancar membaik sehingga semakin jauh dari resiko gagal bayar.</t>
  </si>
  <si>
    <t>Membaik, likuiditas pada kas dan setara kas semakin baik yang artinya perusahaaan semakin mampu melunasi hutang lancarnya tanpa bergantung pada penagihan piutang dan penjualan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</si>
</sst>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0"/>
    <numFmt numFmtId="166" formatCode="_-* #,##0_-;\-* #,##0_-;_-* &quot;-&quot;_-;_-@"/>
  </numFmts>
  <fonts count="19" x14ac:knownFonts="1">
    <font>
      <sz val="11"/>
      <color rgb="FF000000"/>
      <name val="Aptos Narrow"/>
      <scheme val="minor"/>
    </font>
    <font>
      <sz val="11"/>
      <color rgb="FF000000"/>
      <name val="Calibri"/>
    </font>
    <font>
      <sz val="11"/>
      <color rgb="FF000000"/>
      <name val="Aptos Narrow"/>
    </font>
    <font>
      <sz val="11"/>
      <color rgb="FF000000"/>
      <name val="Arial"/>
    </font>
    <font>
      <sz val="11"/>
      <name val="Aptos Narrow"/>
    </font>
    <font>
      <sz val="11"/>
      <color rgb="FFFF0000"/>
      <name val="Aptos Narrow"/>
    </font>
    <font>
      <sz val="11"/>
      <color rgb="FFFF0000"/>
      <name val="Arial"/>
    </font>
    <font>
      <sz val="11"/>
      <name val="Aptos Narrow"/>
    </font>
    <font>
      <sz val="11"/>
      <name val="Calibri"/>
    </font>
    <font>
      <b/>
      <sz val="11"/>
      <name val="Calibri"/>
    </font>
    <font>
      <b/>
      <sz val="12"/>
      <color rgb="FF000000"/>
      <name val="Calibri"/>
    </font>
    <font>
      <b/>
      <sz val="11"/>
      <color rgb="FFFFFFFF"/>
      <name val="Calibri"/>
    </font>
    <font>
      <b/>
      <sz val="11"/>
      <color rgb="FF000000"/>
      <name val="Calibri"/>
    </font>
    <font>
      <b/>
      <sz val="12"/>
      <name val="Arial"/>
    </font>
    <font>
      <sz val="12"/>
      <name val="Aptos Narrow"/>
    </font>
    <font>
      <b/>
      <sz val="10"/>
      <name val="Arial"/>
    </font>
    <font>
      <b/>
      <sz val="11"/>
      <name val="Aptos Narrow"/>
    </font>
    <font>
      <sz val="10"/>
      <name val="Arial"/>
    </font>
    <font>
      <sz val="16"/>
      <color rgb="FF000000"/>
      <name val="Arial"/>
    </font>
  </fonts>
  <fills count="6">
    <fill>
      <patternFill patternType="none"/>
    </fill>
    <fill>
      <patternFill patternType="gray125"/>
    </fill>
    <fill>
      <patternFill patternType="solid">
        <fgColor rgb="FF00FF00"/>
        <bgColor rgb="FF00FF00"/>
      </patternFill>
    </fill>
    <fill>
      <patternFill patternType="solid">
        <fgColor rgb="FFC9DAF8"/>
        <bgColor rgb="FFC9DAF8"/>
      </patternFill>
    </fill>
    <fill>
      <patternFill patternType="solid">
        <fgColor rgb="FFFF0000"/>
        <bgColor rgb="FFFF0000"/>
      </patternFill>
    </fill>
    <fill>
      <patternFill patternType="solid">
        <fgColor rgb="FFFFFF00"/>
        <bgColor rgb="FFFFFF00"/>
      </patternFill>
    </fill>
  </fills>
  <borders count="10">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s>
  <cellStyleXfs count="1">
    <xf numFmtId="0" fontId="0" fillId="0" borderId="0"/>
  </cellStyleXfs>
  <cellXfs count="72">
    <xf numFmtId="0" fontId="0" fillId="0" borderId="0" xfId="0" applyFont="1" applyAlignment="1"/>
    <xf numFmtId="0" fontId="1" fillId="0" borderId="0" xfId="0" applyFont="1"/>
    <xf numFmtId="0" fontId="2" fillId="0" borderId="0" xfId="0" applyFont="1"/>
    <xf numFmtId="0" fontId="3" fillId="2" borderId="1" xfId="0" applyFont="1" applyFill="1" applyBorder="1" applyAlignment="1">
      <alignment horizontal="center"/>
    </xf>
    <xf numFmtId="0" fontId="2" fillId="0" borderId="2" xfId="0" applyFont="1" applyBorder="1"/>
    <xf numFmtId="0" fontId="2" fillId="0" borderId="2" xfId="0" applyFont="1" applyBorder="1" applyAlignment="1">
      <alignment horizontal="left" vertical="center" wrapText="1"/>
    </xf>
    <xf numFmtId="0" fontId="2" fillId="0" borderId="2" xfId="0" applyFont="1" applyBorder="1" applyAlignment="1">
      <alignment vertical="center" wrapText="1"/>
    </xf>
    <xf numFmtId="10" fontId="2" fillId="3" borderId="2" xfId="0" applyNumberFormat="1" applyFont="1" applyFill="1" applyBorder="1" applyAlignment="1">
      <alignment vertical="center" wrapText="1"/>
    </xf>
    <xf numFmtId="0" fontId="3" fillId="3" borderId="2" xfId="0" applyFont="1" applyFill="1" applyBorder="1" applyAlignment="1">
      <alignment vertical="center" wrapText="1"/>
    </xf>
    <xf numFmtId="0" fontId="5" fillId="0" borderId="2" xfId="0" applyFont="1" applyBorder="1" applyAlignment="1">
      <alignment vertical="center" wrapText="1"/>
    </xf>
    <xf numFmtId="10" fontId="5" fillId="0" borderId="2" xfId="0" applyNumberFormat="1" applyFont="1" applyBorder="1" applyAlignment="1">
      <alignment vertical="center" wrapText="1"/>
    </xf>
    <xf numFmtId="0" fontId="6" fillId="0" borderId="2" xfId="0" applyFont="1" applyBorder="1" applyAlignment="1">
      <alignment vertical="center" wrapText="1"/>
    </xf>
    <xf numFmtId="10" fontId="2" fillId="3" borderId="2" xfId="0" applyNumberFormat="1" applyFont="1" applyFill="1" applyBorder="1"/>
    <xf numFmtId="0" fontId="3" fillId="3" borderId="2" xfId="0" applyFont="1" applyFill="1" applyBorder="1" applyAlignment="1">
      <alignment wrapText="1"/>
    </xf>
    <xf numFmtId="4" fontId="2" fillId="3" borderId="2" xfId="0" applyNumberFormat="1" applyFont="1" applyFill="1" applyBorder="1"/>
    <xf numFmtId="0" fontId="7" fillId="0" borderId="2" xfId="0" applyFont="1" applyBorder="1" applyAlignment="1">
      <alignment vertical="center" wrapText="1"/>
    </xf>
    <xf numFmtId="164" fontId="2" fillId="3" borderId="2" xfId="0" applyNumberFormat="1" applyFont="1" applyFill="1" applyBorder="1"/>
    <xf numFmtId="4" fontId="5" fillId="0" borderId="2" xfId="0" applyNumberFormat="1" applyFont="1" applyBorder="1"/>
    <xf numFmtId="0" fontId="6" fillId="0" borderId="2" xfId="0" applyFont="1" applyBorder="1" applyAlignment="1">
      <alignment wrapText="1"/>
    </xf>
    <xf numFmtId="0" fontId="2" fillId="0" borderId="6" xfId="0" applyFont="1" applyBorder="1" applyAlignment="1">
      <alignment vertical="center" wrapText="1"/>
    </xf>
    <xf numFmtId="0" fontId="2" fillId="0" borderId="9" xfId="0" applyFont="1" applyBorder="1" applyAlignment="1">
      <alignment vertical="center" wrapText="1"/>
    </xf>
    <xf numFmtId="0" fontId="3" fillId="0" borderId="5" xfId="0" applyFont="1" applyBorder="1" applyAlignment="1">
      <alignment horizontal="center"/>
    </xf>
    <xf numFmtId="0" fontId="2" fillId="0" borderId="8" xfId="0" applyFont="1" applyBorder="1" applyAlignment="1">
      <alignment horizontal="center"/>
    </xf>
    <xf numFmtId="0" fontId="2" fillId="0" borderId="7" xfId="0" applyFont="1" applyBorder="1" applyAlignment="1">
      <alignment horizontal="center"/>
    </xf>
    <xf numFmtId="4" fontId="3" fillId="3" borderId="2" xfId="0" applyNumberFormat="1" applyFont="1" applyFill="1" applyBorder="1"/>
    <xf numFmtId="0" fontId="8" fillId="0" borderId="0" xfId="0" applyFont="1"/>
    <xf numFmtId="0" fontId="9" fillId="0" borderId="0" xfId="0" applyFont="1" applyAlignment="1">
      <alignment horizontal="center"/>
    </xf>
    <xf numFmtId="0" fontId="8" fillId="2" borderId="1" xfId="0" applyFont="1" applyFill="1" applyBorder="1" applyAlignment="1">
      <alignment horizontal="center" vertical="center"/>
    </xf>
    <xf numFmtId="0" fontId="9" fillId="0" borderId="2" xfId="0" applyFont="1" applyBorder="1" applyAlignment="1">
      <alignment vertical="center"/>
    </xf>
    <xf numFmtId="0" fontId="11" fillId="4" borderId="2" xfId="0" applyFont="1" applyFill="1" applyBorder="1" applyAlignment="1">
      <alignment horizontal="center" vertical="center"/>
    </xf>
    <xf numFmtId="0" fontId="2" fillId="0" borderId="8" xfId="0" applyFont="1" applyBorder="1"/>
    <xf numFmtId="0" fontId="8" fillId="0" borderId="2" xfId="0" applyFont="1" applyBorder="1"/>
    <xf numFmtId="0" fontId="8" fillId="0" borderId="2" xfId="0" applyFont="1" applyBorder="1" applyAlignment="1">
      <alignment horizontal="left"/>
    </xf>
    <xf numFmtId="0" fontId="8" fillId="0" borderId="2" xfId="0" applyFont="1" applyBorder="1" applyAlignment="1">
      <alignment horizontal="center"/>
    </xf>
    <xf numFmtId="4" fontId="8" fillId="0" borderId="2" xfId="0" applyNumberFormat="1" applyFont="1" applyBorder="1" applyAlignment="1">
      <alignment horizontal="right"/>
    </xf>
    <xf numFmtId="165" fontId="8" fillId="0" borderId="2" xfId="0" applyNumberFormat="1" applyFont="1" applyBorder="1" applyAlignment="1">
      <alignment horizontal="right"/>
    </xf>
    <xf numFmtId="165" fontId="8" fillId="0" borderId="2" xfId="0" applyNumberFormat="1" applyFont="1" applyBorder="1" applyAlignment="1">
      <alignment horizontal="left"/>
    </xf>
    <xf numFmtId="165" fontId="8" fillId="0" borderId="2" xfId="0" applyNumberFormat="1" applyFont="1" applyBorder="1" applyAlignment="1">
      <alignment horizontal="center"/>
    </xf>
    <xf numFmtId="0" fontId="12" fillId="0" borderId="2" xfId="0" applyFont="1" applyBorder="1"/>
    <xf numFmtId="0" fontId="12" fillId="0" borderId="2" xfId="0" applyFont="1" applyBorder="1" applyAlignment="1">
      <alignment horizontal="left"/>
    </xf>
    <xf numFmtId="0" fontId="12" fillId="0" borderId="2" xfId="0" applyFont="1" applyBorder="1" applyAlignment="1">
      <alignment horizontal="center"/>
    </xf>
    <xf numFmtId="4" fontId="12" fillId="0" borderId="2" xfId="0" applyNumberFormat="1" applyFont="1" applyBorder="1" applyAlignment="1">
      <alignment horizontal="right"/>
    </xf>
    <xf numFmtId="165" fontId="12" fillId="0" borderId="2" xfId="0" applyNumberFormat="1" applyFont="1" applyBorder="1" applyAlignment="1">
      <alignment horizontal="right"/>
    </xf>
    <xf numFmtId="165" fontId="12" fillId="0" borderId="2" xfId="0" applyNumberFormat="1" applyFont="1" applyBorder="1" applyAlignment="1">
      <alignment horizontal="left"/>
    </xf>
    <xf numFmtId="165" fontId="12" fillId="0" borderId="2" xfId="0" applyNumberFormat="1" applyFont="1" applyBorder="1" applyAlignment="1">
      <alignment horizontal="center"/>
    </xf>
    <xf numFmtId="4" fontId="8" fillId="0" borderId="2" xfId="0" applyNumberFormat="1" applyFont="1" applyBorder="1" applyAlignment="1">
      <alignment horizontal="left"/>
    </xf>
    <xf numFmtId="0" fontId="2" fillId="5" borderId="1" xfId="0" applyFont="1" applyFill="1" applyBorder="1"/>
    <xf numFmtId="4" fontId="8" fillId="5" borderId="2" xfId="0" applyNumberFormat="1" applyFont="1" applyFill="1" applyBorder="1" applyAlignment="1">
      <alignment horizontal="left"/>
    </xf>
    <xf numFmtId="4" fontId="8" fillId="5" borderId="2" xfId="0" applyNumberFormat="1" applyFont="1" applyFill="1" applyBorder="1" applyAlignment="1">
      <alignment horizontal="right"/>
    </xf>
    <xf numFmtId="0" fontId="8" fillId="5" borderId="2" xfId="0" applyFont="1" applyFill="1" applyBorder="1" applyAlignment="1">
      <alignment horizontal="left"/>
    </xf>
    <xf numFmtId="4" fontId="12" fillId="0" borderId="2" xfId="0" applyNumberFormat="1" applyFont="1" applyBorder="1" applyAlignment="1">
      <alignment horizontal="left"/>
    </xf>
    <xf numFmtId="166" fontId="13" fillId="0" borderId="0" xfId="0" applyNumberFormat="1" applyFont="1" applyAlignment="1">
      <alignment horizontal="center"/>
    </xf>
    <xf numFmtId="0" fontId="14" fillId="0" borderId="0" xfId="0" applyFont="1"/>
    <xf numFmtId="166" fontId="13" fillId="0" borderId="0" xfId="0" applyNumberFormat="1" applyFont="1"/>
    <xf numFmtId="166" fontId="15" fillId="0" borderId="0" xfId="0" applyNumberFormat="1" applyFont="1" applyAlignment="1">
      <alignment horizontal="right"/>
    </xf>
    <xf numFmtId="0" fontId="16" fillId="0" borderId="0" xfId="0" applyFont="1"/>
    <xf numFmtId="166" fontId="15" fillId="0" borderId="0" xfId="0" applyNumberFormat="1" applyFont="1"/>
    <xf numFmtId="166" fontId="17" fillId="0" borderId="0" xfId="0" applyNumberFormat="1" applyFont="1"/>
    <xf numFmtId="166" fontId="17" fillId="0" borderId="0" xfId="0" applyNumberFormat="1" applyFont="1" applyAlignment="1">
      <alignment horizontal="right"/>
    </xf>
    <xf numFmtId="166" fontId="15" fillId="0" borderId="0" xfId="0" applyNumberFormat="1" applyFont="1" applyAlignment="1">
      <alignment horizontal="center"/>
    </xf>
    <xf numFmtId="0" fontId="2" fillId="0" borderId="3" xfId="0" applyFont="1" applyBorder="1" applyAlignment="1">
      <alignment horizontal="center"/>
    </xf>
    <xf numFmtId="0" fontId="4" fillId="0" borderId="4" xfId="0" applyFont="1" applyBorder="1"/>
    <xf numFmtId="0" fontId="4" fillId="0" borderId="5" xfId="0" applyFont="1" applyBorder="1"/>
    <xf numFmtId="0" fontId="3" fillId="0" borderId="3" xfId="0" applyFont="1" applyBorder="1" applyAlignment="1">
      <alignment horizontal="center"/>
    </xf>
    <xf numFmtId="0" fontId="8" fillId="3" borderId="3" xfId="0" applyFont="1" applyFill="1" applyBorder="1" applyAlignment="1">
      <alignment vertical="center" wrapText="1"/>
    </xf>
    <xf numFmtId="0" fontId="2" fillId="0" borderId="3" xfId="0" applyFont="1" applyBorder="1" applyAlignment="1">
      <alignment horizontal="center" vertical="center" wrapText="1"/>
    </xf>
    <xf numFmtId="0" fontId="3" fillId="0" borderId="6" xfId="0" applyFont="1" applyBorder="1" applyAlignment="1">
      <alignment horizontal="center" wrapText="1"/>
    </xf>
    <xf numFmtId="0" fontId="4" fillId="0" borderId="7" xfId="0" applyFont="1" applyBorder="1"/>
    <xf numFmtId="0" fontId="4" fillId="0" borderId="8" xfId="0" applyFont="1" applyBorder="1"/>
    <xf numFmtId="0" fontId="10" fillId="0" borderId="0" xfId="0" applyFont="1" applyAlignment="1">
      <alignment horizontal="center"/>
    </xf>
    <xf numFmtId="0" fontId="0" fillId="0" borderId="0" xfId="0" applyFont="1" applyAlignment="1"/>
    <xf numFmtId="0" fontId="11" fillId="4"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worksheet" Target="worksheets/sheet6.xml" /><Relationship Id="rId5" Type="http://schemas.openxmlformats.org/officeDocument/2006/relationships/worksheet" Target="worksheets/sheet5.xml" /><Relationship Id="rId10" Type="http://schemas.openxmlformats.org/officeDocument/2006/relationships/calcChain" Target="calcChain.xml" /><Relationship Id="rId4" Type="http://schemas.openxmlformats.org/officeDocument/2006/relationships/worksheet" Target="worksheets/sheet4.xml" /><Relationship Id="rId9" Type="http://schemas.openxmlformats.org/officeDocument/2006/relationships/sharedStrings" Target="sharedStrings.xml"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31"/>
  <sheetViews>
    <sheetView tabSelected="1" topLeftCell="B16" workbookViewId="0">
      <selection activeCell="E17" sqref="E17"/>
    </sheetView>
  </sheetViews>
  <sheetFormatPr defaultColWidth="14.390625" defaultRowHeight="15" customHeight="1" x14ac:dyDescent="0.2"/>
  <cols>
    <col min="1" max="1" width="9.14453125" customWidth="1"/>
    <col min="2" max="2" width="28.25" customWidth="1"/>
    <col min="3" max="3" width="9.14453125" customWidth="1"/>
    <col min="4" max="4" width="11.1640625" customWidth="1"/>
    <col min="5" max="5" width="30.8046875" customWidth="1"/>
    <col min="6" max="6" width="96.85546875" customWidth="1"/>
    <col min="7" max="26" width="8.609375" customWidth="1"/>
  </cols>
  <sheetData>
    <row r="1" spans="1:26" x14ac:dyDescent="0.2">
      <c r="A1" s="1"/>
      <c r="B1" s="2"/>
      <c r="C1" s="3">
        <v>1</v>
      </c>
      <c r="D1" s="3">
        <v>2</v>
      </c>
      <c r="E1" s="3">
        <v>3</v>
      </c>
      <c r="F1" s="2"/>
      <c r="G1" s="1"/>
      <c r="H1" s="1"/>
      <c r="I1" s="1"/>
      <c r="J1" s="1"/>
      <c r="K1" s="1"/>
      <c r="L1" s="1"/>
      <c r="M1" s="1"/>
      <c r="N1" s="1"/>
      <c r="O1" s="1"/>
      <c r="P1" s="1"/>
      <c r="Q1" s="1"/>
      <c r="R1" s="1"/>
      <c r="S1" s="1"/>
      <c r="T1" s="1"/>
      <c r="U1" s="1"/>
      <c r="V1" s="1"/>
      <c r="W1" s="1"/>
      <c r="X1" s="1"/>
      <c r="Y1" s="1"/>
      <c r="Z1" s="1"/>
    </row>
    <row r="2" spans="1:26" x14ac:dyDescent="0.2">
      <c r="A2" s="1"/>
      <c r="B2" s="4"/>
      <c r="C2" s="60" t="s">
        <v>0</v>
      </c>
      <c r="D2" s="61"/>
      <c r="E2" s="62"/>
      <c r="F2" s="2"/>
      <c r="G2" s="1"/>
      <c r="H2" s="1"/>
      <c r="I2" s="1"/>
      <c r="J2" s="1"/>
      <c r="K2" s="1"/>
      <c r="L2" s="1"/>
      <c r="M2" s="1"/>
      <c r="N2" s="1"/>
      <c r="O2" s="1"/>
      <c r="P2" s="1"/>
      <c r="Q2" s="1"/>
      <c r="R2" s="1"/>
      <c r="S2" s="1"/>
      <c r="T2" s="1"/>
      <c r="U2" s="1"/>
      <c r="V2" s="1"/>
      <c r="W2" s="1"/>
      <c r="X2" s="1"/>
      <c r="Y2" s="1"/>
      <c r="Z2" s="1"/>
    </row>
    <row r="3" spans="1:26" x14ac:dyDescent="0.2">
      <c r="A3" s="1"/>
      <c r="B3" s="5"/>
      <c r="C3" s="6">
        <v>2024</v>
      </c>
      <c r="D3" s="6">
        <v>2023</v>
      </c>
      <c r="E3" s="6" t="s">
        <v>1</v>
      </c>
      <c r="F3" s="2"/>
      <c r="G3" s="1"/>
      <c r="H3" s="1"/>
      <c r="I3" s="1"/>
      <c r="J3" s="1"/>
      <c r="K3" s="1"/>
      <c r="L3" s="1"/>
      <c r="M3" s="1"/>
      <c r="N3" s="1"/>
      <c r="O3" s="1"/>
      <c r="P3" s="1"/>
      <c r="Q3" s="1"/>
      <c r="R3" s="1"/>
      <c r="S3" s="1"/>
      <c r="T3" s="1"/>
      <c r="U3" s="1"/>
      <c r="V3" s="1"/>
      <c r="W3" s="1"/>
      <c r="X3" s="1"/>
      <c r="Y3" s="1"/>
      <c r="Z3" s="1"/>
    </row>
    <row r="4" spans="1:26" x14ac:dyDescent="0.2">
      <c r="A4" s="1"/>
      <c r="B4" s="65" t="s">
        <v>2</v>
      </c>
      <c r="C4" s="61"/>
      <c r="D4" s="61"/>
      <c r="E4" s="62"/>
      <c r="F4" s="2"/>
      <c r="G4" s="1"/>
      <c r="H4" s="1"/>
      <c r="I4" s="1"/>
      <c r="J4" s="1"/>
      <c r="K4" s="1"/>
      <c r="L4" s="1"/>
      <c r="M4" s="1"/>
      <c r="N4" s="1"/>
      <c r="O4" s="1"/>
      <c r="P4" s="1"/>
      <c r="Q4" s="1"/>
      <c r="R4" s="1"/>
      <c r="S4" s="1"/>
      <c r="T4" s="1"/>
      <c r="U4" s="1"/>
      <c r="V4" s="1"/>
      <c r="W4" s="1"/>
      <c r="X4" s="1"/>
      <c r="Y4" s="1"/>
      <c r="Z4" s="1"/>
    </row>
    <row r="5" spans="1:26" ht="51.75" x14ac:dyDescent="0.2">
      <c r="A5" s="1"/>
      <c r="B5" s="6" t="s">
        <v>3</v>
      </c>
      <c r="C5" s="7">
        <f>'Income Statement'!F52/(('Balance Sheet'!E130+'Balance Sheet'!F130)/2)</f>
        <v>8.2514750794598204E-2</v>
      </c>
      <c r="D5" s="7">
        <f>'Income Statement'!E52/(('Balance Sheet'!E130+'Balance Sheet'!D130)/2)</f>
        <v>8.3951836077348227E-2</v>
      </c>
      <c r="E5" s="8" t="s">
        <v>4</v>
      </c>
      <c r="F5" s="2"/>
      <c r="G5" s="1"/>
      <c r="H5" s="1"/>
      <c r="I5" s="1"/>
      <c r="J5" s="1"/>
      <c r="K5" s="1"/>
      <c r="L5" s="1"/>
      <c r="M5" s="1"/>
      <c r="N5" s="1"/>
      <c r="O5" s="1"/>
      <c r="P5" s="1"/>
      <c r="Q5" s="1"/>
      <c r="R5" s="1"/>
      <c r="S5" s="1"/>
      <c r="T5" s="1"/>
      <c r="U5" s="1"/>
      <c r="V5" s="1"/>
      <c r="W5" s="1"/>
      <c r="X5" s="1"/>
      <c r="Y5" s="1"/>
      <c r="Z5" s="1"/>
    </row>
    <row r="6" spans="1:26" ht="51.75" x14ac:dyDescent="0.2">
      <c r="A6" s="1"/>
      <c r="B6" s="6" t="s">
        <v>5</v>
      </c>
      <c r="C6" s="7">
        <f>'Income Statement'!F52/(('Balance Sheet'!F2+'Balance Sheet'!E2)/2)</f>
        <v>4.4509831245208131E-2</v>
      </c>
      <c r="D6" s="7">
        <f>'Income Statement'!E52/(('Balance Sheet'!E2+'Balance Sheet'!D2)/2)</f>
        <v>4.4395352283369244E-2</v>
      </c>
      <c r="E6" s="8" t="s">
        <v>6</v>
      </c>
      <c r="F6" s="2"/>
      <c r="G6" s="1"/>
      <c r="H6" s="1"/>
      <c r="I6" s="1"/>
      <c r="J6" s="1"/>
      <c r="K6" s="1"/>
      <c r="L6" s="1"/>
      <c r="M6" s="1"/>
      <c r="N6" s="1"/>
      <c r="O6" s="1"/>
      <c r="P6" s="1"/>
      <c r="Q6" s="1"/>
      <c r="R6" s="1"/>
      <c r="S6" s="1"/>
      <c r="T6" s="1"/>
      <c r="U6" s="1"/>
      <c r="V6" s="1"/>
      <c r="W6" s="1"/>
      <c r="X6" s="1"/>
      <c r="Y6" s="1"/>
      <c r="Z6" s="1"/>
    </row>
    <row r="7" spans="1:26" ht="51.75" x14ac:dyDescent="0.2">
      <c r="A7" s="1"/>
      <c r="B7" s="9" t="s">
        <v>7</v>
      </c>
      <c r="C7" s="10">
        <f>'Income Statement'!F27/'Balance Sheet'!F2</f>
        <v>0.11657168607408674</v>
      </c>
      <c r="D7" s="10">
        <f>'Income Statement'!E27/'Balance Sheet'!E2</f>
        <v>0.1079619999269299</v>
      </c>
      <c r="E7" s="11" t="s">
        <v>8</v>
      </c>
      <c r="F7" s="2"/>
      <c r="G7" s="1"/>
      <c r="H7" s="1"/>
      <c r="I7" s="1"/>
      <c r="J7" s="1"/>
      <c r="K7" s="1"/>
      <c r="L7" s="1"/>
      <c r="M7" s="1"/>
      <c r="N7" s="1"/>
      <c r="O7" s="1"/>
      <c r="P7" s="1"/>
      <c r="Q7" s="1"/>
      <c r="R7" s="1"/>
      <c r="S7" s="1"/>
      <c r="T7" s="1"/>
      <c r="U7" s="1"/>
      <c r="V7" s="1"/>
      <c r="W7" s="1"/>
      <c r="X7" s="1"/>
      <c r="Y7" s="1"/>
      <c r="Z7" s="1"/>
    </row>
    <row r="8" spans="1:26" ht="51.75" x14ac:dyDescent="0.2">
      <c r="A8" s="1"/>
      <c r="B8" s="6" t="s">
        <v>9</v>
      </c>
      <c r="C8" s="7">
        <f>'Income Statement'!F2/'Income Statement'!F3</f>
        <v>0.34664248711151835</v>
      </c>
      <c r="D8" s="7">
        <f>'Income Statement'!E2/'Income Statement'!E3</f>
        <v>0.3227332462869083</v>
      </c>
      <c r="E8" s="8" t="s">
        <v>2591</v>
      </c>
      <c r="F8" s="66" t="s">
        <v>10</v>
      </c>
      <c r="G8" s="1"/>
      <c r="H8" s="1"/>
      <c r="I8" s="1"/>
      <c r="J8" s="1"/>
      <c r="K8" s="1"/>
      <c r="L8" s="1"/>
      <c r="M8" s="1"/>
      <c r="N8" s="1"/>
      <c r="O8" s="1"/>
      <c r="P8" s="1"/>
      <c r="Q8" s="1"/>
      <c r="R8" s="1"/>
      <c r="S8" s="1"/>
      <c r="T8" s="1"/>
      <c r="U8" s="1"/>
      <c r="V8" s="1"/>
      <c r="W8" s="1"/>
      <c r="X8" s="1"/>
      <c r="Y8" s="1"/>
      <c r="Z8" s="1"/>
    </row>
    <row r="9" spans="1:26" ht="51.75" x14ac:dyDescent="0.2">
      <c r="A9" s="1"/>
      <c r="B9" s="6" t="s">
        <v>11</v>
      </c>
      <c r="C9" s="7">
        <f>'Income Statement'!F27/'Income Statement'!F3</f>
        <v>0.20308115300981699</v>
      </c>
      <c r="D9" s="7">
        <f>'Income Statement'!E27/'Income Statement'!E3</f>
        <v>0.18033802864260134</v>
      </c>
      <c r="E9" s="8" t="s">
        <v>12</v>
      </c>
      <c r="F9" s="67"/>
      <c r="G9" s="1"/>
      <c r="H9" s="1"/>
      <c r="I9" s="1"/>
      <c r="J9" s="1"/>
      <c r="K9" s="1"/>
      <c r="L9" s="1"/>
      <c r="M9" s="1"/>
      <c r="N9" s="1"/>
      <c r="O9" s="1"/>
      <c r="P9" s="1"/>
      <c r="Q9" s="1"/>
      <c r="R9" s="1"/>
      <c r="S9" s="1"/>
      <c r="T9" s="1"/>
      <c r="U9" s="1"/>
      <c r="V9" s="1"/>
      <c r="W9" s="1"/>
      <c r="X9" s="1"/>
      <c r="Y9" s="1"/>
      <c r="Z9" s="1"/>
    </row>
    <row r="10" spans="1:26" ht="45.75" customHeight="1" x14ac:dyDescent="0.2">
      <c r="A10" s="1"/>
      <c r="B10" s="6" t="s">
        <v>13</v>
      </c>
      <c r="C10" s="12">
        <f>'Income Statement'!F52/'Income Statement'!F3</f>
        <v>7.4634004259131193E-2</v>
      </c>
      <c r="D10" s="12">
        <f>'Income Statement'!E52/'Income Statement'!E3</f>
        <v>7.2934249189133202E-2</v>
      </c>
      <c r="E10" s="13" t="s">
        <v>14</v>
      </c>
      <c r="F10" s="68"/>
      <c r="G10" s="1"/>
      <c r="H10" s="1"/>
      <c r="I10" s="1"/>
      <c r="J10" s="1"/>
      <c r="K10" s="1"/>
      <c r="L10" s="1"/>
      <c r="M10" s="1"/>
      <c r="N10" s="1"/>
      <c r="O10" s="1"/>
      <c r="P10" s="1"/>
      <c r="Q10" s="1"/>
      <c r="R10" s="1"/>
      <c r="S10" s="1"/>
      <c r="T10" s="1"/>
      <c r="U10" s="1"/>
      <c r="V10" s="1"/>
      <c r="W10" s="1"/>
      <c r="X10" s="1"/>
      <c r="Y10" s="1"/>
      <c r="Z10" s="1"/>
    </row>
    <row r="11" spans="1:26" x14ac:dyDescent="0.2">
      <c r="A11" s="1"/>
      <c r="B11" s="65" t="s">
        <v>15</v>
      </c>
      <c r="C11" s="61"/>
      <c r="D11" s="61"/>
      <c r="E11" s="62"/>
      <c r="F11" s="2"/>
      <c r="G11" s="1"/>
      <c r="H11" s="1"/>
      <c r="I11" s="1"/>
      <c r="J11" s="1"/>
      <c r="K11" s="1"/>
      <c r="L11" s="1"/>
      <c r="M11" s="1"/>
      <c r="N11" s="1"/>
      <c r="O11" s="1"/>
      <c r="P11" s="1"/>
      <c r="Q11" s="1"/>
      <c r="R11" s="1"/>
      <c r="S11" s="1"/>
      <c r="T11" s="1"/>
      <c r="U11" s="1"/>
      <c r="V11" s="1"/>
      <c r="W11" s="1"/>
      <c r="X11" s="1"/>
      <c r="Y11" s="1"/>
      <c r="Z11" s="1"/>
    </row>
    <row r="12" spans="1:26" ht="39.75" x14ac:dyDescent="0.2">
      <c r="A12" s="1"/>
      <c r="B12" s="6" t="s">
        <v>16</v>
      </c>
      <c r="C12" s="14">
        <f>'Balance Sheet'!F84/'Balance Sheet'!F130</f>
        <v>0.85072886058236419</v>
      </c>
      <c r="D12" s="14">
        <f>'Balance Sheet'!E84/'Balance Sheet'!E130</f>
        <v>0.8572454032722735</v>
      </c>
      <c r="E12" s="8" t="s">
        <v>17</v>
      </c>
      <c r="F12" s="2"/>
      <c r="G12" s="1"/>
      <c r="H12" s="1"/>
      <c r="I12" s="1"/>
      <c r="J12" s="1"/>
      <c r="K12" s="1"/>
      <c r="L12" s="1"/>
      <c r="M12" s="1"/>
      <c r="N12" s="1"/>
      <c r="O12" s="1"/>
      <c r="P12" s="1"/>
      <c r="Q12" s="1"/>
      <c r="R12" s="1"/>
      <c r="S12" s="1"/>
      <c r="T12" s="1"/>
      <c r="U12" s="1"/>
      <c r="V12" s="1"/>
      <c r="W12" s="1"/>
      <c r="X12" s="1"/>
      <c r="Y12" s="1"/>
      <c r="Z12" s="1"/>
    </row>
    <row r="13" spans="1:26" ht="51.75" x14ac:dyDescent="0.2">
      <c r="A13" s="1"/>
      <c r="B13" s="15" t="s">
        <v>18</v>
      </c>
      <c r="C13" s="16">
        <f>'Balance Sheet'!F84/'Balance Sheet'!F2</f>
        <v>0.45967233704599358</v>
      </c>
      <c r="D13" s="16">
        <f>'Balance Sheet'!E84/'Balance Sheet'!E2</f>
        <v>0.46156819220653134</v>
      </c>
      <c r="E13" s="8" t="s">
        <v>19</v>
      </c>
      <c r="F13" s="2"/>
      <c r="G13" s="1"/>
      <c r="H13" s="1"/>
      <c r="I13" s="1"/>
      <c r="J13" s="1"/>
      <c r="K13" s="1"/>
      <c r="L13" s="1"/>
      <c r="M13" s="1"/>
      <c r="N13" s="1"/>
      <c r="O13" s="1"/>
      <c r="P13" s="1"/>
      <c r="Q13" s="1"/>
      <c r="R13" s="1"/>
      <c r="S13" s="1"/>
      <c r="T13" s="1"/>
      <c r="U13" s="1"/>
      <c r="V13" s="1"/>
      <c r="W13" s="1"/>
      <c r="X13" s="1"/>
      <c r="Y13" s="1"/>
      <c r="Z13" s="1"/>
    </row>
    <row r="14" spans="1:26" x14ac:dyDescent="0.2">
      <c r="A14" s="1"/>
      <c r="B14" s="60" t="s">
        <v>20</v>
      </c>
      <c r="C14" s="61"/>
      <c r="D14" s="61"/>
      <c r="E14" s="62"/>
      <c r="F14" s="2"/>
      <c r="G14" s="1"/>
      <c r="H14" s="1"/>
      <c r="I14" s="1"/>
      <c r="J14" s="1"/>
      <c r="K14" s="1"/>
      <c r="L14" s="1"/>
      <c r="M14" s="1"/>
      <c r="N14" s="1"/>
      <c r="O14" s="1"/>
      <c r="P14" s="1"/>
      <c r="Q14" s="1"/>
      <c r="R14" s="1"/>
      <c r="S14" s="1"/>
      <c r="T14" s="1"/>
      <c r="U14" s="1"/>
      <c r="V14" s="1"/>
      <c r="W14" s="1"/>
      <c r="X14" s="1"/>
      <c r="Y14" s="1"/>
      <c r="Z14" s="1"/>
    </row>
    <row r="15" spans="1:26" ht="51.75" x14ac:dyDescent="0.2">
      <c r="A15" s="1"/>
      <c r="B15" s="6" t="s">
        <v>21</v>
      </c>
      <c r="C15" s="14">
        <f>'Balance Sheet'!F3/'Balance Sheet'!F85</f>
        <v>2.1503570612017917</v>
      </c>
      <c r="D15" s="14">
        <f>'Balance Sheet'!E3/'Balance Sheet'!E85</f>
        <v>1.9171425764155523</v>
      </c>
      <c r="E15" s="13" t="s">
        <v>2592</v>
      </c>
      <c r="F15" s="2"/>
      <c r="G15" s="1"/>
      <c r="H15" s="1"/>
      <c r="I15" s="1"/>
      <c r="J15" s="1"/>
      <c r="K15" s="1"/>
      <c r="L15" s="1"/>
      <c r="M15" s="1"/>
      <c r="N15" s="1"/>
      <c r="O15" s="1"/>
      <c r="P15" s="1"/>
      <c r="Q15" s="1"/>
      <c r="R15" s="1"/>
      <c r="S15" s="1"/>
      <c r="T15" s="1"/>
      <c r="U15" s="1"/>
      <c r="V15" s="1"/>
      <c r="W15" s="1"/>
      <c r="X15" s="1"/>
      <c r="Y15" s="1"/>
      <c r="Z15" s="1"/>
    </row>
    <row r="16" spans="1:26" ht="90" x14ac:dyDescent="0.2">
      <c r="A16" s="1"/>
      <c r="B16" s="9" t="s">
        <v>22</v>
      </c>
      <c r="C16" s="17">
        <f>('Balance Sheet'!F3-'Balance Sheet'!F11)/'Balance Sheet'!F85</f>
        <v>1.635826824137697</v>
      </c>
      <c r="D16" s="17">
        <f>('Balance Sheet'!E3-'Balance Sheet'!E11)/'Balance Sheet'!E85</f>
        <v>1.4317057307015777</v>
      </c>
      <c r="E16" s="18" t="s">
        <v>23</v>
      </c>
      <c r="F16" s="2"/>
      <c r="G16" s="1"/>
      <c r="H16" s="1"/>
      <c r="I16" s="1"/>
      <c r="J16" s="1"/>
      <c r="K16" s="1"/>
      <c r="L16" s="1"/>
      <c r="M16" s="1"/>
      <c r="N16" s="1"/>
      <c r="O16" s="1"/>
      <c r="P16" s="1"/>
      <c r="Q16" s="1"/>
      <c r="R16" s="1"/>
      <c r="S16" s="1"/>
      <c r="T16" s="1"/>
      <c r="U16" s="1"/>
      <c r="V16" s="1"/>
      <c r="W16" s="1"/>
      <c r="X16" s="1"/>
      <c r="Y16" s="1"/>
      <c r="Z16" s="1"/>
    </row>
    <row r="17" spans="1:26" ht="90" x14ac:dyDescent="0.2">
      <c r="A17" s="1"/>
      <c r="B17" s="6" t="s">
        <v>24</v>
      </c>
      <c r="C17" s="14">
        <f>'Balance Sheet'!F4/'Balance Sheet'!F85</f>
        <v>1.3000729146371977</v>
      </c>
      <c r="D17" s="14">
        <f>'Balance Sheet'!E4/'Balance Sheet'!E85</f>
        <v>1.1146866135366948</v>
      </c>
      <c r="E17" s="13" t="s">
        <v>2593</v>
      </c>
      <c r="F17" s="2"/>
      <c r="G17" s="1"/>
      <c r="H17" s="1"/>
      <c r="I17" s="1"/>
      <c r="J17" s="1"/>
      <c r="K17" s="1"/>
      <c r="L17" s="1"/>
      <c r="M17" s="1"/>
      <c r="N17" s="1"/>
      <c r="O17" s="1"/>
      <c r="P17" s="1"/>
      <c r="Q17" s="1"/>
      <c r="R17" s="1"/>
      <c r="S17" s="1"/>
      <c r="T17" s="1"/>
      <c r="U17" s="1"/>
      <c r="V17" s="1"/>
      <c r="W17" s="1"/>
      <c r="X17" s="1"/>
      <c r="Y17" s="1"/>
      <c r="Z17" s="1"/>
    </row>
    <row r="18" spans="1:26" x14ac:dyDescent="0.2">
      <c r="A18" s="1"/>
      <c r="B18" s="60" t="s">
        <v>25</v>
      </c>
      <c r="C18" s="61"/>
      <c r="D18" s="61"/>
      <c r="E18" s="62"/>
      <c r="F18" s="2"/>
      <c r="G18" s="1"/>
      <c r="H18" s="1"/>
      <c r="I18" s="1"/>
      <c r="J18" s="1"/>
      <c r="K18" s="1"/>
      <c r="L18" s="1"/>
      <c r="M18" s="1"/>
      <c r="N18" s="1"/>
      <c r="O18" s="1"/>
      <c r="P18" s="1"/>
      <c r="Q18" s="1"/>
      <c r="R18" s="1"/>
      <c r="S18" s="1"/>
      <c r="T18" s="1"/>
      <c r="U18" s="1"/>
      <c r="V18" s="1"/>
      <c r="W18" s="1"/>
      <c r="X18" s="1"/>
      <c r="Y18" s="1"/>
      <c r="Z18" s="1"/>
    </row>
    <row r="19" spans="1:26" ht="90" x14ac:dyDescent="0.2">
      <c r="A19" s="1"/>
      <c r="B19" s="4" t="s">
        <v>26</v>
      </c>
      <c r="C19" s="14">
        <f>-'Income Statement'!F5/(('Balance Sheet'!F11+'Balance Sheet'!E11)/2)</f>
        <v>4.3149754267412535</v>
      </c>
      <c r="D19" s="14">
        <f>-'Income Statement'!E6/(('Balance Sheet'!D11+'Balance Sheet'!E11)/2)</f>
        <v>4.5485239104738566</v>
      </c>
      <c r="E19" s="13" t="s">
        <v>27</v>
      </c>
      <c r="F19" s="2" t="s">
        <v>28</v>
      </c>
      <c r="G19" s="1"/>
      <c r="H19" s="1"/>
      <c r="I19" s="1"/>
      <c r="J19" s="1"/>
      <c r="K19" s="1"/>
      <c r="L19" s="1"/>
      <c r="M19" s="1"/>
      <c r="N19" s="1"/>
      <c r="O19" s="1"/>
      <c r="P19" s="1"/>
      <c r="Q19" s="1"/>
      <c r="R19" s="1"/>
      <c r="S19" s="1"/>
      <c r="T19" s="1"/>
      <c r="U19" s="1"/>
      <c r="V19" s="1"/>
      <c r="W19" s="1"/>
      <c r="X19" s="1"/>
      <c r="Y19" s="1"/>
      <c r="Z19" s="1"/>
    </row>
    <row r="20" spans="1:26" ht="39.75" x14ac:dyDescent="0.2">
      <c r="A20" s="1"/>
      <c r="B20" s="9" t="s">
        <v>29</v>
      </c>
      <c r="C20" s="17">
        <f>((SUM('Balance Sheet'!E18:F18)/2)/'Income Statement'!F3)*365</f>
        <v>27.207972970084384</v>
      </c>
      <c r="D20" s="17">
        <f>((SUM('Balance Sheet'!D18:E18)/2)/'Income Statement'!E3)*365</f>
        <v>26.563759563690379</v>
      </c>
      <c r="E20" s="18" t="s">
        <v>30</v>
      </c>
      <c r="F20" s="2"/>
      <c r="G20" s="1"/>
      <c r="H20" s="1"/>
      <c r="I20" s="1"/>
      <c r="J20" s="1"/>
      <c r="K20" s="1"/>
      <c r="L20" s="1"/>
      <c r="M20" s="1"/>
      <c r="N20" s="1"/>
      <c r="O20" s="1"/>
      <c r="P20" s="1"/>
      <c r="Q20" s="1"/>
      <c r="R20" s="1"/>
      <c r="S20" s="1"/>
      <c r="T20" s="1"/>
      <c r="U20" s="1"/>
      <c r="V20" s="1"/>
      <c r="W20" s="1"/>
      <c r="X20" s="1"/>
      <c r="Y20" s="1"/>
      <c r="Z20" s="1"/>
    </row>
    <row r="21" spans="1:26" ht="15.75" customHeight="1" x14ac:dyDescent="0.2">
      <c r="A21" s="1"/>
      <c r="B21" s="6" t="s">
        <v>31</v>
      </c>
      <c r="C21" s="14">
        <f>'Income Statement'!F3/(('Balance Sheet'!F26+'Balance Sheet'!E26)/2)</f>
        <v>0.94352474730711411</v>
      </c>
      <c r="D21" s="14">
        <f>'Income Statement'!E3/(('Balance Sheet'!D26+'Balance Sheet'!E26)/2)</f>
        <v>0.89706359379395328</v>
      </c>
      <c r="E21" s="13" t="s">
        <v>32</v>
      </c>
      <c r="F21" s="2"/>
      <c r="G21" s="1"/>
      <c r="H21" s="1"/>
      <c r="I21" s="1"/>
      <c r="J21" s="1"/>
      <c r="K21" s="1"/>
      <c r="L21" s="1"/>
      <c r="M21" s="1"/>
      <c r="N21" s="1"/>
      <c r="O21" s="1"/>
      <c r="P21" s="1"/>
      <c r="Q21" s="1"/>
      <c r="R21" s="1"/>
      <c r="S21" s="1"/>
      <c r="T21" s="1"/>
      <c r="U21" s="1"/>
      <c r="V21" s="1"/>
      <c r="W21" s="1"/>
      <c r="X21" s="1"/>
      <c r="Y21" s="1"/>
      <c r="Z21" s="1"/>
    </row>
    <row r="22" spans="1:26" ht="15.75" customHeight="1" x14ac:dyDescent="0.2">
      <c r="A22" s="1"/>
      <c r="B22" s="19" t="s">
        <v>33</v>
      </c>
      <c r="C22" s="14">
        <f>'Income Statement'!F3/(('Balance Sheet'!F2+'Balance Sheet'!E2)/2)</f>
        <v>0.59637469122879772</v>
      </c>
      <c r="D22" s="14">
        <f>'Income Statement'!E3/(('Balance Sheet'!D2+'Balance Sheet'!E2)/2)</f>
        <v>0.60870376780383595</v>
      </c>
      <c r="E22" s="13" t="s">
        <v>34</v>
      </c>
      <c r="F22" s="2"/>
      <c r="G22" s="1"/>
      <c r="H22" s="1"/>
      <c r="I22" s="1"/>
      <c r="J22" s="1"/>
      <c r="K22" s="1"/>
      <c r="L22" s="1"/>
      <c r="M22" s="1"/>
      <c r="N22" s="1"/>
      <c r="O22" s="1"/>
      <c r="P22" s="1"/>
      <c r="Q22" s="1"/>
      <c r="R22" s="1"/>
      <c r="S22" s="1"/>
      <c r="T22" s="1"/>
      <c r="U22" s="1"/>
      <c r="V22" s="1"/>
      <c r="W22" s="1"/>
      <c r="X22" s="1"/>
      <c r="Y22" s="1"/>
      <c r="Z22" s="1"/>
    </row>
    <row r="23" spans="1:26" ht="15.75" customHeight="1" x14ac:dyDescent="0.2">
      <c r="A23" s="1"/>
      <c r="B23" s="20"/>
      <c r="C23" s="2"/>
      <c r="D23" s="2"/>
      <c r="E23" s="2"/>
      <c r="F23" s="3">
        <v>4</v>
      </c>
      <c r="G23" s="1"/>
      <c r="H23" s="1"/>
      <c r="I23" s="1"/>
      <c r="J23" s="1"/>
      <c r="K23" s="1"/>
      <c r="L23" s="1"/>
      <c r="M23" s="1"/>
      <c r="N23" s="1"/>
      <c r="O23" s="1"/>
      <c r="P23" s="1"/>
      <c r="Q23" s="1"/>
      <c r="R23" s="1"/>
      <c r="S23" s="1"/>
      <c r="T23" s="1"/>
      <c r="U23" s="1"/>
      <c r="V23" s="1"/>
      <c r="W23" s="1"/>
      <c r="X23" s="1"/>
      <c r="Y23" s="1"/>
      <c r="Z23" s="1"/>
    </row>
    <row r="24" spans="1:26" ht="15.75" customHeight="1" x14ac:dyDescent="0.2">
      <c r="A24" s="1"/>
      <c r="B24" s="63" t="s">
        <v>35</v>
      </c>
      <c r="C24" s="61"/>
      <c r="D24" s="61"/>
      <c r="E24" s="61"/>
      <c r="F24" s="21"/>
      <c r="G24" s="1"/>
      <c r="H24" s="1"/>
      <c r="I24" s="1"/>
      <c r="J24" s="1"/>
      <c r="K24" s="1"/>
      <c r="L24" s="1"/>
      <c r="M24" s="1"/>
      <c r="N24" s="1"/>
      <c r="O24" s="1"/>
      <c r="P24" s="1"/>
      <c r="Q24" s="1"/>
      <c r="R24" s="1"/>
      <c r="S24" s="1"/>
      <c r="T24" s="1"/>
      <c r="U24" s="1"/>
      <c r="V24" s="1"/>
      <c r="W24" s="1"/>
      <c r="X24" s="1"/>
      <c r="Y24" s="1"/>
      <c r="Z24" s="1"/>
    </row>
    <row r="25" spans="1:26" ht="15.75" customHeight="1" x14ac:dyDescent="0.2">
      <c r="A25" s="1"/>
      <c r="B25" s="22"/>
      <c r="C25" s="23" t="s">
        <v>36</v>
      </c>
      <c r="D25" s="23" t="s">
        <v>37</v>
      </c>
      <c r="E25" s="23" t="s">
        <v>38</v>
      </c>
      <c r="F25" s="4" t="s">
        <v>39</v>
      </c>
      <c r="G25" s="1"/>
      <c r="H25" s="1"/>
      <c r="I25" s="1"/>
      <c r="J25" s="1"/>
      <c r="K25" s="1"/>
      <c r="L25" s="1"/>
      <c r="M25" s="1"/>
      <c r="N25" s="1"/>
      <c r="O25" s="1"/>
      <c r="P25" s="1"/>
      <c r="Q25" s="1"/>
      <c r="R25" s="1"/>
      <c r="S25" s="1"/>
      <c r="T25" s="1"/>
      <c r="U25" s="1"/>
      <c r="V25" s="1"/>
      <c r="W25" s="1"/>
      <c r="X25" s="1"/>
      <c r="Y25" s="1"/>
      <c r="Z25" s="1"/>
    </row>
    <row r="26" spans="1:26" ht="15.75" customHeight="1" x14ac:dyDescent="0.2">
      <c r="A26" s="1"/>
      <c r="B26" s="6" t="s">
        <v>40</v>
      </c>
      <c r="C26" s="14">
        <f>'IDX Financial Data and Ratio'!W338</f>
        <v>0.56000000000000005</v>
      </c>
      <c r="D26" s="14">
        <f>'Summary Financial Ratio by Indu'!F14</f>
        <v>1.96</v>
      </c>
      <c r="E26" s="24">
        <f>'Summary Financial Ratio by Indu'!F16</f>
        <v>1.87</v>
      </c>
      <c r="F26" s="8" t="s">
        <v>41</v>
      </c>
      <c r="G26" s="1"/>
      <c r="H26" s="1"/>
      <c r="I26" s="1"/>
      <c r="J26" s="1"/>
      <c r="K26" s="1"/>
      <c r="L26" s="1"/>
      <c r="M26" s="1"/>
      <c r="N26" s="1"/>
      <c r="O26" s="1"/>
      <c r="P26" s="1"/>
      <c r="Q26" s="1"/>
      <c r="R26" s="1"/>
      <c r="S26" s="1"/>
      <c r="T26" s="1"/>
      <c r="U26" s="1"/>
      <c r="V26" s="1"/>
      <c r="W26" s="1"/>
      <c r="X26" s="1"/>
      <c r="Y26" s="1"/>
      <c r="Z26" s="1"/>
    </row>
    <row r="27" spans="1:26" ht="15.75" customHeight="1" x14ac:dyDescent="0.25">
      <c r="A27" s="1"/>
      <c r="B27" s="6" t="s">
        <v>42</v>
      </c>
      <c r="C27" s="14">
        <f>'IDX Financial Data and Ratio'!V338</f>
        <v>5.97</v>
      </c>
      <c r="D27" s="14">
        <f>'Summary Financial Ratio by Indu'!E14</f>
        <v>14.31</v>
      </c>
      <c r="E27" s="24">
        <f>'Summary Financial Ratio by Indu'!E16</f>
        <v>13.61</v>
      </c>
      <c r="F27" s="13" t="s">
        <v>43</v>
      </c>
      <c r="G27" s="1"/>
      <c r="H27" s="1"/>
      <c r="I27" s="1"/>
      <c r="J27" s="1"/>
      <c r="K27" s="1"/>
      <c r="L27" s="1"/>
      <c r="M27" s="1"/>
      <c r="N27" s="1"/>
      <c r="O27" s="1"/>
      <c r="P27" s="1"/>
      <c r="Q27" s="1"/>
      <c r="R27" s="1"/>
      <c r="S27" s="1"/>
      <c r="T27" s="1"/>
      <c r="U27" s="1"/>
      <c r="V27" s="1"/>
      <c r="W27" s="1"/>
      <c r="X27" s="1"/>
      <c r="Y27" s="1"/>
      <c r="Z27" s="1"/>
    </row>
    <row r="28" spans="1:26" ht="15.75" customHeight="1" x14ac:dyDescent="0.2">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
      <c r="A30" s="25"/>
      <c r="B30" s="26" t="s">
        <v>44</v>
      </c>
      <c r="C30" s="25"/>
      <c r="D30" s="25"/>
      <c r="E30" s="25"/>
      <c r="F30" s="25"/>
      <c r="G30" s="25"/>
      <c r="H30" s="1"/>
      <c r="I30" s="1"/>
      <c r="J30" s="1"/>
      <c r="K30" s="1"/>
      <c r="L30" s="1"/>
      <c r="M30" s="1"/>
      <c r="N30" s="1"/>
      <c r="O30" s="1"/>
      <c r="P30" s="1"/>
      <c r="Q30" s="1"/>
      <c r="R30" s="1"/>
      <c r="S30" s="1"/>
      <c r="T30" s="1"/>
      <c r="U30" s="1"/>
      <c r="V30" s="1"/>
      <c r="W30" s="1"/>
      <c r="X30" s="1"/>
      <c r="Y30" s="1"/>
      <c r="Z30" s="1"/>
    </row>
    <row r="31" spans="1:26" ht="69" customHeight="1" x14ac:dyDescent="0.2">
      <c r="A31" s="27">
        <v>5</v>
      </c>
      <c r="B31" s="28" t="s">
        <v>45</v>
      </c>
      <c r="C31" s="64" t="s">
        <v>46</v>
      </c>
      <c r="D31" s="61"/>
      <c r="E31" s="61"/>
      <c r="F31" s="61"/>
      <c r="G31" s="62"/>
      <c r="H31" s="1"/>
      <c r="I31" s="1"/>
      <c r="J31" s="1"/>
      <c r="K31" s="1"/>
      <c r="L31" s="1"/>
      <c r="M31" s="1"/>
      <c r="N31" s="1"/>
      <c r="O31" s="1"/>
      <c r="P31" s="1"/>
      <c r="Q31" s="1"/>
      <c r="R31" s="1"/>
      <c r="S31" s="1"/>
      <c r="T31" s="1"/>
      <c r="U31" s="1"/>
      <c r="V31" s="1"/>
      <c r="W31" s="1"/>
      <c r="X31" s="1"/>
      <c r="Y31" s="1"/>
      <c r="Z31" s="1"/>
    </row>
    <row r="32" spans="1:26" ht="15.75" customHeight="1" x14ac:dyDescent="0.2">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sheetData>
  <mergeCells count="8">
    <mergeCell ref="B18:E18"/>
    <mergeCell ref="B24:E24"/>
    <mergeCell ref="C31:G31"/>
    <mergeCell ref="C2:E2"/>
    <mergeCell ref="B4:E4"/>
    <mergeCell ref="F8:F10"/>
    <mergeCell ref="B11:E11"/>
    <mergeCell ref="B14:E1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A965"/>
  <sheetViews>
    <sheetView workbookViewId="0"/>
  </sheetViews>
  <sheetFormatPr defaultColWidth="14.390625" defaultRowHeight="15" customHeight="1" x14ac:dyDescent="0.2"/>
  <cols>
    <col min="1" max="1" width="23.40625" customWidth="1"/>
    <col min="2" max="2" width="4.3046875" customWidth="1"/>
    <col min="3" max="3" width="22.46484375" customWidth="1"/>
    <col min="4" max="4" width="16.8125" customWidth="1"/>
    <col min="5" max="5" width="36.72265625" customWidth="1"/>
    <col min="6" max="6" width="7.93359375" customWidth="1"/>
    <col min="7" max="7" width="48.15625" customWidth="1"/>
    <col min="8" max="8" width="6.58984375" customWidth="1"/>
    <col min="9" max="9" width="11.1640625" customWidth="1"/>
    <col min="10" max="10" width="13.98828125" customWidth="1"/>
    <col min="11" max="11" width="14.52734375" customWidth="1"/>
    <col min="12" max="12" width="16.41015625" customWidth="1"/>
    <col min="13" max="13" width="12.375" customWidth="1"/>
    <col min="14" max="14" width="14.9296875" customWidth="1"/>
    <col min="15" max="15" width="12.23828125" customWidth="1"/>
    <col min="16" max="16" width="11.296875" customWidth="1"/>
    <col min="17" max="17" width="9.953125" customWidth="1"/>
    <col min="18" max="18" width="18.4296875" customWidth="1"/>
    <col min="19" max="19" width="19.37109375" customWidth="1"/>
    <col min="20" max="20" width="17.62109375" customWidth="1"/>
    <col min="21" max="21" width="20.3125" customWidth="1"/>
    <col min="22" max="22" width="17.484375" customWidth="1"/>
    <col min="23" max="23" width="12.5078125" customWidth="1"/>
    <col min="24" max="24" width="16.54296875" customWidth="1"/>
    <col min="25" max="25" width="14.2578125" customWidth="1"/>
    <col min="26" max="26" width="10.625" customWidth="1"/>
    <col min="27" max="27" width="13.44921875" customWidth="1"/>
  </cols>
  <sheetData>
    <row r="1" spans="1:27" x14ac:dyDescent="0.2">
      <c r="A1" s="2"/>
      <c r="B1" s="2"/>
      <c r="C1" s="2"/>
      <c r="D1" s="2"/>
      <c r="E1" s="2"/>
      <c r="F1" s="2"/>
      <c r="G1" s="2"/>
      <c r="H1" s="2"/>
      <c r="I1" s="2"/>
      <c r="J1" s="2"/>
      <c r="K1" s="2"/>
      <c r="L1" s="2"/>
      <c r="M1" s="2"/>
      <c r="N1" s="2"/>
      <c r="O1" s="2"/>
      <c r="P1" s="2"/>
      <c r="Q1" s="2"/>
      <c r="R1" s="2"/>
      <c r="S1" s="2"/>
      <c r="T1" s="2"/>
      <c r="U1" s="2"/>
      <c r="V1" s="2"/>
      <c r="W1" s="2"/>
      <c r="X1" s="2"/>
      <c r="Y1" s="2"/>
      <c r="Z1" s="2"/>
      <c r="AA1" s="2"/>
    </row>
    <row r="2" spans="1:27" x14ac:dyDescent="0.2">
      <c r="A2" s="2"/>
      <c r="B2" s="69" t="s">
        <v>47</v>
      </c>
      <c r="C2" s="70"/>
      <c r="D2" s="70"/>
      <c r="E2" s="70"/>
      <c r="F2" s="70"/>
      <c r="G2" s="70"/>
      <c r="H2" s="70"/>
      <c r="I2" s="70"/>
      <c r="J2" s="70"/>
      <c r="K2" s="70"/>
      <c r="L2" s="70"/>
      <c r="M2" s="70"/>
      <c r="N2" s="70"/>
      <c r="O2" s="70"/>
      <c r="P2" s="70"/>
      <c r="Q2" s="70"/>
      <c r="R2" s="70"/>
      <c r="S2" s="70"/>
      <c r="T2" s="70"/>
      <c r="U2" s="70"/>
      <c r="V2" s="70"/>
      <c r="W2" s="70"/>
      <c r="X2" s="70"/>
      <c r="Y2" s="70"/>
      <c r="Z2" s="70"/>
      <c r="AA2" s="70"/>
    </row>
    <row r="3" spans="1:27" x14ac:dyDescent="0.2">
      <c r="A3" s="2"/>
      <c r="B3" s="2"/>
      <c r="C3" s="2"/>
      <c r="D3" s="2"/>
      <c r="E3" s="2"/>
      <c r="F3" s="2"/>
      <c r="G3" s="2"/>
      <c r="H3" s="2"/>
      <c r="I3" s="2"/>
      <c r="J3" s="2"/>
      <c r="K3" s="2"/>
      <c r="L3" s="2"/>
      <c r="M3" s="2"/>
      <c r="N3" s="2"/>
      <c r="O3" s="2"/>
      <c r="P3" s="2"/>
      <c r="Q3" s="2"/>
      <c r="R3" s="2"/>
      <c r="S3" s="2"/>
      <c r="T3" s="2"/>
      <c r="U3" s="2"/>
      <c r="V3" s="2"/>
      <c r="W3" s="2"/>
      <c r="X3" s="2"/>
      <c r="Y3" s="2"/>
      <c r="Z3" s="2"/>
      <c r="AA3" s="2"/>
    </row>
    <row r="4" spans="1:27" x14ac:dyDescent="0.2">
      <c r="A4" s="2"/>
      <c r="B4" s="29" t="s">
        <v>48</v>
      </c>
      <c r="C4" s="29" t="s">
        <v>49</v>
      </c>
      <c r="D4" s="29" t="s">
        <v>50</v>
      </c>
      <c r="E4" s="29" t="s">
        <v>38</v>
      </c>
      <c r="F4" s="29" t="s">
        <v>51</v>
      </c>
      <c r="G4" s="29" t="s">
        <v>52</v>
      </c>
      <c r="H4" s="29" t="s">
        <v>53</v>
      </c>
      <c r="I4" s="29" t="s">
        <v>54</v>
      </c>
      <c r="J4" s="29" t="s">
        <v>55</v>
      </c>
      <c r="K4" s="29" t="s">
        <v>56</v>
      </c>
      <c r="L4" s="29" t="s">
        <v>57</v>
      </c>
      <c r="M4" s="71" t="s">
        <v>58</v>
      </c>
      <c r="N4" s="61"/>
      <c r="O4" s="61"/>
      <c r="P4" s="61"/>
      <c r="Q4" s="62"/>
      <c r="R4" s="29" t="s">
        <v>59</v>
      </c>
      <c r="S4" s="29" t="s">
        <v>60</v>
      </c>
      <c r="T4" s="71" t="s">
        <v>61</v>
      </c>
      <c r="U4" s="61"/>
      <c r="V4" s="61"/>
      <c r="W4" s="61"/>
      <c r="X4" s="61"/>
      <c r="Y4" s="61"/>
      <c r="Z4" s="61"/>
      <c r="AA4" s="62"/>
    </row>
    <row r="5" spans="1:27" x14ac:dyDescent="0.2">
      <c r="A5" s="2"/>
      <c r="B5" s="30"/>
      <c r="C5" s="30"/>
      <c r="D5" s="30"/>
      <c r="E5" s="30"/>
      <c r="F5" s="30"/>
      <c r="G5" s="30"/>
      <c r="H5" s="30"/>
      <c r="I5" s="30"/>
      <c r="J5" s="30"/>
      <c r="K5" s="30"/>
      <c r="L5" s="30"/>
      <c r="M5" s="29" t="s">
        <v>62</v>
      </c>
      <c r="N5" s="29" t="s">
        <v>63</v>
      </c>
      <c r="O5" s="29" t="s">
        <v>64</v>
      </c>
      <c r="P5" s="29" t="s">
        <v>65</v>
      </c>
      <c r="Q5" s="29" t="s">
        <v>66</v>
      </c>
      <c r="R5" s="30"/>
      <c r="S5" s="30"/>
      <c r="T5" s="29" t="s">
        <v>67</v>
      </c>
      <c r="U5" s="29" t="s">
        <v>68</v>
      </c>
      <c r="V5" s="29" t="s">
        <v>69</v>
      </c>
      <c r="W5" s="29" t="s">
        <v>70</v>
      </c>
      <c r="X5" s="29" t="s">
        <v>71</v>
      </c>
      <c r="Y5" s="29" t="s">
        <v>72</v>
      </c>
      <c r="Z5" s="29" t="s">
        <v>73</v>
      </c>
      <c r="AA5" s="29" t="s">
        <v>74</v>
      </c>
    </row>
    <row r="6" spans="1:27" hidden="1" x14ac:dyDescent="0.2">
      <c r="A6" s="2"/>
      <c r="B6" s="31">
        <v>1</v>
      </c>
      <c r="C6" s="32" t="s">
        <v>75</v>
      </c>
      <c r="D6" s="32" t="s">
        <v>76</v>
      </c>
      <c r="E6" s="32" t="s">
        <v>77</v>
      </c>
      <c r="F6" s="32" t="s">
        <v>78</v>
      </c>
      <c r="G6" s="32" t="s">
        <v>79</v>
      </c>
      <c r="H6" s="33" t="s">
        <v>80</v>
      </c>
      <c r="I6" s="33" t="s">
        <v>81</v>
      </c>
      <c r="J6" s="33" t="s">
        <v>82</v>
      </c>
      <c r="K6" s="33" t="s">
        <v>83</v>
      </c>
      <c r="L6" s="32" t="s">
        <v>84</v>
      </c>
      <c r="M6" s="34">
        <v>98815.45</v>
      </c>
      <c r="N6" s="34">
        <v>38336.5</v>
      </c>
      <c r="O6" s="34">
        <v>60478.95</v>
      </c>
      <c r="P6" s="34">
        <v>38947.18</v>
      </c>
      <c r="Q6" s="34">
        <v>9667.0499999999993</v>
      </c>
      <c r="R6" s="34">
        <v>7811.66</v>
      </c>
      <c r="S6" s="34">
        <v>6957.95</v>
      </c>
      <c r="T6" s="34">
        <v>1598.13</v>
      </c>
      <c r="U6" s="34">
        <v>7766.76</v>
      </c>
      <c r="V6" s="34">
        <v>4.66</v>
      </c>
      <c r="W6" s="34">
        <v>0.96</v>
      </c>
      <c r="X6" s="34">
        <v>0.63</v>
      </c>
      <c r="Y6" s="35">
        <v>12.5937</v>
      </c>
      <c r="Z6" s="35">
        <v>20.576599999999999</v>
      </c>
      <c r="AA6" s="35">
        <v>31.952200000000001</v>
      </c>
    </row>
    <row r="7" spans="1:27" hidden="1" x14ac:dyDescent="0.2">
      <c r="A7" s="2"/>
      <c r="B7" s="31">
        <v>2</v>
      </c>
      <c r="C7" s="36" t="s">
        <v>75</v>
      </c>
      <c r="D7" s="36" t="s">
        <v>76</v>
      </c>
      <c r="E7" s="36" t="s">
        <v>77</v>
      </c>
      <c r="F7" s="36" t="s">
        <v>85</v>
      </c>
      <c r="G7" s="36" t="s">
        <v>86</v>
      </c>
      <c r="H7" s="37" t="s">
        <v>80</v>
      </c>
      <c r="I7" s="37" t="s">
        <v>81</v>
      </c>
      <c r="J7" s="37" t="s">
        <v>82</v>
      </c>
      <c r="K7" s="37" t="s">
        <v>87</v>
      </c>
      <c r="L7" s="36" t="s">
        <v>84</v>
      </c>
      <c r="M7" s="34">
        <v>33670.44</v>
      </c>
      <c r="N7" s="34">
        <v>19876.439999999999</v>
      </c>
      <c r="O7" s="34">
        <v>13794</v>
      </c>
      <c r="P7" s="34">
        <v>8227.35</v>
      </c>
      <c r="Q7" s="34">
        <v>398.16</v>
      </c>
      <c r="R7" s="34">
        <v>448.28</v>
      </c>
      <c r="S7" s="34">
        <v>450.35</v>
      </c>
      <c r="T7" s="34">
        <v>438.33</v>
      </c>
      <c r="U7" s="34">
        <v>5010.2299999999996</v>
      </c>
      <c r="V7" s="34">
        <v>6.62</v>
      </c>
      <c r="W7" s="34">
        <v>0.57999999999999996</v>
      </c>
      <c r="X7" s="34">
        <v>1.44</v>
      </c>
      <c r="Y7" s="35">
        <v>3.5842000000000001</v>
      </c>
      <c r="Z7" s="35">
        <v>8.7487999999999992</v>
      </c>
      <c r="AA7" s="35">
        <v>14.668200000000001</v>
      </c>
    </row>
    <row r="8" spans="1:27" hidden="1" x14ac:dyDescent="0.2">
      <c r="A8" s="2"/>
      <c r="B8" s="31">
        <v>3</v>
      </c>
      <c r="C8" s="36" t="s">
        <v>75</v>
      </c>
      <c r="D8" s="36" t="s">
        <v>76</v>
      </c>
      <c r="E8" s="36" t="s">
        <v>77</v>
      </c>
      <c r="F8" s="36" t="s">
        <v>88</v>
      </c>
      <c r="G8" s="36" t="s">
        <v>89</v>
      </c>
      <c r="H8" s="37" t="s">
        <v>80</v>
      </c>
      <c r="I8" s="37" t="s">
        <v>81</v>
      </c>
      <c r="J8" s="37" t="s">
        <v>82</v>
      </c>
      <c r="K8" s="37" t="s">
        <v>83</v>
      </c>
      <c r="L8" s="36" t="s">
        <v>90</v>
      </c>
      <c r="M8" s="34">
        <v>39661.61</v>
      </c>
      <c r="N8" s="34">
        <v>14468.66</v>
      </c>
      <c r="O8" s="34">
        <v>25192.94</v>
      </c>
      <c r="P8" s="34">
        <v>7205.64</v>
      </c>
      <c r="Q8" s="34">
        <v>2810.57</v>
      </c>
      <c r="R8" s="34">
        <v>2254.29</v>
      </c>
      <c r="S8" s="34">
        <v>2280.37</v>
      </c>
      <c r="T8" s="34">
        <v>128.63999999999999</v>
      </c>
      <c r="U8" s="34">
        <v>616.23</v>
      </c>
      <c r="V8" s="34">
        <v>8.16</v>
      </c>
      <c r="W8" s="34">
        <v>1.7</v>
      </c>
      <c r="X8" s="34">
        <v>0.56999999999999995</v>
      </c>
      <c r="Y8" s="35">
        <v>13.259600000000001</v>
      </c>
      <c r="Z8" s="35">
        <v>20.8748</v>
      </c>
      <c r="AA8" s="35">
        <v>72.984099999999998</v>
      </c>
    </row>
    <row r="9" spans="1:27" hidden="1" x14ac:dyDescent="0.2">
      <c r="A9" s="2"/>
      <c r="B9" s="31">
        <v>4</v>
      </c>
      <c r="C9" s="36" t="s">
        <v>75</v>
      </c>
      <c r="D9" s="36" t="s">
        <v>76</v>
      </c>
      <c r="E9" s="36" t="s">
        <v>77</v>
      </c>
      <c r="F9" s="36" t="s">
        <v>91</v>
      </c>
      <c r="G9" s="36" t="s">
        <v>92</v>
      </c>
      <c r="H9" s="37" t="s">
        <v>80</v>
      </c>
      <c r="I9" s="37" t="s">
        <v>81</v>
      </c>
      <c r="J9" s="37" t="s">
        <v>82</v>
      </c>
      <c r="K9" s="37" t="s">
        <v>83</v>
      </c>
      <c r="L9" s="36" t="s">
        <v>84</v>
      </c>
      <c r="M9" s="34">
        <v>104002.66</v>
      </c>
      <c r="N9" s="34">
        <v>23021.3</v>
      </c>
      <c r="O9" s="34">
        <v>80981.36</v>
      </c>
      <c r="P9" s="34">
        <v>13921.17</v>
      </c>
      <c r="Q9" s="34">
        <v>4038.68</v>
      </c>
      <c r="R9" s="34">
        <v>3164.04</v>
      </c>
      <c r="S9" s="34">
        <v>2839.5</v>
      </c>
      <c r="T9" s="34">
        <v>421.06</v>
      </c>
      <c r="U9" s="34">
        <v>2755.43</v>
      </c>
      <c r="V9" s="34">
        <v>4.01</v>
      </c>
      <c r="W9" s="34">
        <v>0.61</v>
      </c>
      <c r="X9" s="34">
        <v>0.28000000000000003</v>
      </c>
      <c r="Y9" s="35">
        <v>11.898400000000001</v>
      </c>
      <c r="Z9" s="35">
        <v>15.280900000000001</v>
      </c>
      <c r="AA9" s="35">
        <v>88.891199999999998</v>
      </c>
    </row>
    <row r="10" spans="1:27" hidden="1" x14ac:dyDescent="0.2">
      <c r="A10" s="2"/>
      <c r="B10" s="31">
        <v>5</v>
      </c>
      <c r="C10" s="36" t="s">
        <v>75</v>
      </c>
      <c r="D10" s="36" t="s">
        <v>76</v>
      </c>
      <c r="E10" s="36" t="s">
        <v>77</v>
      </c>
      <c r="F10" s="36" t="s">
        <v>93</v>
      </c>
      <c r="G10" s="36" t="s">
        <v>94</v>
      </c>
      <c r="H10" s="37" t="s">
        <v>80</v>
      </c>
      <c r="I10" s="37" t="s">
        <v>81</v>
      </c>
      <c r="J10" s="37" t="s">
        <v>82</v>
      </c>
      <c r="K10" s="37" t="s">
        <v>87</v>
      </c>
      <c r="L10" s="36" t="s">
        <v>84</v>
      </c>
      <c r="M10" s="34">
        <v>4.33</v>
      </c>
      <c r="N10" s="34">
        <v>4.84</v>
      </c>
      <c r="O10" s="34">
        <v>-0.52</v>
      </c>
      <c r="P10" s="34">
        <v>0.08</v>
      </c>
      <c r="Q10" s="34">
        <v>-0.86</v>
      </c>
      <c r="R10" s="34">
        <v>-0.86</v>
      </c>
      <c r="S10" s="34">
        <v>-0.86</v>
      </c>
      <c r="T10" s="34">
        <v>-7.22</v>
      </c>
      <c r="U10" s="34">
        <v>-2.35</v>
      </c>
      <c r="V10" s="34">
        <v>-54.85</v>
      </c>
      <c r="W10" s="34">
        <v>-168.47</v>
      </c>
      <c r="X10" s="34">
        <v>-9.36</v>
      </c>
      <c r="Y10" s="35">
        <v>-36.719900000000003</v>
      </c>
      <c r="Z10" s="35" t="s">
        <v>95</v>
      </c>
      <c r="AA10" s="35">
        <v>-2016.7688000000001</v>
      </c>
    </row>
    <row r="11" spans="1:27" hidden="1" x14ac:dyDescent="0.2">
      <c r="A11" s="2"/>
      <c r="B11" s="31">
        <v>6</v>
      </c>
      <c r="C11" s="36" t="s">
        <v>75</v>
      </c>
      <c r="D11" s="36" t="s">
        <v>96</v>
      </c>
      <c r="E11" s="36" t="s">
        <v>97</v>
      </c>
      <c r="F11" s="36" t="s">
        <v>98</v>
      </c>
      <c r="G11" s="36" t="s">
        <v>99</v>
      </c>
      <c r="H11" s="37" t="s">
        <v>80</v>
      </c>
      <c r="I11" s="37" t="s">
        <v>81</v>
      </c>
      <c r="J11" s="37" t="s">
        <v>82</v>
      </c>
      <c r="K11" s="37" t="s">
        <v>87</v>
      </c>
      <c r="L11" s="36" t="s">
        <v>84</v>
      </c>
      <c r="M11" s="34">
        <v>31794.53</v>
      </c>
      <c r="N11" s="34">
        <v>16816.38</v>
      </c>
      <c r="O11" s="34">
        <v>14978.15</v>
      </c>
      <c r="P11" s="34">
        <v>21417.87</v>
      </c>
      <c r="Q11" s="34">
        <v>1565.43</v>
      </c>
      <c r="R11" s="34">
        <v>1329.8</v>
      </c>
      <c r="S11" s="34">
        <v>1180.08</v>
      </c>
      <c r="T11" s="34">
        <v>119.67</v>
      </c>
      <c r="U11" s="34">
        <v>746.17</v>
      </c>
      <c r="V11" s="34">
        <v>10.11</v>
      </c>
      <c r="W11" s="34">
        <v>1.62</v>
      </c>
      <c r="X11" s="34">
        <v>1.1200000000000001</v>
      </c>
      <c r="Y11" s="35">
        <v>7.5553999999999997</v>
      </c>
      <c r="Z11" s="35">
        <v>16.0381</v>
      </c>
      <c r="AA11" s="35">
        <v>11.2159</v>
      </c>
    </row>
    <row r="12" spans="1:27" hidden="1" x14ac:dyDescent="0.2">
      <c r="A12" s="2"/>
      <c r="B12" s="31">
        <v>7</v>
      </c>
      <c r="C12" s="36" t="s">
        <v>75</v>
      </c>
      <c r="D12" s="36" t="s">
        <v>100</v>
      </c>
      <c r="E12" s="36" t="s">
        <v>101</v>
      </c>
      <c r="F12" s="36" t="s">
        <v>102</v>
      </c>
      <c r="G12" s="36" t="s">
        <v>103</v>
      </c>
      <c r="H12" s="37" t="s">
        <v>95</v>
      </c>
      <c r="I12" s="37" t="s">
        <v>81</v>
      </c>
      <c r="J12" s="37" t="s">
        <v>82</v>
      </c>
      <c r="K12" s="37" t="s">
        <v>104</v>
      </c>
      <c r="L12" s="36" t="s">
        <v>90</v>
      </c>
      <c r="M12" s="34">
        <v>2622.89</v>
      </c>
      <c r="N12" s="34">
        <v>642.36</v>
      </c>
      <c r="O12" s="34">
        <v>1980.53</v>
      </c>
      <c r="P12" s="34">
        <v>544.88</v>
      </c>
      <c r="Q12" s="34">
        <v>272.08</v>
      </c>
      <c r="R12" s="34">
        <v>233.49</v>
      </c>
      <c r="S12" s="34">
        <v>208.17</v>
      </c>
      <c r="T12" s="34">
        <v>19.95</v>
      </c>
      <c r="U12" s="34">
        <v>125.15</v>
      </c>
      <c r="V12" s="34">
        <v>27.07</v>
      </c>
      <c r="W12" s="34">
        <v>4.3099999999999996</v>
      </c>
      <c r="X12" s="34">
        <v>0.32</v>
      </c>
      <c r="Y12" s="35">
        <v>12.036799999999999</v>
      </c>
      <c r="Z12" s="35">
        <v>15.940799999999999</v>
      </c>
      <c r="AA12" s="35">
        <v>57.941800000000001</v>
      </c>
    </row>
    <row r="13" spans="1:27" hidden="1" x14ac:dyDescent="0.2">
      <c r="A13" s="2"/>
      <c r="B13" s="31">
        <v>8</v>
      </c>
      <c r="C13" s="36" t="s">
        <v>75</v>
      </c>
      <c r="D13" s="36" t="s">
        <v>105</v>
      </c>
      <c r="E13" s="36" t="s">
        <v>106</v>
      </c>
      <c r="F13" s="36" t="s">
        <v>107</v>
      </c>
      <c r="G13" s="36" t="s">
        <v>108</v>
      </c>
      <c r="H13" s="37" t="s">
        <v>95</v>
      </c>
      <c r="I13" s="37" t="s">
        <v>81</v>
      </c>
      <c r="J13" s="37" t="s">
        <v>82</v>
      </c>
      <c r="K13" s="37" t="s">
        <v>87</v>
      </c>
      <c r="L13" s="36" t="s">
        <v>84</v>
      </c>
      <c r="M13" s="34">
        <v>3986.3</v>
      </c>
      <c r="N13" s="34">
        <v>2917.3</v>
      </c>
      <c r="O13" s="34">
        <v>1069</v>
      </c>
      <c r="P13" s="34">
        <v>695.64</v>
      </c>
      <c r="Q13" s="34">
        <v>37.75</v>
      </c>
      <c r="R13" s="34">
        <v>12.19</v>
      </c>
      <c r="S13" s="34">
        <v>12.19</v>
      </c>
      <c r="T13" s="34">
        <v>4.3600000000000003</v>
      </c>
      <c r="U13" s="34">
        <v>301.43</v>
      </c>
      <c r="V13" s="34">
        <v>27.06</v>
      </c>
      <c r="W13" s="34">
        <v>0.39</v>
      </c>
      <c r="X13" s="34">
        <v>2.73</v>
      </c>
      <c r="Y13" s="35">
        <v>0.38800000000000001</v>
      </c>
      <c r="Z13" s="35">
        <v>1.4469000000000001</v>
      </c>
      <c r="AA13" s="35">
        <v>2.2235</v>
      </c>
    </row>
    <row r="14" spans="1:27" hidden="1" x14ac:dyDescent="0.2">
      <c r="A14" s="2"/>
      <c r="B14" s="31">
        <v>9</v>
      </c>
      <c r="C14" s="36" t="s">
        <v>75</v>
      </c>
      <c r="D14" s="36" t="s">
        <v>76</v>
      </c>
      <c r="E14" s="36" t="s">
        <v>77</v>
      </c>
      <c r="F14" s="36" t="s">
        <v>109</v>
      </c>
      <c r="G14" s="36" t="s">
        <v>110</v>
      </c>
      <c r="H14" s="37" t="s">
        <v>80</v>
      </c>
      <c r="I14" s="37" t="s">
        <v>81</v>
      </c>
      <c r="J14" s="37" t="s">
        <v>82</v>
      </c>
      <c r="K14" s="37" t="s">
        <v>87</v>
      </c>
      <c r="L14" s="36" t="s">
        <v>90</v>
      </c>
      <c r="M14" s="34">
        <v>10202.969999999999</v>
      </c>
      <c r="N14" s="34">
        <v>8985.92</v>
      </c>
      <c r="O14" s="34">
        <v>1217.05</v>
      </c>
      <c r="P14" s="34">
        <v>2658.02</v>
      </c>
      <c r="Q14" s="34">
        <v>44.02</v>
      </c>
      <c r="R14" s="34">
        <v>55.54</v>
      </c>
      <c r="S14" s="34">
        <v>63.06</v>
      </c>
      <c r="T14" s="34">
        <v>30.21</v>
      </c>
      <c r="U14" s="34">
        <v>354.72</v>
      </c>
      <c r="V14" s="34">
        <v>9.8699999999999992</v>
      </c>
      <c r="W14" s="34">
        <v>0.84</v>
      </c>
      <c r="X14" s="34">
        <v>7.38</v>
      </c>
      <c r="Y14" s="35">
        <v>1.0157</v>
      </c>
      <c r="Z14" s="35">
        <v>8.5152999999999999</v>
      </c>
      <c r="AA14" s="35">
        <v>3.899</v>
      </c>
    </row>
    <row r="15" spans="1:27" hidden="1" x14ac:dyDescent="0.2">
      <c r="A15" s="2"/>
      <c r="B15" s="31">
        <v>10</v>
      </c>
      <c r="C15" s="36" t="s">
        <v>75</v>
      </c>
      <c r="D15" s="36" t="s">
        <v>111</v>
      </c>
      <c r="E15" s="36" t="s">
        <v>112</v>
      </c>
      <c r="F15" s="36" t="s">
        <v>113</v>
      </c>
      <c r="G15" s="36" t="s">
        <v>114</v>
      </c>
      <c r="H15" s="37" t="s">
        <v>95</v>
      </c>
      <c r="I15" s="37" t="s">
        <v>81</v>
      </c>
      <c r="J15" s="37" t="s">
        <v>82</v>
      </c>
      <c r="K15" s="37" t="s">
        <v>87</v>
      </c>
      <c r="L15" s="36" t="s">
        <v>84</v>
      </c>
      <c r="M15" s="34">
        <v>529.69000000000005</v>
      </c>
      <c r="N15" s="34">
        <v>748.67</v>
      </c>
      <c r="O15" s="34">
        <v>-218.98</v>
      </c>
      <c r="P15" s="34">
        <v>0.1</v>
      </c>
      <c r="Q15" s="34">
        <v>-4.34</v>
      </c>
      <c r="R15" s="34">
        <v>-4.34</v>
      </c>
      <c r="S15" s="34">
        <v>-4.22</v>
      </c>
      <c r="T15" s="34">
        <v>-0.81</v>
      </c>
      <c r="U15" s="34">
        <v>-27.93</v>
      </c>
      <c r="V15" s="34">
        <v>-2.4700000000000002</v>
      </c>
      <c r="W15" s="34">
        <v>-7.0000000000000007E-2</v>
      </c>
      <c r="X15" s="34">
        <v>-3.42</v>
      </c>
      <c r="Y15" s="35">
        <v>-1.1994</v>
      </c>
      <c r="Z15" s="35" t="s">
        <v>95</v>
      </c>
      <c r="AA15" s="35">
        <v>-6491.9974000000002</v>
      </c>
    </row>
    <row r="16" spans="1:27" hidden="1" x14ac:dyDescent="0.2">
      <c r="A16" s="2"/>
      <c r="B16" s="31">
        <v>11</v>
      </c>
      <c r="C16" s="36" t="s">
        <v>75</v>
      </c>
      <c r="D16" s="36" t="s">
        <v>111</v>
      </c>
      <c r="E16" s="36" t="s">
        <v>112</v>
      </c>
      <c r="F16" s="36" t="s">
        <v>115</v>
      </c>
      <c r="G16" s="36" t="s">
        <v>116</v>
      </c>
      <c r="H16" s="37" t="s">
        <v>80</v>
      </c>
      <c r="I16" s="37" t="s">
        <v>81</v>
      </c>
      <c r="J16" s="37" t="s">
        <v>82</v>
      </c>
      <c r="K16" s="37" t="s">
        <v>87</v>
      </c>
      <c r="L16" s="36" t="s">
        <v>84</v>
      </c>
      <c r="M16" s="34">
        <v>174.42</v>
      </c>
      <c r="N16" s="34">
        <v>9.3699999999999992</v>
      </c>
      <c r="O16" s="34">
        <v>165.04</v>
      </c>
      <c r="P16" s="34">
        <v>50.73</v>
      </c>
      <c r="Q16" s="34">
        <v>3.58</v>
      </c>
      <c r="R16" s="34">
        <v>2.72</v>
      </c>
      <c r="S16" s="34">
        <v>2.72</v>
      </c>
      <c r="T16" s="34">
        <v>0.72</v>
      </c>
      <c r="U16" s="34">
        <v>26.62</v>
      </c>
      <c r="V16" s="34">
        <v>102.4</v>
      </c>
      <c r="W16" s="34">
        <v>2.78</v>
      </c>
      <c r="X16" s="34">
        <v>0.06</v>
      </c>
      <c r="Y16" s="35">
        <v>2.5684999999999998</v>
      </c>
      <c r="Z16" s="35">
        <v>2.7143999999999999</v>
      </c>
      <c r="AA16" s="35">
        <v>8.8301999999999996</v>
      </c>
    </row>
    <row r="17" spans="1:27" hidden="1" x14ac:dyDescent="0.2">
      <c r="A17" s="2"/>
      <c r="B17" s="31">
        <v>12</v>
      </c>
      <c r="C17" s="36" t="s">
        <v>75</v>
      </c>
      <c r="D17" s="36" t="s">
        <v>100</v>
      </c>
      <c r="E17" s="36" t="s">
        <v>101</v>
      </c>
      <c r="F17" s="36" t="s">
        <v>117</v>
      </c>
      <c r="G17" s="36" t="s">
        <v>118</v>
      </c>
      <c r="H17" s="37" t="s">
        <v>80</v>
      </c>
      <c r="I17" s="37" t="s">
        <v>81</v>
      </c>
      <c r="J17" s="37" t="s">
        <v>82</v>
      </c>
      <c r="K17" s="37" t="s">
        <v>87</v>
      </c>
      <c r="L17" s="36" t="s">
        <v>84</v>
      </c>
      <c r="M17" s="34">
        <v>739.77</v>
      </c>
      <c r="N17" s="34">
        <v>78.81</v>
      </c>
      <c r="O17" s="34">
        <v>660.96</v>
      </c>
      <c r="P17" s="34">
        <v>111.72</v>
      </c>
      <c r="Q17" s="34">
        <v>45.49</v>
      </c>
      <c r="R17" s="34">
        <v>44.19</v>
      </c>
      <c r="S17" s="34">
        <v>44.19</v>
      </c>
      <c r="T17" s="34">
        <v>11.58</v>
      </c>
      <c r="U17" s="34">
        <v>77.17</v>
      </c>
      <c r="V17" s="34">
        <v>7.42</v>
      </c>
      <c r="W17" s="34">
        <v>1.1100000000000001</v>
      </c>
      <c r="X17" s="34">
        <v>0.12</v>
      </c>
      <c r="Y17" s="35">
        <v>13.2784</v>
      </c>
      <c r="Z17" s="35">
        <v>14.861700000000001</v>
      </c>
      <c r="AA17" s="35">
        <v>87.927599999999998</v>
      </c>
    </row>
    <row r="18" spans="1:27" hidden="1" x14ac:dyDescent="0.2">
      <c r="A18" s="2"/>
      <c r="B18" s="31">
        <v>13</v>
      </c>
      <c r="C18" s="36" t="s">
        <v>75</v>
      </c>
      <c r="D18" s="36" t="s">
        <v>100</v>
      </c>
      <c r="E18" s="36" t="s">
        <v>101</v>
      </c>
      <c r="F18" s="36" t="s">
        <v>119</v>
      </c>
      <c r="G18" s="36" t="s">
        <v>120</v>
      </c>
      <c r="H18" s="37" t="s">
        <v>80</v>
      </c>
      <c r="I18" s="37" t="s">
        <v>81</v>
      </c>
      <c r="J18" s="37" t="s">
        <v>82</v>
      </c>
      <c r="K18" s="37" t="s">
        <v>87</v>
      </c>
      <c r="L18" s="36" t="s">
        <v>84</v>
      </c>
      <c r="M18" s="34">
        <v>702.79</v>
      </c>
      <c r="N18" s="34">
        <v>59.72</v>
      </c>
      <c r="O18" s="34">
        <v>643.07000000000005</v>
      </c>
      <c r="P18" s="34">
        <v>177.79</v>
      </c>
      <c r="Q18" s="34">
        <v>46.9</v>
      </c>
      <c r="R18" s="34">
        <v>46.9</v>
      </c>
      <c r="S18" s="34">
        <v>46.88</v>
      </c>
      <c r="T18" s="34">
        <v>26.04</v>
      </c>
      <c r="U18" s="34">
        <v>186.91</v>
      </c>
      <c r="V18" s="34">
        <v>41.28</v>
      </c>
      <c r="W18" s="34">
        <v>5.75</v>
      </c>
      <c r="X18" s="34">
        <v>0.09</v>
      </c>
      <c r="Y18" s="35">
        <v>12.7485</v>
      </c>
      <c r="Z18" s="35">
        <v>13.932399999999999</v>
      </c>
      <c r="AA18" s="35">
        <v>50.393099999999997</v>
      </c>
    </row>
    <row r="19" spans="1:27" hidden="1" x14ac:dyDescent="0.2">
      <c r="A19" s="2"/>
      <c r="B19" s="31">
        <v>14</v>
      </c>
      <c r="C19" s="36" t="s">
        <v>75</v>
      </c>
      <c r="D19" s="36" t="s">
        <v>100</v>
      </c>
      <c r="E19" s="36" t="s">
        <v>101</v>
      </c>
      <c r="F19" s="36" t="s">
        <v>121</v>
      </c>
      <c r="G19" s="36" t="s">
        <v>122</v>
      </c>
      <c r="H19" s="37" t="s">
        <v>95</v>
      </c>
      <c r="I19" s="37" t="s">
        <v>81</v>
      </c>
      <c r="J19" s="37" t="s">
        <v>82</v>
      </c>
      <c r="K19" s="37" t="s">
        <v>87</v>
      </c>
      <c r="L19" s="36" t="s">
        <v>84</v>
      </c>
      <c r="M19" s="34">
        <v>26774.44</v>
      </c>
      <c r="N19" s="34">
        <v>17327.46</v>
      </c>
      <c r="O19" s="34">
        <v>9446.98</v>
      </c>
      <c r="P19" s="34">
        <v>2350.89</v>
      </c>
      <c r="Q19" s="34">
        <v>-53.01</v>
      </c>
      <c r="R19" s="34">
        <v>-148.21</v>
      </c>
      <c r="S19" s="34">
        <v>-160.69999999999999</v>
      </c>
      <c r="T19" s="34">
        <v>-2.92</v>
      </c>
      <c r="U19" s="34">
        <v>148.28</v>
      </c>
      <c r="V19" s="34">
        <v>-34.96</v>
      </c>
      <c r="W19" s="34">
        <v>0.69</v>
      </c>
      <c r="X19" s="34">
        <v>1.83</v>
      </c>
      <c r="Y19" s="35">
        <v>-0.69420000000000004</v>
      </c>
      <c r="Z19" s="35">
        <v>-1.9676</v>
      </c>
      <c r="AA19" s="35">
        <v>-7.9067999999999996</v>
      </c>
    </row>
    <row r="20" spans="1:27" hidden="1" x14ac:dyDescent="0.2">
      <c r="A20" s="2"/>
      <c r="B20" s="31">
        <v>15</v>
      </c>
      <c r="C20" s="36" t="s">
        <v>75</v>
      </c>
      <c r="D20" s="36" t="s">
        <v>111</v>
      </c>
      <c r="E20" s="36" t="s">
        <v>112</v>
      </c>
      <c r="F20" s="36" t="s">
        <v>123</v>
      </c>
      <c r="G20" s="36" t="s">
        <v>124</v>
      </c>
      <c r="H20" s="37" t="s">
        <v>80</v>
      </c>
      <c r="I20" s="37" t="s">
        <v>81</v>
      </c>
      <c r="J20" s="37" t="s">
        <v>82</v>
      </c>
      <c r="K20" s="37" t="s">
        <v>87</v>
      </c>
      <c r="L20" s="36" t="s">
        <v>84</v>
      </c>
      <c r="M20" s="34">
        <v>578.25</v>
      </c>
      <c r="N20" s="34">
        <v>184.07</v>
      </c>
      <c r="O20" s="34">
        <v>394.18</v>
      </c>
      <c r="P20" s="34">
        <v>122.86</v>
      </c>
      <c r="Q20" s="34">
        <v>6.66</v>
      </c>
      <c r="R20" s="34">
        <v>5.18</v>
      </c>
      <c r="S20" s="34">
        <v>5.18</v>
      </c>
      <c r="T20" s="34">
        <v>6.76</v>
      </c>
      <c r="U20" s="34">
        <v>112.57</v>
      </c>
      <c r="V20" s="34">
        <v>18.8</v>
      </c>
      <c r="W20" s="34">
        <v>1.1299999999999999</v>
      </c>
      <c r="X20" s="34">
        <v>0.47</v>
      </c>
      <c r="Y20" s="35">
        <v>4.0914999999999999</v>
      </c>
      <c r="Z20" s="35">
        <v>6.0021000000000004</v>
      </c>
      <c r="AA20" s="35">
        <v>19.2576</v>
      </c>
    </row>
    <row r="21" spans="1:27" ht="15.75" hidden="1" customHeight="1" x14ac:dyDescent="0.2">
      <c r="A21" s="2"/>
      <c r="B21" s="31">
        <v>16</v>
      </c>
      <c r="C21" s="36" t="s">
        <v>75</v>
      </c>
      <c r="D21" s="36" t="s">
        <v>76</v>
      </c>
      <c r="E21" s="36" t="s">
        <v>77</v>
      </c>
      <c r="F21" s="36" t="s">
        <v>125</v>
      </c>
      <c r="G21" s="36" t="s">
        <v>126</v>
      </c>
      <c r="H21" s="37" t="s">
        <v>95</v>
      </c>
      <c r="I21" s="37" t="s">
        <v>127</v>
      </c>
      <c r="J21" s="37" t="s">
        <v>82</v>
      </c>
      <c r="K21" s="37" t="s">
        <v>87</v>
      </c>
      <c r="L21" s="36" t="s">
        <v>84</v>
      </c>
      <c r="M21" s="34">
        <v>630.57000000000005</v>
      </c>
      <c r="N21" s="34">
        <v>797.31</v>
      </c>
      <c r="O21" s="34">
        <v>-166.74</v>
      </c>
      <c r="P21" s="34">
        <v>141.97</v>
      </c>
      <c r="Q21" s="34">
        <v>-127.36</v>
      </c>
      <c r="R21" s="34">
        <v>-127.36</v>
      </c>
      <c r="S21" s="34">
        <v>-127.36</v>
      </c>
      <c r="T21" s="34">
        <v>-130.09</v>
      </c>
      <c r="U21" s="34">
        <v>-119.1</v>
      </c>
      <c r="V21" s="34">
        <v>-0.38</v>
      </c>
      <c r="W21" s="34">
        <v>-0.42</v>
      </c>
      <c r="X21" s="34">
        <v>-4.78</v>
      </c>
      <c r="Y21" s="35">
        <v>-28.882100000000001</v>
      </c>
      <c r="Z21" s="35" t="s">
        <v>95</v>
      </c>
      <c r="AA21" s="35">
        <v>-128.28030000000001</v>
      </c>
    </row>
    <row r="22" spans="1:27" ht="15.75" hidden="1" customHeight="1" x14ac:dyDescent="0.2">
      <c r="A22" s="2"/>
      <c r="B22" s="31">
        <v>17</v>
      </c>
      <c r="C22" s="36" t="s">
        <v>75</v>
      </c>
      <c r="D22" s="36" t="s">
        <v>100</v>
      </c>
      <c r="E22" s="36" t="s">
        <v>101</v>
      </c>
      <c r="F22" s="36" t="s">
        <v>128</v>
      </c>
      <c r="G22" s="36" t="s">
        <v>129</v>
      </c>
      <c r="H22" s="37" t="s">
        <v>80</v>
      </c>
      <c r="I22" s="37" t="s">
        <v>81</v>
      </c>
      <c r="J22" s="37" t="s">
        <v>82</v>
      </c>
      <c r="K22" s="37" t="s">
        <v>87</v>
      </c>
      <c r="L22" s="36" t="s">
        <v>84</v>
      </c>
      <c r="M22" s="34">
        <v>227.85</v>
      </c>
      <c r="N22" s="34">
        <v>96.9</v>
      </c>
      <c r="O22" s="34">
        <v>130.94999999999999</v>
      </c>
      <c r="P22" s="34">
        <v>45.05</v>
      </c>
      <c r="Q22" s="34">
        <v>2.54</v>
      </c>
      <c r="R22" s="34">
        <v>2.04</v>
      </c>
      <c r="S22" s="34">
        <v>2.04</v>
      </c>
      <c r="T22" s="34">
        <v>2.81</v>
      </c>
      <c r="U22" s="34">
        <v>70.78</v>
      </c>
      <c r="V22" s="34">
        <v>43.74</v>
      </c>
      <c r="W22" s="34">
        <v>1.74</v>
      </c>
      <c r="X22" s="34">
        <v>0.74</v>
      </c>
      <c r="Y22" s="35">
        <v>2.2835999999999999</v>
      </c>
      <c r="Z22" s="35">
        <v>3.9735</v>
      </c>
      <c r="AA22" s="35">
        <v>11.5489</v>
      </c>
    </row>
    <row r="23" spans="1:27" ht="15.75" hidden="1" customHeight="1" x14ac:dyDescent="0.2">
      <c r="A23" s="2"/>
      <c r="B23" s="31">
        <v>18</v>
      </c>
      <c r="C23" s="36" t="s">
        <v>75</v>
      </c>
      <c r="D23" s="36" t="s">
        <v>76</v>
      </c>
      <c r="E23" s="36" t="s">
        <v>77</v>
      </c>
      <c r="F23" s="36" t="s">
        <v>130</v>
      </c>
      <c r="G23" s="36" t="s">
        <v>131</v>
      </c>
      <c r="H23" s="37" t="s">
        <v>80</v>
      </c>
      <c r="I23" s="37" t="s">
        <v>81</v>
      </c>
      <c r="J23" s="37" t="s">
        <v>82</v>
      </c>
      <c r="K23" s="37" t="s">
        <v>83</v>
      </c>
      <c r="L23" s="36" t="s">
        <v>90</v>
      </c>
      <c r="M23" s="34">
        <v>6808.19</v>
      </c>
      <c r="N23" s="34">
        <v>2040.84</v>
      </c>
      <c r="O23" s="34">
        <v>4767.3500000000004</v>
      </c>
      <c r="P23" s="34">
        <v>5297.53</v>
      </c>
      <c r="Q23" s="34">
        <v>928.31</v>
      </c>
      <c r="R23" s="34">
        <v>806.27</v>
      </c>
      <c r="S23" s="34">
        <v>806.26</v>
      </c>
      <c r="T23" s="34">
        <v>617.20000000000005</v>
      </c>
      <c r="U23" s="34">
        <v>1803.81</v>
      </c>
      <c r="V23" s="34">
        <v>6.34</v>
      </c>
      <c r="W23" s="34">
        <v>2.17</v>
      </c>
      <c r="X23" s="34">
        <v>0.43</v>
      </c>
      <c r="Y23" s="35">
        <v>23.719899999999999</v>
      </c>
      <c r="Z23" s="35">
        <v>33.874099999999999</v>
      </c>
      <c r="AA23" s="35">
        <v>30.484000000000002</v>
      </c>
    </row>
    <row r="24" spans="1:27" ht="15.75" hidden="1" customHeight="1" x14ac:dyDescent="0.2">
      <c r="A24" s="2"/>
      <c r="B24" s="31">
        <v>19</v>
      </c>
      <c r="C24" s="36" t="s">
        <v>75</v>
      </c>
      <c r="D24" s="36" t="s">
        <v>96</v>
      </c>
      <c r="E24" s="36" t="s">
        <v>97</v>
      </c>
      <c r="F24" s="36" t="s">
        <v>132</v>
      </c>
      <c r="G24" s="36" t="s">
        <v>133</v>
      </c>
      <c r="H24" s="37" t="s">
        <v>95</v>
      </c>
      <c r="I24" s="37" t="s">
        <v>81</v>
      </c>
      <c r="J24" s="37" t="s">
        <v>82</v>
      </c>
      <c r="K24" s="37" t="s">
        <v>87</v>
      </c>
      <c r="L24" s="36" t="s">
        <v>84</v>
      </c>
      <c r="M24" s="34">
        <v>5309.54</v>
      </c>
      <c r="N24" s="34">
        <v>2585.6799999999998</v>
      </c>
      <c r="O24" s="34">
        <v>2723.86</v>
      </c>
      <c r="P24" s="34">
        <v>1135.3800000000001</v>
      </c>
      <c r="Q24" s="34">
        <v>131.78</v>
      </c>
      <c r="R24" s="34">
        <v>131.54</v>
      </c>
      <c r="S24" s="34">
        <v>131.88999999999999</v>
      </c>
      <c r="T24" s="34">
        <v>2.74</v>
      </c>
      <c r="U24" s="34">
        <v>193.38</v>
      </c>
      <c r="V24" s="34">
        <v>66.16</v>
      </c>
      <c r="W24" s="34">
        <v>0.94</v>
      </c>
      <c r="X24" s="34">
        <v>0.95</v>
      </c>
      <c r="Y24" s="35">
        <v>0.7258</v>
      </c>
      <c r="Z24" s="35">
        <v>1.4148000000000001</v>
      </c>
      <c r="AA24" s="35">
        <v>3.3942999999999999</v>
      </c>
    </row>
    <row r="25" spans="1:27" ht="15.75" hidden="1" customHeight="1" x14ac:dyDescent="0.2">
      <c r="A25" s="2"/>
      <c r="B25" s="31">
        <v>20</v>
      </c>
      <c r="C25" s="36" t="s">
        <v>75</v>
      </c>
      <c r="D25" s="36" t="s">
        <v>76</v>
      </c>
      <c r="E25" s="36" t="s">
        <v>77</v>
      </c>
      <c r="F25" s="36" t="s">
        <v>134</v>
      </c>
      <c r="G25" s="36" t="s">
        <v>135</v>
      </c>
      <c r="H25" s="37" t="s">
        <v>80</v>
      </c>
      <c r="I25" s="37" t="s">
        <v>81</v>
      </c>
      <c r="J25" s="37" t="s">
        <v>82</v>
      </c>
      <c r="K25" s="37" t="s">
        <v>87</v>
      </c>
      <c r="L25" s="36" t="s">
        <v>84</v>
      </c>
      <c r="M25" s="34">
        <v>63599.43</v>
      </c>
      <c r="N25" s="34">
        <v>18064.96</v>
      </c>
      <c r="O25" s="34">
        <v>45534.47</v>
      </c>
      <c r="P25" s="34">
        <v>11003.52</v>
      </c>
      <c r="Q25" s="34">
        <v>813.1</v>
      </c>
      <c r="R25" s="34">
        <v>625.79</v>
      </c>
      <c r="S25" s="34">
        <v>331.21</v>
      </c>
      <c r="T25" s="34">
        <v>0.08</v>
      </c>
      <c r="U25" s="34">
        <v>122.62</v>
      </c>
      <c r="V25" s="34">
        <v>1865.68</v>
      </c>
      <c r="W25" s="34">
        <v>1.22</v>
      </c>
      <c r="X25" s="34">
        <v>0.4</v>
      </c>
      <c r="Y25" s="35">
        <v>4.6600000000000003E-2</v>
      </c>
      <c r="Z25" s="35">
        <v>6.5100000000000005E-2</v>
      </c>
      <c r="AA25" s="35">
        <v>0.26950000000000002</v>
      </c>
    </row>
    <row r="26" spans="1:27" ht="15.75" hidden="1" customHeight="1" x14ac:dyDescent="0.2">
      <c r="A26" s="2"/>
      <c r="B26" s="31">
        <v>21</v>
      </c>
      <c r="C26" s="36" t="s">
        <v>75</v>
      </c>
      <c r="D26" s="36" t="s">
        <v>76</v>
      </c>
      <c r="E26" s="36" t="s">
        <v>77</v>
      </c>
      <c r="F26" s="36" t="s">
        <v>136</v>
      </c>
      <c r="G26" s="36" t="s">
        <v>137</v>
      </c>
      <c r="H26" s="37" t="s">
        <v>80</v>
      </c>
      <c r="I26" s="37" t="s">
        <v>81</v>
      </c>
      <c r="J26" s="37" t="s">
        <v>82</v>
      </c>
      <c r="K26" s="37" t="s">
        <v>87</v>
      </c>
      <c r="L26" s="36" t="s">
        <v>84</v>
      </c>
      <c r="M26" s="34">
        <v>51848.76</v>
      </c>
      <c r="N26" s="34">
        <v>14995.58</v>
      </c>
      <c r="O26" s="34">
        <v>36853.18</v>
      </c>
      <c r="P26" s="34">
        <v>26324.34</v>
      </c>
      <c r="Q26" s="34">
        <v>7523.61</v>
      </c>
      <c r="R26" s="34">
        <v>5786.85</v>
      </c>
      <c r="S26" s="34">
        <v>5668.66</v>
      </c>
      <c r="T26" s="34">
        <v>432.08</v>
      </c>
      <c r="U26" s="34">
        <v>1105.5999999999999</v>
      </c>
      <c r="V26" s="34">
        <v>42.35</v>
      </c>
      <c r="W26" s="34">
        <v>16.55</v>
      </c>
      <c r="X26" s="34">
        <v>0.41</v>
      </c>
      <c r="Y26" s="35">
        <v>27.778300000000002</v>
      </c>
      <c r="Z26" s="35">
        <v>39.081299999999999</v>
      </c>
      <c r="AA26" s="35">
        <v>54.712600000000002</v>
      </c>
    </row>
    <row r="27" spans="1:27" ht="15.75" hidden="1" customHeight="1" x14ac:dyDescent="0.2">
      <c r="A27" s="2"/>
      <c r="B27" s="31">
        <v>22</v>
      </c>
      <c r="C27" s="36" t="s">
        <v>75</v>
      </c>
      <c r="D27" s="36" t="s">
        <v>100</v>
      </c>
      <c r="E27" s="36" t="s">
        <v>101</v>
      </c>
      <c r="F27" s="36" t="s">
        <v>138</v>
      </c>
      <c r="G27" s="36" t="s">
        <v>139</v>
      </c>
      <c r="H27" s="37" t="s">
        <v>80</v>
      </c>
      <c r="I27" s="37" t="s">
        <v>81</v>
      </c>
      <c r="J27" s="37" t="s">
        <v>140</v>
      </c>
      <c r="K27" s="37" t="s">
        <v>104</v>
      </c>
      <c r="L27" s="36" t="s">
        <v>90</v>
      </c>
      <c r="M27" s="34">
        <v>147.12</v>
      </c>
      <c r="N27" s="34">
        <v>691.3</v>
      </c>
      <c r="O27" s="34">
        <v>-544.17999999999995</v>
      </c>
      <c r="P27" s="34">
        <v>53.66</v>
      </c>
      <c r="Q27" s="34">
        <v>-36.5</v>
      </c>
      <c r="R27" s="34">
        <v>-36.93</v>
      </c>
      <c r="S27" s="34">
        <v>-36.93</v>
      </c>
      <c r="T27" s="34">
        <v>-44.32</v>
      </c>
      <c r="U27" s="34">
        <v>-652.92999999999995</v>
      </c>
      <c r="V27" s="34">
        <v>-1.22</v>
      </c>
      <c r="W27" s="34">
        <v>-0.08</v>
      </c>
      <c r="X27" s="34">
        <v>-1.27</v>
      </c>
      <c r="Y27" s="35">
        <v>-25.105399999999999</v>
      </c>
      <c r="Z27" s="35" t="s">
        <v>95</v>
      </c>
      <c r="AA27" s="35">
        <v>-68.825199999999995</v>
      </c>
    </row>
    <row r="28" spans="1:27" ht="15.75" hidden="1" customHeight="1" x14ac:dyDescent="0.2">
      <c r="A28" s="2"/>
      <c r="B28" s="31">
        <v>23</v>
      </c>
      <c r="C28" s="36" t="s">
        <v>75</v>
      </c>
      <c r="D28" s="36" t="s">
        <v>100</v>
      </c>
      <c r="E28" s="36" t="s">
        <v>101</v>
      </c>
      <c r="F28" s="36" t="s">
        <v>141</v>
      </c>
      <c r="G28" s="36" t="s">
        <v>142</v>
      </c>
      <c r="H28" s="37" t="s">
        <v>80</v>
      </c>
      <c r="I28" s="37" t="s">
        <v>81</v>
      </c>
      <c r="J28" s="37" t="s">
        <v>82</v>
      </c>
      <c r="K28" s="37" t="s">
        <v>87</v>
      </c>
      <c r="L28" s="36" t="s">
        <v>84</v>
      </c>
      <c r="M28" s="34">
        <v>328.39</v>
      </c>
      <c r="N28" s="34">
        <v>210.36</v>
      </c>
      <c r="O28" s="34">
        <v>118.02</v>
      </c>
      <c r="P28" s="34">
        <v>29.08</v>
      </c>
      <c r="Q28" s="34">
        <v>1.25</v>
      </c>
      <c r="R28" s="34">
        <v>0.9</v>
      </c>
      <c r="S28" s="34">
        <v>0.9</v>
      </c>
      <c r="T28" s="34">
        <v>-10.34</v>
      </c>
      <c r="U28" s="34">
        <v>26.01</v>
      </c>
      <c r="V28" s="34">
        <v>-64.77</v>
      </c>
      <c r="W28" s="34">
        <v>25.76</v>
      </c>
      <c r="X28" s="34">
        <v>1.78</v>
      </c>
      <c r="Y28" s="35">
        <v>-14.2948</v>
      </c>
      <c r="Z28" s="35">
        <v>-39.774500000000003</v>
      </c>
      <c r="AA28" s="35">
        <v>-161.41370000000001</v>
      </c>
    </row>
    <row r="29" spans="1:27" ht="15.75" hidden="1" customHeight="1" x14ac:dyDescent="0.2">
      <c r="A29" s="2"/>
      <c r="B29" s="31">
        <v>24</v>
      </c>
      <c r="C29" s="36" t="s">
        <v>75</v>
      </c>
      <c r="D29" s="36" t="s">
        <v>96</v>
      </c>
      <c r="E29" s="36" t="s">
        <v>97</v>
      </c>
      <c r="F29" s="36" t="s">
        <v>143</v>
      </c>
      <c r="G29" s="36" t="s">
        <v>144</v>
      </c>
      <c r="H29" s="37" t="s">
        <v>80</v>
      </c>
      <c r="I29" s="37" t="s">
        <v>81</v>
      </c>
      <c r="J29" s="37" t="s">
        <v>82</v>
      </c>
      <c r="K29" s="37" t="s">
        <v>87</v>
      </c>
      <c r="L29" s="36" t="s">
        <v>84</v>
      </c>
      <c r="M29" s="34">
        <v>386.7</v>
      </c>
      <c r="N29" s="34">
        <v>122.59</v>
      </c>
      <c r="O29" s="34">
        <v>264.12</v>
      </c>
      <c r="P29" s="34">
        <v>265.48</v>
      </c>
      <c r="Q29" s="34">
        <v>3.2</v>
      </c>
      <c r="R29" s="34">
        <v>2.21</v>
      </c>
      <c r="S29" s="34">
        <v>1.86</v>
      </c>
      <c r="T29" s="34">
        <v>2.4500000000000002</v>
      </c>
      <c r="U29" s="34">
        <v>149.09</v>
      </c>
      <c r="V29" s="34">
        <v>60.53</v>
      </c>
      <c r="W29" s="34">
        <v>0.99</v>
      </c>
      <c r="X29" s="34">
        <v>0.46</v>
      </c>
      <c r="Y29" s="35">
        <v>1.1202000000000001</v>
      </c>
      <c r="Z29" s="35">
        <v>1.6400999999999999</v>
      </c>
      <c r="AA29" s="35">
        <v>1.6316999999999999</v>
      </c>
    </row>
    <row r="30" spans="1:27" ht="15.75" hidden="1" customHeight="1" x14ac:dyDescent="0.2">
      <c r="A30" s="2"/>
      <c r="B30" s="31">
        <v>25</v>
      </c>
      <c r="C30" s="36" t="s">
        <v>75</v>
      </c>
      <c r="D30" s="36" t="s">
        <v>100</v>
      </c>
      <c r="E30" s="36" t="s">
        <v>101</v>
      </c>
      <c r="F30" s="36" t="s">
        <v>145</v>
      </c>
      <c r="G30" s="36" t="s">
        <v>146</v>
      </c>
      <c r="H30" s="37" t="s">
        <v>95</v>
      </c>
      <c r="I30" s="37" t="s">
        <v>81</v>
      </c>
      <c r="J30" s="37" t="s">
        <v>82</v>
      </c>
      <c r="K30" s="37" t="s">
        <v>87</v>
      </c>
      <c r="L30" s="36" t="s">
        <v>84</v>
      </c>
      <c r="M30" s="34">
        <v>1084.3599999999999</v>
      </c>
      <c r="N30" s="34">
        <v>2215.0300000000002</v>
      </c>
      <c r="O30" s="34">
        <v>-1130.67</v>
      </c>
      <c r="P30" s="34">
        <v>1046.8699999999999</v>
      </c>
      <c r="Q30" s="34">
        <v>162.81</v>
      </c>
      <c r="R30" s="34">
        <v>126.76</v>
      </c>
      <c r="S30" s="34">
        <v>125.72</v>
      </c>
      <c r="T30" s="34">
        <v>21.31</v>
      </c>
      <c r="U30" s="34">
        <v>-126.24</v>
      </c>
      <c r="V30" s="34">
        <v>4.5999999999999996</v>
      </c>
      <c r="W30" s="34">
        <v>-0.78</v>
      </c>
      <c r="X30" s="34">
        <v>-1.96</v>
      </c>
      <c r="Y30" s="35">
        <v>17.6023</v>
      </c>
      <c r="Z30" s="35" t="s">
        <v>95</v>
      </c>
      <c r="AA30" s="35">
        <v>18.232600000000001</v>
      </c>
    </row>
    <row r="31" spans="1:27" ht="15.75" hidden="1" customHeight="1" x14ac:dyDescent="0.2">
      <c r="A31" s="2"/>
      <c r="B31" s="31">
        <v>26</v>
      </c>
      <c r="C31" s="36" t="s">
        <v>75</v>
      </c>
      <c r="D31" s="36" t="s">
        <v>76</v>
      </c>
      <c r="E31" s="36" t="s">
        <v>77</v>
      </c>
      <c r="F31" s="36" t="s">
        <v>147</v>
      </c>
      <c r="G31" s="36" t="s">
        <v>148</v>
      </c>
      <c r="H31" s="37" t="s">
        <v>80</v>
      </c>
      <c r="I31" s="37" t="s">
        <v>81</v>
      </c>
      <c r="J31" s="37" t="s">
        <v>82</v>
      </c>
      <c r="K31" s="37" t="s">
        <v>87</v>
      </c>
      <c r="L31" s="36" t="s">
        <v>84</v>
      </c>
      <c r="M31" s="34">
        <v>865.01</v>
      </c>
      <c r="N31" s="34">
        <v>485.81</v>
      </c>
      <c r="O31" s="34">
        <v>379.2</v>
      </c>
      <c r="P31" s="34">
        <v>162.94</v>
      </c>
      <c r="Q31" s="34">
        <v>22.46</v>
      </c>
      <c r="R31" s="34">
        <v>17.52</v>
      </c>
      <c r="S31" s="34">
        <v>17.36</v>
      </c>
      <c r="T31" s="34">
        <v>3.85</v>
      </c>
      <c r="U31" s="34">
        <v>60.67</v>
      </c>
      <c r="V31" s="34">
        <v>14.79</v>
      </c>
      <c r="W31" s="34">
        <v>0.94</v>
      </c>
      <c r="X31" s="34">
        <v>1.28</v>
      </c>
      <c r="Y31" s="35">
        <v>2.7839</v>
      </c>
      <c r="Z31" s="35">
        <v>6.3506</v>
      </c>
      <c r="AA31" s="35">
        <v>14.779199999999999</v>
      </c>
    </row>
    <row r="32" spans="1:27" ht="15.75" hidden="1" customHeight="1" x14ac:dyDescent="0.2">
      <c r="A32" s="2"/>
      <c r="B32" s="31">
        <v>27</v>
      </c>
      <c r="C32" s="36" t="s">
        <v>75</v>
      </c>
      <c r="D32" s="36" t="s">
        <v>76</v>
      </c>
      <c r="E32" s="36" t="s">
        <v>77</v>
      </c>
      <c r="F32" s="36" t="s">
        <v>149</v>
      </c>
      <c r="G32" s="36" t="s">
        <v>150</v>
      </c>
      <c r="H32" s="37" t="s">
        <v>80</v>
      </c>
      <c r="I32" s="37" t="s">
        <v>81</v>
      </c>
      <c r="J32" s="37" t="s">
        <v>82</v>
      </c>
      <c r="K32" s="37" t="s">
        <v>87</v>
      </c>
      <c r="L32" s="36" t="s">
        <v>84</v>
      </c>
      <c r="M32" s="34">
        <v>34615.43</v>
      </c>
      <c r="N32" s="34">
        <v>25521.77</v>
      </c>
      <c r="O32" s="34">
        <v>9093.66</v>
      </c>
      <c r="P32" s="34">
        <v>7500.65</v>
      </c>
      <c r="Q32" s="34">
        <v>92.97</v>
      </c>
      <c r="R32" s="34">
        <v>45.27</v>
      </c>
      <c r="S32" s="34">
        <v>31.54</v>
      </c>
      <c r="T32" s="34">
        <v>19.079999999999998</v>
      </c>
      <c r="U32" s="34">
        <v>80.89</v>
      </c>
      <c r="V32" s="34">
        <v>84.9</v>
      </c>
      <c r="W32" s="34">
        <v>20.03</v>
      </c>
      <c r="X32" s="34">
        <v>2.81</v>
      </c>
      <c r="Y32" s="35">
        <v>6.1970999999999998</v>
      </c>
      <c r="Z32" s="35">
        <v>23.589700000000001</v>
      </c>
      <c r="AA32" s="35">
        <v>28.599699999999999</v>
      </c>
    </row>
    <row r="33" spans="1:27" ht="15.75" hidden="1" customHeight="1" x14ac:dyDescent="0.2">
      <c r="A33" s="2"/>
      <c r="B33" s="31">
        <v>28</v>
      </c>
      <c r="C33" s="36" t="s">
        <v>75</v>
      </c>
      <c r="D33" s="36" t="s">
        <v>111</v>
      </c>
      <c r="E33" s="36" t="s">
        <v>112</v>
      </c>
      <c r="F33" s="36" t="s">
        <v>151</v>
      </c>
      <c r="G33" s="36" t="s">
        <v>152</v>
      </c>
      <c r="H33" s="37" t="s">
        <v>80</v>
      </c>
      <c r="I33" s="37" t="s">
        <v>81</v>
      </c>
      <c r="J33" s="37" t="s">
        <v>82</v>
      </c>
      <c r="K33" s="37" t="s">
        <v>87</v>
      </c>
      <c r="L33" s="36" t="s">
        <v>84</v>
      </c>
      <c r="M33" s="34">
        <v>10043.49</v>
      </c>
      <c r="N33" s="34">
        <v>5155.8599999999997</v>
      </c>
      <c r="O33" s="34">
        <v>4887.62</v>
      </c>
      <c r="P33" s="34">
        <v>3108.83</v>
      </c>
      <c r="Q33" s="34">
        <v>226.96</v>
      </c>
      <c r="R33" s="34">
        <v>168.01</v>
      </c>
      <c r="S33" s="34">
        <v>168</v>
      </c>
      <c r="T33" s="34">
        <v>4.18</v>
      </c>
      <c r="U33" s="34">
        <v>120.13</v>
      </c>
      <c r="V33" s="34">
        <v>65.06</v>
      </c>
      <c r="W33" s="34">
        <v>2.2599999999999998</v>
      </c>
      <c r="X33" s="34">
        <v>1.05</v>
      </c>
      <c r="Y33" s="35">
        <v>1.6936</v>
      </c>
      <c r="Z33" s="35">
        <v>3.4802</v>
      </c>
      <c r="AA33" s="35">
        <v>5.4714</v>
      </c>
    </row>
    <row r="34" spans="1:27" ht="15.75" hidden="1" customHeight="1" x14ac:dyDescent="0.2">
      <c r="A34" s="2"/>
      <c r="B34" s="31">
        <v>29</v>
      </c>
      <c r="C34" s="36" t="s">
        <v>75</v>
      </c>
      <c r="D34" s="36" t="s">
        <v>111</v>
      </c>
      <c r="E34" s="36" t="s">
        <v>112</v>
      </c>
      <c r="F34" s="36" t="s">
        <v>153</v>
      </c>
      <c r="G34" s="36" t="s">
        <v>154</v>
      </c>
      <c r="H34" s="37" t="s">
        <v>95</v>
      </c>
      <c r="I34" s="37" t="s">
        <v>81</v>
      </c>
      <c r="J34" s="37" t="s">
        <v>82</v>
      </c>
      <c r="K34" s="37" t="s">
        <v>104</v>
      </c>
      <c r="L34" s="36" t="s">
        <v>90</v>
      </c>
      <c r="M34" s="34">
        <v>25546.29</v>
      </c>
      <c r="N34" s="34">
        <v>23908.959999999999</v>
      </c>
      <c r="O34" s="34">
        <v>1637.33</v>
      </c>
      <c r="P34" s="34">
        <v>11852.02</v>
      </c>
      <c r="Q34" s="34">
        <v>-1573.21</v>
      </c>
      <c r="R34" s="34">
        <v>-1293.6099999999999</v>
      </c>
      <c r="S34" s="34">
        <v>-1204.46</v>
      </c>
      <c r="T34" s="34">
        <v>-230.01</v>
      </c>
      <c r="U34" s="34">
        <v>214</v>
      </c>
      <c r="V34" s="34">
        <v>-1.59</v>
      </c>
      <c r="W34" s="34">
        <v>1.71</v>
      </c>
      <c r="X34" s="34">
        <v>14.6</v>
      </c>
      <c r="Y34" s="35">
        <v>-6.8887</v>
      </c>
      <c r="Z34" s="35">
        <v>-107.4808</v>
      </c>
      <c r="AA34" s="35">
        <v>-14.8482</v>
      </c>
    </row>
    <row r="35" spans="1:27" ht="15.75" hidden="1" customHeight="1" x14ac:dyDescent="0.2">
      <c r="A35" s="2"/>
      <c r="B35" s="31">
        <v>30</v>
      </c>
      <c r="C35" s="36" t="s">
        <v>75</v>
      </c>
      <c r="D35" s="36" t="s">
        <v>76</v>
      </c>
      <c r="E35" s="36" t="s">
        <v>77</v>
      </c>
      <c r="F35" s="36" t="s">
        <v>155</v>
      </c>
      <c r="G35" s="36" t="s">
        <v>156</v>
      </c>
      <c r="H35" s="37" t="s">
        <v>80</v>
      </c>
      <c r="I35" s="37" t="s">
        <v>81</v>
      </c>
      <c r="J35" s="37" t="s">
        <v>82</v>
      </c>
      <c r="K35" s="37" t="s">
        <v>104</v>
      </c>
      <c r="L35" s="36" t="s">
        <v>90</v>
      </c>
      <c r="M35" s="34">
        <v>63005.919999999998</v>
      </c>
      <c r="N35" s="34">
        <v>30186.32</v>
      </c>
      <c r="O35" s="34">
        <v>32819.599999999999</v>
      </c>
      <c r="P35" s="34">
        <v>21473.599999999999</v>
      </c>
      <c r="Q35" s="34">
        <v>3602.89</v>
      </c>
      <c r="R35" s="34">
        <v>2777.86</v>
      </c>
      <c r="S35" s="34">
        <v>1575.81</v>
      </c>
      <c r="T35" s="34">
        <v>448.69</v>
      </c>
      <c r="U35" s="34">
        <v>4259.2299999999996</v>
      </c>
      <c r="V35" s="34">
        <v>236.69</v>
      </c>
      <c r="W35" s="34">
        <v>24.93</v>
      </c>
      <c r="X35" s="34">
        <v>0.92</v>
      </c>
      <c r="Y35" s="35">
        <v>5.4874000000000001</v>
      </c>
      <c r="Z35" s="35">
        <v>10.5345</v>
      </c>
      <c r="AA35" s="35">
        <v>16.1005</v>
      </c>
    </row>
    <row r="36" spans="1:27" ht="15.75" hidden="1" customHeight="1" x14ac:dyDescent="0.2">
      <c r="A36" s="2"/>
      <c r="B36" s="31">
        <v>31</v>
      </c>
      <c r="C36" s="36" t="s">
        <v>75</v>
      </c>
      <c r="D36" s="36" t="s">
        <v>100</v>
      </c>
      <c r="E36" s="36" t="s">
        <v>101</v>
      </c>
      <c r="F36" s="36" t="s">
        <v>157</v>
      </c>
      <c r="G36" s="36" t="s">
        <v>158</v>
      </c>
      <c r="H36" s="37" t="s">
        <v>80</v>
      </c>
      <c r="I36" s="37" t="s">
        <v>81</v>
      </c>
      <c r="J36" s="37" t="s">
        <v>82</v>
      </c>
      <c r="K36" s="37" t="s">
        <v>87</v>
      </c>
      <c r="L36" s="36" t="s">
        <v>84</v>
      </c>
      <c r="M36" s="34">
        <v>2024.33</v>
      </c>
      <c r="N36" s="34">
        <v>1658.55</v>
      </c>
      <c r="O36" s="34">
        <v>365.79</v>
      </c>
      <c r="P36" s="34">
        <v>1736.35</v>
      </c>
      <c r="Q36" s="34">
        <v>120.09</v>
      </c>
      <c r="R36" s="34">
        <v>90.74</v>
      </c>
      <c r="S36" s="34">
        <v>90.74</v>
      </c>
      <c r="T36" s="34">
        <v>18.86</v>
      </c>
      <c r="U36" s="34">
        <v>39.53</v>
      </c>
      <c r="V36" s="34">
        <v>32.08</v>
      </c>
      <c r="W36" s="34">
        <v>15.3</v>
      </c>
      <c r="X36" s="34">
        <v>4.53</v>
      </c>
      <c r="Y36" s="35">
        <v>8.6199999999999992</v>
      </c>
      <c r="Z36" s="35">
        <v>47.704500000000003</v>
      </c>
      <c r="AA36" s="35">
        <v>10.0497</v>
      </c>
    </row>
    <row r="37" spans="1:27" ht="15.75" hidden="1" customHeight="1" x14ac:dyDescent="0.2">
      <c r="A37" s="2"/>
      <c r="B37" s="31">
        <v>32</v>
      </c>
      <c r="C37" s="36" t="s">
        <v>75</v>
      </c>
      <c r="D37" s="36" t="s">
        <v>105</v>
      </c>
      <c r="E37" s="36" t="s">
        <v>106</v>
      </c>
      <c r="F37" s="36" t="s">
        <v>159</v>
      </c>
      <c r="G37" s="36" t="s">
        <v>160</v>
      </c>
      <c r="H37" s="37" t="s">
        <v>80</v>
      </c>
      <c r="I37" s="37" t="s">
        <v>81</v>
      </c>
      <c r="J37" s="37" t="s">
        <v>82</v>
      </c>
      <c r="K37" s="37" t="s">
        <v>87</v>
      </c>
      <c r="L37" s="36" t="s">
        <v>84</v>
      </c>
      <c r="M37" s="34">
        <v>10551.78</v>
      </c>
      <c r="N37" s="34">
        <v>5597.26</v>
      </c>
      <c r="O37" s="34">
        <v>4954.51</v>
      </c>
      <c r="P37" s="34">
        <v>6965.19</v>
      </c>
      <c r="Q37" s="34">
        <v>440.32</v>
      </c>
      <c r="R37" s="34">
        <v>336.48</v>
      </c>
      <c r="S37" s="34">
        <v>336.48</v>
      </c>
      <c r="T37" s="34">
        <v>83.19</v>
      </c>
      <c r="U37" s="34">
        <v>678.84</v>
      </c>
      <c r="V37" s="34">
        <v>5.94</v>
      </c>
      <c r="W37" s="34">
        <v>0.73</v>
      </c>
      <c r="X37" s="34">
        <v>1.1299999999999999</v>
      </c>
      <c r="Y37" s="35">
        <v>5.7542</v>
      </c>
      <c r="Z37" s="35">
        <v>12.254799999999999</v>
      </c>
      <c r="AA37" s="35">
        <v>8.7172000000000001</v>
      </c>
    </row>
    <row r="38" spans="1:27" ht="15.75" hidden="1" customHeight="1" x14ac:dyDescent="0.2">
      <c r="A38" s="2"/>
      <c r="B38" s="31">
        <v>33</v>
      </c>
      <c r="C38" s="36" t="s">
        <v>75</v>
      </c>
      <c r="D38" s="36" t="s">
        <v>161</v>
      </c>
      <c r="E38" s="36" t="s">
        <v>162</v>
      </c>
      <c r="F38" s="36" t="s">
        <v>163</v>
      </c>
      <c r="G38" s="36" t="s">
        <v>164</v>
      </c>
      <c r="H38" s="37" t="s">
        <v>80</v>
      </c>
      <c r="I38" s="37" t="s">
        <v>81</v>
      </c>
      <c r="J38" s="37" t="s">
        <v>82</v>
      </c>
      <c r="K38" s="37" t="s">
        <v>104</v>
      </c>
      <c r="L38" s="36" t="s">
        <v>90</v>
      </c>
      <c r="M38" s="34">
        <v>26280.54</v>
      </c>
      <c r="N38" s="34">
        <v>15037.71</v>
      </c>
      <c r="O38" s="34">
        <v>11242.83</v>
      </c>
      <c r="P38" s="34">
        <v>3881</v>
      </c>
      <c r="Q38" s="34">
        <v>947.33</v>
      </c>
      <c r="R38" s="34">
        <v>580.84</v>
      </c>
      <c r="S38" s="34">
        <v>579.86</v>
      </c>
      <c r="T38" s="34">
        <v>48.03</v>
      </c>
      <c r="U38" s="34">
        <v>432.48</v>
      </c>
      <c r="V38" s="34">
        <v>16.760000000000002</v>
      </c>
      <c r="W38" s="34">
        <v>1.86</v>
      </c>
      <c r="X38" s="34">
        <v>1.34</v>
      </c>
      <c r="Y38" s="35">
        <v>4.7507999999999999</v>
      </c>
      <c r="Z38" s="35">
        <v>11.1053</v>
      </c>
      <c r="AA38" s="35">
        <v>32.170699999999997</v>
      </c>
    </row>
    <row r="39" spans="1:27" ht="15.75" hidden="1" customHeight="1" x14ac:dyDescent="0.2">
      <c r="A39" s="2"/>
      <c r="B39" s="31">
        <v>34</v>
      </c>
      <c r="C39" s="36" t="s">
        <v>75</v>
      </c>
      <c r="D39" s="36" t="s">
        <v>100</v>
      </c>
      <c r="E39" s="36" t="s">
        <v>101</v>
      </c>
      <c r="F39" s="36" t="s">
        <v>165</v>
      </c>
      <c r="G39" s="36" t="s">
        <v>166</v>
      </c>
      <c r="H39" s="37" t="s">
        <v>80</v>
      </c>
      <c r="I39" s="37" t="s">
        <v>81</v>
      </c>
      <c r="J39" s="37" t="s">
        <v>82</v>
      </c>
      <c r="K39" s="37" t="s">
        <v>87</v>
      </c>
      <c r="L39" s="36" t="s">
        <v>84</v>
      </c>
      <c r="M39" s="34">
        <v>331.22</v>
      </c>
      <c r="N39" s="34">
        <v>96.81</v>
      </c>
      <c r="O39" s="34">
        <v>234.41</v>
      </c>
      <c r="P39" s="34">
        <v>183.88</v>
      </c>
      <c r="Q39" s="34">
        <v>4.2</v>
      </c>
      <c r="R39" s="34">
        <v>-5.46</v>
      </c>
      <c r="S39" s="34">
        <v>-5.45</v>
      </c>
      <c r="T39" s="34">
        <v>1.08</v>
      </c>
      <c r="U39" s="34">
        <v>158.88</v>
      </c>
      <c r="V39" s="34">
        <v>88.53</v>
      </c>
      <c r="W39" s="34">
        <v>0.6</v>
      </c>
      <c r="X39" s="34">
        <v>0.41</v>
      </c>
      <c r="Y39" s="35">
        <v>0.48299999999999998</v>
      </c>
      <c r="Z39" s="35">
        <v>0.6825</v>
      </c>
      <c r="AA39" s="35">
        <v>0.87009999999999998</v>
      </c>
    </row>
    <row r="40" spans="1:27" ht="15.75" hidden="1" customHeight="1" x14ac:dyDescent="0.2">
      <c r="A40" s="2"/>
      <c r="B40" s="31">
        <v>35</v>
      </c>
      <c r="C40" s="36" t="s">
        <v>75</v>
      </c>
      <c r="D40" s="36" t="s">
        <v>76</v>
      </c>
      <c r="E40" s="36" t="s">
        <v>77</v>
      </c>
      <c r="F40" s="36" t="s">
        <v>167</v>
      </c>
      <c r="G40" s="36" t="s">
        <v>168</v>
      </c>
      <c r="H40" s="37" t="s">
        <v>80</v>
      </c>
      <c r="I40" s="37" t="s">
        <v>81</v>
      </c>
      <c r="J40" s="37" t="s">
        <v>82</v>
      </c>
      <c r="K40" s="37" t="s">
        <v>104</v>
      </c>
      <c r="L40" s="36" t="s">
        <v>90</v>
      </c>
      <c r="M40" s="34">
        <v>16910.91</v>
      </c>
      <c r="N40" s="34">
        <v>7163.03</v>
      </c>
      <c r="O40" s="34">
        <v>9747.8799999999992</v>
      </c>
      <c r="P40" s="34">
        <v>18575.03</v>
      </c>
      <c r="Q40" s="34">
        <v>3231.49</v>
      </c>
      <c r="R40" s="34">
        <v>2478.46</v>
      </c>
      <c r="S40" s="34">
        <v>2461.8000000000002</v>
      </c>
      <c r="T40" s="34">
        <v>836.99</v>
      </c>
      <c r="U40" s="34">
        <v>1657.14</v>
      </c>
      <c r="V40" s="34">
        <v>10.69</v>
      </c>
      <c r="W40" s="34">
        <v>5.4</v>
      </c>
      <c r="X40" s="34">
        <v>0.73</v>
      </c>
      <c r="Y40" s="35">
        <v>29.114100000000001</v>
      </c>
      <c r="Z40" s="35">
        <v>50.508000000000003</v>
      </c>
      <c r="AA40" s="35">
        <v>26.505800000000001</v>
      </c>
    </row>
    <row r="41" spans="1:27" ht="15.75" hidden="1" customHeight="1" x14ac:dyDescent="0.2">
      <c r="A41" s="2"/>
      <c r="B41" s="31">
        <v>36</v>
      </c>
      <c r="C41" s="36" t="s">
        <v>75</v>
      </c>
      <c r="D41" s="36" t="s">
        <v>76</v>
      </c>
      <c r="E41" s="36" t="s">
        <v>77</v>
      </c>
      <c r="F41" s="36" t="s">
        <v>169</v>
      </c>
      <c r="G41" s="36" t="s">
        <v>170</v>
      </c>
      <c r="H41" s="37" t="s">
        <v>80</v>
      </c>
      <c r="I41" s="37" t="s">
        <v>81</v>
      </c>
      <c r="J41" s="37" t="s">
        <v>82</v>
      </c>
      <c r="K41" s="37" t="s">
        <v>87</v>
      </c>
      <c r="L41" s="36" t="s">
        <v>84</v>
      </c>
      <c r="M41" s="34">
        <v>852.22</v>
      </c>
      <c r="N41" s="34">
        <v>122.68</v>
      </c>
      <c r="O41" s="34">
        <v>729.54</v>
      </c>
      <c r="P41" s="34">
        <v>121.61</v>
      </c>
      <c r="Q41" s="34">
        <v>-13.73</v>
      </c>
      <c r="R41" s="34">
        <v>-13.73</v>
      </c>
      <c r="S41" s="34">
        <v>-13.73</v>
      </c>
      <c r="T41" s="34">
        <v>-40.520000000000003</v>
      </c>
      <c r="U41" s="34">
        <v>291.81</v>
      </c>
      <c r="V41" s="34">
        <v>-5.18</v>
      </c>
      <c r="W41" s="34">
        <v>0.72</v>
      </c>
      <c r="X41" s="34">
        <v>0.17</v>
      </c>
      <c r="Y41" s="35">
        <v>-11.886100000000001</v>
      </c>
      <c r="Z41" s="35">
        <v>-13.8848</v>
      </c>
      <c r="AA41" s="35">
        <v>-83.294799999999995</v>
      </c>
    </row>
    <row r="42" spans="1:27" ht="15.75" hidden="1" customHeight="1" x14ac:dyDescent="0.2">
      <c r="A42" s="2"/>
      <c r="B42" s="31">
        <v>37</v>
      </c>
      <c r="C42" s="36" t="s">
        <v>75</v>
      </c>
      <c r="D42" s="36" t="s">
        <v>96</v>
      </c>
      <c r="E42" s="36" t="s">
        <v>97</v>
      </c>
      <c r="F42" s="36" t="s">
        <v>171</v>
      </c>
      <c r="G42" s="36" t="s">
        <v>172</v>
      </c>
      <c r="H42" s="37" t="s">
        <v>80</v>
      </c>
      <c r="I42" s="37" t="s">
        <v>81</v>
      </c>
      <c r="J42" s="37" t="s">
        <v>82</v>
      </c>
      <c r="K42" s="37" t="s">
        <v>87</v>
      </c>
      <c r="L42" s="36" t="s">
        <v>84</v>
      </c>
      <c r="M42" s="34">
        <v>2087.71</v>
      </c>
      <c r="N42" s="34">
        <v>939.54</v>
      </c>
      <c r="O42" s="34">
        <v>1148.17</v>
      </c>
      <c r="P42" s="34">
        <v>276.05</v>
      </c>
      <c r="Q42" s="34">
        <v>73.64</v>
      </c>
      <c r="R42" s="34">
        <v>69.16</v>
      </c>
      <c r="S42" s="34">
        <v>60.92</v>
      </c>
      <c r="T42" s="34">
        <v>7.9</v>
      </c>
      <c r="U42" s="34">
        <v>72.58</v>
      </c>
      <c r="V42" s="34">
        <v>11.52</v>
      </c>
      <c r="W42" s="34">
        <v>1.25</v>
      </c>
      <c r="X42" s="34">
        <v>0.82</v>
      </c>
      <c r="Y42" s="35">
        <v>5.9863</v>
      </c>
      <c r="Z42" s="35">
        <v>10.885</v>
      </c>
      <c r="AA42" s="35">
        <v>45.274099999999997</v>
      </c>
    </row>
    <row r="43" spans="1:27" ht="15.75" hidden="1" customHeight="1" x14ac:dyDescent="0.2">
      <c r="A43" s="2"/>
      <c r="B43" s="31">
        <v>38</v>
      </c>
      <c r="C43" s="36" t="s">
        <v>75</v>
      </c>
      <c r="D43" s="36" t="s">
        <v>111</v>
      </c>
      <c r="E43" s="36" t="s">
        <v>112</v>
      </c>
      <c r="F43" s="36" t="s">
        <v>173</v>
      </c>
      <c r="G43" s="36" t="s">
        <v>174</v>
      </c>
      <c r="H43" s="37" t="s">
        <v>80</v>
      </c>
      <c r="I43" s="37" t="s">
        <v>81</v>
      </c>
      <c r="J43" s="37" t="s">
        <v>82</v>
      </c>
      <c r="K43" s="37" t="s">
        <v>87</v>
      </c>
      <c r="L43" s="36" t="s">
        <v>84</v>
      </c>
      <c r="M43" s="34">
        <v>6551.99</v>
      </c>
      <c r="N43" s="34">
        <v>4836.93</v>
      </c>
      <c r="O43" s="34">
        <v>1715.06</v>
      </c>
      <c r="P43" s="34">
        <v>2167.41</v>
      </c>
      <c r="Q43" s="34">
        <v>0.4</v>
      </c>
      <c r="R43" s="34">
        <v>0.4</v>
      </c>
      <c r="S43" s="34">
        <v>0.32</v>
      </c>
      <c r="T43" s="34">
        <v>-0.55000000000000004</v>
      </c>
      <c r="U43" s="34">
        <v>116.34</v>
      </c>
      <c r="V43" s="34">
        <v>-372.05</v>
      </c>
      <c r="W43" s="34">
        <v>1.75</v>
      </c>
      <c r="X43" s="34">
        <v>2.82</v>
      </c>
      <c r="Y43" s="35">
        <v>-0.1234</v>
      </c>
      <c r="Z43" s="35">
        <v>-0.4713</v>
      </c>
      <c r="AA43" s="35">
        <v>-0.37290000000000001</v>
      </c>
    </row>
    <row r="44" spans="1:27" ht="15.75" hidden="1" customHeight="1" x14ac:dyDescent="0.2">
      <c r="A44" s="2"/>
      <c r="B44" s="31">
        <v>39</v>
      </c>
      <c r="C44" s="36" t="s">
        <v>75</v>
      </c>
      <c r="D44" s="36" t="s">
        <v>96</v>
      </c>
      <c r="E44" s="36" t="s">
        <v>97</v>
      </c>
      <c r="F44" s="36" t="s">
        <v>175</v>
      </c>
      <c r="G44" s="36" t="s">
        <v>176</v>
      </c>
      <c r="H44" s="37" t="s">
        <v>95</v>
      </c>
      <c r="I44" s="37" t="s">
        <v>81</v>
      </c>
      <c r="J44" s="37" t="s">
        <v>82</v>
      </c>
      <c r="K44" s="37" t="s">
        <v>87</v>
      </c>
      <c r="L44" s="36" t="s">
        <v>84</v>
      </c>
      <c r="M44" s="34">
        <v>5279.02</v>
      </c>
      <c r="N44" s="34">
        <v>3423.42</v>
      </c>
      <c r="O44" s="34">
        <v>1855.6</v>
      </c>
      <c r="P44" s="34">
        <v>1089.6199999999999</v>
      </c>
      <c r="Q44" s="34">
        <v>100.03</v>
      </c>
      <c r="R44" s="34">
        <v>84.06</v>
      </c>
      <c r="S44" s="34">
        <v>73.94</v>
      </c>
      <c r="T44" s="34">
        <v>-0.33</v>
      </c>
      <c r="U44" s="34">
        <v>261.31</v>
      </c>
      <c r="V44" s="34">
        <v>-348.19</v>
      </c>
      <c r="W44" s="34">
        <v>0.44</v>
      </c>
      <c r="X44" s="34">
        <v>1.84</v>
      </c>
      <c r="Y44" s="35">
        <v>-4.48E-2</v>
      </c>
      <c r="Z44" s="35">
        <v>-0.1275</v>
      </c>
      <c r="AA44" s="35">
        <v>-0.21709999999999999</v>
      </c>
    </row>
    <row r="45" spans="1:27" ht="15.75" hidden="1" customHeight="1" x14ac:dyDescent="0.2">
      <c r="A45" s="2"/>
      <c r="B45" s="31">
        <v>40</v>
      </c>
      <c r="C45" s="36" t="s">
        <v>75</v>
      </c>
      <c r="D45" s="36" t="s">
        <v>76</v>
      </c>
      <c r="E45" s="36" t="s">
        <v>77</v>
      </c>
      <c r="F45" s="36" t="s">
        <v>177</v>
      </c>
      <c r="G45" s="36" t="s">
        <v>178</v>
      </c>
      <c r="H45" s="37" t="s">
        <v>80</v>
      </c>
      <c r="I45" s="37" t="s">
        <v>81</v>
      </c>
      <c r="J45" s="37" t="s">
        <v>82</v>
      </c>
      <c r="K45" s="37" t="s">
        <v>87</v>
      </c>
      <c r="L45" s="36" t="s">
        <v>84</v>
      </c>
      <c r="M45" s="34">
        <v>51290.55</v>
      </c>
      <c r="N45" s="34">
        <v>21778.01</v>
      </c>
      <c r="O45" s="34">
        <v>29512.54</v>
      </c>
      <c r="P45" s="34">
        <v>10473.43</v>
      </c>
      <c r="Q45" s="34">
        <v>864.49</v>
      </c>
      <c r="R45" s="34">
        <v>622.54999999999995</v>
      </c>
      <c r="S45" s="34">
        <v>483.05</v>
      </c>
      <c r="T45" s="34">
        <v>55.06</v>
      </c>
      <c r="U45" s="34">
        <v>2183.19</v>
      </c>
      <c r="V45" s="34">
        <v>20.52</v>
      </c>
      <c r="W45" s="34">
        <v>0.52</v>
      </c>
      <c r="X45" s="34">
        <v>0.74</v>
      </c>
      <c r="Y45" s="35">
        <v>1.4511000000000001</v>
      </c>
      <c r="Z45" s="35">
        <v>2.5219</v>
      </c>
      <c r="AA45" s="35">
        <v>7.1063000000000001</v>
      </c>
    </row>
    <row r="46" spans="1:27" ht="15.75" hidden="1" customHeight="1" x14ac:dyDescent="0.2">
      <c r="A46" s="2"/>
      <c r="B46" s="31">
        <v>41</v>
      </c>
      <c r="C46" s="36" t="s">
        <v>75</v>
      </c>
      <c r="D46" s="36" t="s">
        <v>96</v>
      </c>
      <c r="E46" s="36" t="s">
        <v>97</v>
      </c>
      <c r="F46" s="36" t="s">
        <v>179</v>
      </c>
      <c r="G46" s="36" t="s">
        <v>180</v>
      </c>
      <c r="H46" s="37" t="s">
        <v>80</v>
      </c>
      <c r="I46" s="37" t="s">
        <v>81</v>
      </c>
      <c r="J46" s="37" t="s">
        <v>82</v>
      </c>
      <c r="K46" s="37" t="s">
        <v>87</v>
      </c>
      <c r="L46" s="36" t="s">
        <v>84</v>
      </c>
      <c r="M46" s="34">
        <v>5318.09</v>
      </c>
      <c r="N46" s="34">
        <v>2433.41</v>
      </c>
      <c r="O46" s="34">
        <v>2884.69</v>
      </c>
      <c r="P46" s="34">
        <v>1050.33</v>
      </c>
      <c r="Q46" s="34">
        <v>105.88</v>
      </c>
      <c r="R46" s="34">
        <v>90.62</v>
      </c>
      <c r="S46" s="34">
        <v>80.5</v>
      </c>
      <c r="T46" s="34">
        <v>10.119999999999999</v>
      </c>
      <c r="U46" s="34">
        <v>159.85</v>
      </c>
      <c r="V46" s="34">
        <v>13.14</v>
      </c>
      <c r="W46" s="34">
        <v>0.83</v>
      </c>
      <c r="X46" s="34">
        <v>0.84</v>
      </c>
      <c r="Y46" s="35">
        <v>3.4348999999999998</v>
      </c>
      <c r="Z46" s="35">
        <v>6.3324999999999996</v>
      </c>
      <c r="AA46" s="35">
        <v>17.391999999999999</v>
      </c>
    </row>
    <row r="47" spans="1:27" ht="15.75" hidden="1" customHeight="1" x14ac:dyDescent="0.2">
      <c r="A47" s="2"/>
      <c r="B47" s="31">
        <v>42</v>
      </c>
      <c r="C47" s="36" t="s">
        <v>75</v>
      </c>
      <c r="D47" s="36" t="s">
        <v>76</v>
      </c>
      <c r="E47" s="36" t="s">
        <v>77</v>
      </c>
      <c r="F47" s="36" t="s">
        <v>181</v>
      </c>
      <c r="G47" s="36" t="s">
        <v>182</v>
      </c>
      <c r="H47" s="37" t="s">
        <v>80</v>
      </c>
      <c r="I47" s="37" t="s">
        <v>81</v>
      </c>
      <c r="J47" s="37" t="s">
        <v>82</v>
      </c>
      <c r="K47" s="37" t="s">
        <v>87</v>
      </c>
      <c r="L47" s="36" t="s">
        <v>84</v>
      </c>
      <c r="M47" s="34">
        <v>3874.66</v>
      </c>
      <c r="N47" s="34">
        <v>1653.29</v>
      </c>
      <c r="O47" s="34">
        <v>2221.36</v>
      </c>
      <c r="P47" s="34">
        <v>648.69000000000005</v>
      </c>
      <c r="Q47" s="34">
        <v>128.21</v>
      </c>
      <c r="R47" s="34">
        <v>88.72</v>
      </c>
      <c r="S47" s="34">
        <v>88.77</v>
      </c>
      <c r="T47" s="34">
        <v>2.1800000000000002</v>
      </c>
      <c r="U47" s="34">
        <v>71.02</v>
      </c>
      <c r="V47" s="34">
        <v>36.25</v>
      </c>
      <c r="W47" s="34">
        <v>1.1100000000000001</v>
      </c>
      <c r="X47" s="34">
        <v>0.74</v>
      </c>
      <c r="Y47" s="35">
        <v>1.7592000000000001</v>
      </c>
      <c r="Z47" s="35">
        <v>3.0684999999999998</v>
      </c>
      <c r="AA47" s="35">
        <v>10.5077</v>
      </c>
    </row>
    <row r="48" spans="1:27" ht="15.75" hidden="1" customHeight="1" x14ac:dyDescent="0.2">
      <c r="A48" s="2"/>
      <c r="B48" s="31">
        <v>43</v>
      </c>
      <c r="C48" s="36" t="s">
        <v>75</v>
      </c>
      <c r="D48" s="36" t="s">
        <v>76</v>
      </c>
      <c r="E48" s="36" t="s">
        <v>77</v>
      </c>
      <c r="F48" s="36" t="s">
        <v>183</v>
      </c>
      <c r="G48" s="36" t="s">
        <v>184</v>
      </c>
      <c r="H48" s="37" t="s">
        <v>80</v>
      </c>
      <c r="I48" s="37" t="s">
        <v>81</v>
      </c>
      <c r="J48" s="37" t="s">
        <v>82</v>
      </c>
      <c r="K48" s="37" t="s">
        <v>87</v>
      </c>
      <c r="L48" s="36" t="s">
        <v>84</v>
      </c>
      <c r="M48" s="34">
        <v>47159.72</v>
      </c>
      <c r="N48" s="34">
        <v>25551.99</v>
      </c>
      <c r="O48" s="34">
        <v>21607.73</v>
      </c>
      <c r="P48" s="34">
        <v>15530.11</v>
      </c>
      <c r="Q48" s="34">
        <v>504.29</v>
      </c>
      <c r="R48" s="34">
        <v>166.15</v>
      </c>
      <c r="S48" s="34">
        <v>36.43</v>
      </c>
      <c r="T48" s="34">
        <v>-27.84</v>
      </c>
      <c r="U48" s="34">
        <v>4147.2</v>
      </c>
      <c r="V48" s="34">
        <v>-83.33</v>
      </c>
      <c r="W48" s="34">
        <v>0.56000000000000005</v>
      </c>
      <c r="X48" s="34">
        <v>1.18</v>
      </c>
      <c r="Y48" s="35">
        <v>-0.30759999999999998</v>
      </c>
      <c r="Z48" s="35">
        <v>-0.67130000000000001</v>
      </c>
      <c r="AA48" s="35">
        <v>-0.93410000000000004</v>
      </c>
    </row>
    <row r="49" spans="1:27" ht="15.75" hidden="1" customHeight="1" x14ac:dyDescent="0.2">
      <c r="A49" s="2"/>
      <c r="B49" s="31">
        <v>44</v>
      </c>
      <c r="C49" s="36" t="s">
        <v>75</v>
      </c>
      <c r="D49" s="36" t="s">
        <v>96</v>
      </c>
      <c r="E49" s="36" t="s">
        <v>97</v>
      </c>
      <c r="F49" s="36" t="s">
        <v>185</v>
      </c>
      <c r="G49" s="36" t="s">
        <v>186</v>
      </c>
      <c r="H49" s="37" t="s">
        <v>95</v>
      </c>
      <c r="I49" s="37" t="s">
        <v>81</v>
      </c>
      <c r="J49" s="37" t="s">
        <v>82</v>
      </c>
      <c r="K49" s="37" t="s">
        <v>87</v>
      </c>
      <c r="L49" s="36" t="s">
        <v>84</v>
      </c>
      <c r="M49" s="34">
        <v>246.16</v>
      </c>
      <c r="N49" s="34">
        <v>277.20999999999998</v>
      </c>
      <c r="O49" s="34">
        <v>-31.05</v>
      </c>
      <c r="P49" s="34">
        <v>120.01</v>
      </c>
      <c r="Q49" s="34">
        <v>1.65</v>
      </c>
      <c r="R49" s="34">
        <v>1.65</v>
      </c>
      <c r="S49" s="34">
        <v>1.56</v>
      </c>
      <c r="T49" s="34">
        <v>-36.51</v>
      </c>
      <c r="U49" s="34">
        <v>-47.77</v>
      </c>
      <c r="V49" s="34">
        <v>-4.16</v>
      </c>
      <c r="W49" s="34">
        <v>-3.18</v>
      </c>
      <c r="X49" s="34">
        <v>-8.93</v>
      </c>
      <c r="Y49" s="35">
        <v>-9.6414000000000009</v>
      </c>
      <c r="Z49" s="35" t="s">
        <v>95</v>
      </c>
      <c r="AA49" s="35">
        <v>-19.777100000000001</v>
      </c>
    </row>
    <row r="50" spans="1:27" ht="15.75" hidden="1" customHeight="1" x14ac:dyDescent="0.2">
      <c r="A50" s="2"/>
      <c r="B50" s="31">
        <v>45</v>
      </c>
      <c r="C50" s="36" t="s">
        <v>75</v>
      </c>
      <c r="D50" s="36" t="s">
        <v>111</v>
      </c>
      <c r="E50" s="36" t="s">
        <v>112</v>
      </c>
      <c r="F50" s="36" t="s">
        <v>187</v>
      </c>
      <c r="G50" s="36" t="s">
        <v>188</v>
      </c>
      <c r="H50" s="37" t="s">
        <v>80</v>
      </c>
      <c r="I50" s="37" t="s">
        <v>81</v>
      </c>
      <c r="J50" s="37" t="s">
        <v>82</v>
      </c>
      <c r="K50" s="37" t="s">
        <v>87</v>
      </c>
      <c r="L50" s="36" t="s">
        <v>84</v>
      </c>
      <c r="M50" s="34">
        <v>4177.1099999999997</v>
      </c>
      <c r="N50" s="34">
        <v>695.64</v>
      </c>
      <c r="O50" s="34">
        <v>3481.46</v>
      </c>
      <c r="P50" s="34">
        <v>7.22</v>
      </c>
      <c r="Q50" s="34">
        <v>9.67</v>
      </c>
      <c r="R50" s="34">
        <v>9.67</v>
      </c>
      <c r="S50" s="34">
        <v>10.35</v>
      </c>
      <c r="T50" s="34">
        <v>16.63</v>
      </c>
      <c r="U50" s="34">
        <v>3484.76</v>
      </c>
      <c r="V50" s="34">
        <v>67.66</v>
      </c>
      <c r="W50" s="34">
        <v>0.32</v>
      </c>
      <c r="X50" s="34">
        <v>0.2</v>
      </c>
      <c r="Y50" s="35">
        <v>0.3977</v>
      </c>
      <c r="Z50" s="35">
        <v>0.47710000000000002</v>
      </c>
      <c r="AA50" s="35">
        <v>230.0574</v>
      </c>
    </row>
    <row r="51" spans="1:27" ht="15.75" hidden="1" customHeight="1" x14ac:dyDescent="0.2">
      <c r="A51" s="2"/>
      <c r="B51" s="31">
        <v>46</v>
      </c>
      <c r="C51" s="36" t="s">
        <v>75</v>
      </c>
      <c r="D51" s="36" t="s">
        <v>76</v>
      </c>
      <c r="E51" s="36" t="s">
        <v>77</v>
      </c>
      <c r="F51" s="36" t="s">
        <v>189</v>
      </c>
      <c r="G51" s="36" t="s">
        <v>190</v>
      </c>
      <c r="H51" s="37" t="s">
        <v>80</v>
      </c>
      <c r="I51" s="37" t="s">
        <v>81</v>
      </c>
      <c r="J51" s="37" t="s">
        <v>82</v>
      </c>
      <c r="K51" s="37" t="s">
        <v>83</v>
      </c>
      <c r="L51" s="36" t="s">
        <v>90</v>
      </c>
      <c r="M51" s="34">
        <v>38738.33</v>
      </c>
      <c r="N51" s="34">
        <v>8381.32</v>
      </c>
      <c r="O51" s="34">
        <v>30357.02</v>
      </c>
      <c r="P51" s="34">
        <v>14923.04</v>
      </c>
      <c r="Q51" s="34">
        <v>2229.86</v>
      </c>
      <c r="R51" s="34">
        <v>1525.6</v>
      </c>
      <c r="S51" s="34">
        <v>1476.66</v>
      </c>
      <c r="T51" s="34">
        <v>4785.1099999999997</v>
      </c>
      <c r="U51" s="34">
        <v>26866.400000000001</v>
      </c>
      <c r="V51" s="34">
        <v>4.78</v>
      </c>
      <c r="W51" s="34">
        <v>0.85</v>
      </c>
      <c r="X51" s="34">
        <v>0.28000000000000003</v>
      </c>
      <c r="Y51" s="35">
        <v>13.9573</v>
      </c>
      <c r="Z51" s="35">
        <v>17.810700000000001</v>
      </c>
      <c r="AA51" s="35">
        <v>36.231299999999997</v>
      </c>
    </row>
    <row r="52" spans="1:27" ht="15.75" hidden="1" customHeight="1" x14ac:dyDescent="0.2">
      <c r="A52" s="2"/>
      <c r="B52" s="31">
        <v>47</v>
      </c>
      <c r="C52" s="36" t="s">
        <v>75</v>
      </c>
      <c r="D52" s="36" t="s">
        <v>76</v>
      </c>
      <c r="E52" s="36" t="s">
        <v>77</v>
      </c>
      <c r="F52" s="36" t="s">
        <v>191</v>
      </c>
      <c r="G52" s="36" t="s">
        <v>192</v>
      </c>
      <c r="H52" s="37" t="s">
        <v>80</v>
      </c>
      <c r="I52" s="37" t="s">
        <v>81</v>
      </c>
      <c r="J52" s="37" t="s">
        <v>82</v>
      </c>
      <c r="K52" s="37" t="s">
        <v>87</v>
      </c>
      <c r="L52" s="36" t="s">
        <v>84</v>
      </c>
      <c r="M52" s="34">
        <v>3107.7</v>
      </c>
      <c r="N52" s="34">
        <v>545.05999999999995</v>
      </c>
      <c r="O52" s="34">
        <v>2562.64</v>
      </c>
      <c r="P52" s="34">
        <v>1155.94</v>
      </c>
      <c r="Q52" s="34">
        <v>23.55</v>
      </c>
      <c r="R52" s="34">
        <v>15.12</v>
      </c>
      <c r="S52" s="34">
        <v>16.71</v>
      </c>
      <c r="T52" s="34">
        <v>34.020000000000003</v>
      </c>
      <c r="U52" s="34">
        <v>512.53</v>
      </c>
      <c r="V52" s="34">
        <v>9.4600000000000009</v>
      </c>
      <c r="W52" s="34">
        <v>0.63</v>
      </c>
      <c r="X52" s="34">
        <v>0.21</v>
      </c>
      <c r="Y52" s="35">
        <v>5.4743000000000004</v>
      </c>
      <c r="Z52" s="35">
        <v>6.6386000000000003</v>
      </c>
      <c r="AA52" s="35">
        <v>14.7174</v>
      </c>
    </row>
    <row r="53" spans="1:27" ht="15.75" hidden="1" customHeight="1" x14ac:dyDescent="0.2">
      <c r="A53" s="2"/>
      <c r="B53" s="31">
        <v>48</v>
      </c>
      <c r="C53" s="36" t="s">
        <v>75</v>
      </c>
      <c r="D53" s="36" t="s">
        <v>96</v>
      </c>
      <c r="E53" s="36" t="s">
        <v>97</v>
      </c>
      <c r="F53" s="36" t="s">
        <v>193</v>
      </c>
      <c r="G53" s="36" t="s">
        <v>194</v>
      </c>
      <c r="H53" s="37" t="s">
        <v>80</v>
      </c>
      <c r="I53" s="37" t="s">
        <v>81</v>
      </c>
      <c r="J53" s="37" t="s">
        <v>82</v>
      </c>
      <c r="K53" s="37" t="s">
        <v>87</v>
      </c>
      <c r="L53" s="36" t="s">
        <v>84</v>
      </c>
      <c r="M53" s="34">
        <v>294.88</v>
      </c>
      <c r="N53" s="34">
        <v>228.16</v>
      </c>
      <c r="O53" s="34">
        <v>66.709999999999994</v>
      </c>
      <c r="P53" s="34">
        <v>125.44</v>
      </c>
      <c r="Q53" s="34">
        <v>-1.17</v>
      </c>
      <c r="R53" s="34">
        <v>-1.34</v>
      </c>
      <c r="S53" s="34">
        <v>-1.33</v>
      </c>
      <c r="T53" s="34">
        <v>-45.27</v>
      </c>
      <c r="U53" s="34">
        <v>95.68</v>
      </c>
      <c r="V53" s="34">
        <v>-7.42</v>
      </c>
      <c r="W53" s="34">
        <v>3.51</v>
      </c>
      <c r="X53" s="34">
        <v>3.42</v>
      </c>
      <c r="Y53" s="35">
        <v>-10.704700000000001</v>
      </c>
      <c r="Z53" s="35">
        <v>-47.315800000000003</v>
      </c>
      <c r="AA53" s="35">
        <v>-25.164200000000001</v>
      </c>
    </row>
    <row r="54" spans="1:27" ht="15.75" hidden="1" customHeight="1" x14ac:dyDescent="0.2">
      <c r="A54" s="2"/>
      <c r="B54" s="31">
        <v>49</v>
      </c>
      <c r="C54" s="36" t="s">
        <v>75</v>
      </c>
      <c r="D54" s="36" t="s">
        <v>96</v>
      </c>
      <c r="E54" s="36" t="s">
        <v>97</v>
      </c>
      <c r="F54" s="36" t="s">
        <v>195</v>
      </c>
      <c r="G54" s="36" t="s">
        <v>196</v>
      </c>
      <c r="H54" s="37" t="s">
        <v>95</v>
      </c>
      <c r="I54" s="37" t="s">
        <v>81</v>
      </c>
      <c r="J54" s="37" t="s">
        <v>82</v>
      </c>
      <c r="K54" s="37" t="s">
        <v>87</v>
      </c>
      <c r="L54" s="36" t="s">
        <v>84</v>
      </c>
      <c r="M54" s="34">
        <v>1800.09</v>
      </c>
      <c r="N54" s="34">
        <v>1071.5</v>
      </c>
      <c r="O54" s="34">
        <v>728.59</v>
      </c>
      <c r="P54" s="34">
        <v>299.70999999999998</v>
      </c>
      <c r="Q54" s="34">
        <v>9.25</v>
      </c>
      <c r="R54" s="34">
        <v>2.74</v>
      </c>
      <c r="S54" s="34">
        <v>2.74</v>
      </c>
      <c r="T54" s="34">
        <v>10.95</v>
      </c>
      <c r="U54" s="34">
        <v>125.63</v>
      </c>
      <c r="V54" s="34">
        <v>7.49</v>
      </c>
      <c r="W54" s="34">
        <v>0.65</v>
      </c>
      <c r="X54" s="34">
        <v>1.47</v>
      </c>
      <c r="Y54" s="35">
        <v>3.528</v>
      </c>
      <c r="Z54" s="35">
        <v>8.7164999999999999</v>
      </c>
      <c r="AA54" s="35">
        <v>21.189900000000002</v>
      </c>
    </row>
    <row r="55" spans="1:27" ht="15.75" hidden="1" customHeight="1" x14ac:dyDescent="0.2">
      <c r="A55" s="2"/>
      <c r="B55" s="31">
        <v>50</v>
      </c>
      <c r="C55" s="36" t="s">
        <v>75</v>
      </c>
      <c r="D55" s="36" t="s">
        <v>100</v>
      </c>
      <c r="E55" s="36" t="s">
        <v>101</v>
      </c>
      <c r="F55" s="36" t="s">
        <v>197</v>
      </c>
      <c r="G55" s="36" t="s">
        <v>198</v>
      </c>
      <c r="H55" s="37" t="s">
        <v>80</v>
      </c>
      <c r="I55" s="37" t="s">
        <v>81</v>
      </c>
      <c r="J55" s="37" t="s">
        <v>82</v>
      </c>
      <c r="K55" s="37" t="s">
        <v>87</v>
      </c>
      <c r="L55" s="36" t="s">
        <v>84</v>
      </c>
      <c r="M55" s="34">
        <v>2479.9299999999998</v>
      </c>
      <c r="N55" s="34">
        <v>803.74</v>
      </c>
      <c r="O55" s="34">
        <v>1676.19</v>
      </c>
      <c r="P55" s="34">
        <v>1231.3699999999999</v>
      </c>
      <c r="Q55" s="34">
        <v>27.49</v>
      </c>
      <c r="R55" s="34">
        <v>9.3800000000000008</v>
      </c>
      <c r="S55" s="34">
        <v>12.9</v>
      </c>
      <c r="T55" s="34">
        <v>-5.28</v>
      </c>
      <c r="U55" s="34">
        <v>100.58</v>
      </c>
      <c r="V55" s="34">
        <v>-28.61</v>
      </c>
      <c r="W55" s="34">
        <v>1.5</v>
      </c>
      <c r="X55" s="34">
        <v>0.48</v>
      </c>
      <c r="Y55" s="35">
        <v>-3.5468000000000002</v>
      </c>
      <c r="Z55" s="35">
        <v>-5.2473999999999998</v>
      </c>
      <c r="AA55" s="35">
        <v>-7.1429999999999998</v>
      </c>
    </row>
    <row r="56" spans="1:27" ht="15.75" hidden="1" customHeight="1" x14ac:dyDescent="0.2">
      <c r="A56" s="2"/>
      <c r="B56" s="31">
        <v>51</v>
      </c>
      <c r="C56" s="36" t="s">
        <v>75</v>
      </c>
      <c r="D56" s="36" t="s">
        <v>76</v>
      </c>
      <c r="E56" s="36" t="s">
        <v>77</v>
      </c>
      <c r="F56" s="36" t="s">
        <v>199</v>
      </c>
      <c r="G56" s="36" t="s">
        <v>200</v>
      </c>
      <c r="H56" s="37" t="s">
        <v>80</v>
      </c>
      <c r="I56" s="37" t="s">
        <v>81</v>
      </c>
      <c r="J56" s="37" t="s">
        <v>82</v>
      </c>
      <c r="K56" s="37" t="s">
        <v>83</v>
      </c>
      <c r="L56" s="36" t="s">
        <v>84</v>
      </c>
      <c r="M56" s="34">
        <v>4071.06</v>
      </c>
      <c r="N56" s="34">
        <v>1057.94</v>
      </c>
      <c r="O56" s="34">
        <v>3013.12</v>
      </c>
      <c r="P56" s="34">
        <v>1367.05</v>
      </c>
      <c r="Q56" s="34">
        <v>68.38</v>
      </c>
      <c r="R56" s="34">
        <v>36.39</v>
      </c>
      <c r="S56" s="34">
        <v>39.75</v>
      </c>
      <c r="T56" s="34">
        <v>134.85</v>
      </c>
      <c r="U56" s="34">
        <v>2430.59</v>
      </c>
      <c r="V56" s="34">
        <v>12.09</v>
      </c>
      <c r="W56" s="34">
        <v>0.67</v>
      </c>
      <c r="X56" s="34">
        <v>0.35</v>
      </c>
      <c r="Y56" s="35">
        <v>4.0651999999999999</v>
      </c>
      <c r="Z56" s="35">
        <v>5.4924999999999997</v>
      </c>
      <c r="AA56" s="35">
        <v>12.106</v>
      </c>
    </row>
    <row r="57" spans="1:27" ht="15.75" hidden="1" customHeight="1" x14ac:dyDescent="0.2">
      <c r="A57" s="2"/>
      <c r="B57" s="31">
        <v>52</v>
      </c>
      <c r="C57" s="36" t="s">
        <v>75</v>
      </c>
      <c r="D57" s="36" t="s">
        <v>100</v>
      </c>
      <c r="E57" s="36" t="s">
        <v>101</v>
      </c>
      <c r="F57" s="36" t="s">
        <v>201</v>
      </c>
      <c r="G57" s="36" t="s">
        <v>202</v>
      </c>
      <c r="H57" s="37" t="s">
        <v>95</v>
      </c>
      <c r="I57" s="37" t="s">
        <v>81</v>
      </c>
      <c r="J57" s="37" t="s">
        <v>82</v>
      </c>
      <c r="K57" s="37" t="s">
        <v>87</v>
      </c>
      <c r="L57" s="36" t="s">
        <v>84</v>
      </c>
      <c r="M57" s="34">
        <v>4140.6499999999996</v>
      </c>
      <c r="N57" s="34">
        <v>389.82</v>
      </c>
      <c r="O57" s="34">
        <v>3750.83</v>
      </c>
      <c r="P57" s="34">
        <v>479.27</v>
      </c>
      <c r="Q57" s="34">
        <v>203.62</v>
      </c>
      <c r="R57" s="34">
        <v>203.62</v>
      </c>
      <c r="S57" s="34">
        <v>202.95</v>
      </c>
      <c r="T57" s="34">
        <v>210.49</v>
      </c>
      <c r="U57" s="34">
        <v>2143.3000000000002</v>
      </c>
      <c r="V57" s="34">
        <v>6.77</v>
      </c>
      <c r="W57" s="34">
        <v>0.66</v>
      </c>
      <c r="X57" s="34">
        <v>0.1</v>
      </c>
      <c r="Y57" s="35">
        <v>8.8961000000000006</v>
      </c>
      <c r="Z57" s="35">
        <v>9.8207000000000004</v>
      </c>
      <c r="AA57" s="35">
        <v>76.857799999999997</v>
      </c>
    </row>
    <row r="58" spans="1:27" ht="15.75" hidden="1" customHeight="1" x14ac:dyDescent="0.2">
      <c r="A58" s="2"/>
      <c r="B58" s="31">
        <v>53</v>
      </c>
      <c r="C58" s="36" t="s">
        <v>75</v>
      </c>
      <c r="D58" s="36" t="s">
        <v>76</v>
      </c>
      <c r="E58" s="36" t="s">
        <v>77</v>
      </c>
      <c r="F58" s="36" t="s">
        <v>203</v>
      </c>
      <c r="G58" s="36" t="s">
        <v>204</v>
      </c>
      <c r="H58" s="37" t="s">
        <v>80</v>
      </c>
      <c r="I58" s="37" t="s">
        <v>81</v>
      </c>
      <c r="J58" s="37" t="s">
        <v>82</v>
      </c>
      <c r="K58" s="37" t="s">
        <v>87</v>
      </c>
      <c r="L58" s="36" t="s">
        <v>84</v>
      </c>
      <c r="M58" s="34">
        <v>11712.63</v>
      </c>
      <c r="N58" s="34">
        <v>2580.14</v>
      </c>
      <c r="O58" s="34">
        <v>9132.49</v>
      </c>
      <c r="P58" s="34">
        <v>4934.2700000000004</v>
      </c>
      <c r="Q58" s="34">
        <v>512.91</v>
      </c>
      <c r="R58" s="34">
        <v>384.55</v>
      </c>
      <c r="S58" s="34">
        <v>374.94</v>
      </c>
      <c r="T58" s="34">
        <v>294.29000000000002</v>
      </c>
      <c r="U58" s="34">
        <v>2568.5100000000002</v>
      </c>
      <c r="V58" s="34">
        <v>12.88</v>
      </c>
      <c r="W58" s="34">
        <v>1.48</v>
      </c>
      <c r="X58" s="34">
        <v>0.28000000000000003</v>
      </c>
      <c r="Y58" s="35">
        <v>8.9336000000000002</v>
      </c>
      <c r="Z58" s="35">
        <v>11.4575</v>
      </c>
      <c r="AA58" s="35">
        <v>21.2059</v>
      </c>
    </row>
    <row r="59" spans="1:27" ht="15.75" hidden="1" customHeight="1" x14ac:dyDescent="0.2">
      <c r="A59" s="2"/>
      <c r="B59" s="31">
        <v>54</v>
      </c>
      <c r="C59" s="36" t="s">
        <v>75</v>
      </c>
      <c r="D59" s="36" t="s">
        <v>161</v>
      </c>
      <c r="E59" s="36" t="s">
        <v>162</v>
      </c>
      <c r="F59" s="36" t="s">
        <v>205</v>
      </c>
      <c r="G59" s="36" t="s">
        <v>206</v>
      </c>
      <c r="H59" s="37" t="s">
        <v>80</v>
      </c>
      <c r="I59" s="37" t="s">
        <v>81</v>
      </c>
      <c r="J59" s="37" t="s">
        <v>82</v>
      </c>
      <c r="K59" s="37" t="s">
        <v>87</v>
      </c>
      <c r="L59" s="36" t="s">
        <v>84</v>
      </c>
      <c r="M59" s="34">
        <v>131037.97</v>
      </c>
      <c r="N59" s="34">
        <v>93630.82</v>
      </c>
      <c r="O59" s="34">
        <v>37407.15</v>
      </c>
      <c r="P59" s="34">
        <v>18477.21</v>
      </c>
      <c r="Q59" s="34">
        <v>2961.69</v>
      </c>
      <c r="R59" s="34">
        <v>688.53</v>
      </c>
      <c r="S59" s="34">
        <v>603.6</v>
      </c>
      <c r="T59" s="34">
        <v>129.11000000000001</v>
      </c>
      <c r="U59" s="34">
        <v>1488.18</v>
      </c>
      <c r="V59" s="34">
        <v>10.61</v>
      </c>
      <c r="W59" s="34">
        <v>0.92</v>
      </c>
      <c r="X59" s="34">
        <v>2.5</v>
      </c>
      <c r="Y59" s="35">
        <v>2.4765999999999999</v>
      </c>
      <c r="Z59" s="35">
        <v>8.6757000000000009</v>
      </c>
      <c r="AA59" s="35">
        <v>17.5641</v>
      </c>
    </row>
    <row r="60" spans="1:27" ht="15.75" hidden="1" customHeight="1" x14ac:dyDescent="0.2">
      <c r="A60" s="2"/>
      <c r="B60" s="31">
        <v>55</v>
      </c>
      <c r="C60" s="36" t="s">
        <v>75</v>
      </c>
      <c r="D60" s="36" t="s">
        <v>111</v>
      </c>
      <c r="E60" s="36" t="s">
        <v>112</v>
      </c>
      <c r="F60" s="36" t="s">
        <v>207</v>
      </c>
      <c r="G60" s="36" t="s">
        <v>208</v>
      </c>
      <c r="H60" s="37" t="s">
        <v>80</v>
      </c>
      <c r="I60" s="37" t="s">
        <v>81</v>
      </c>
      <c r="J60" s="37" t="s">
        <v>82</v>
      </c>
      <c r="K60" s="37" t="s">
        <v>87</v>
      </c>
      <c r="L60" s="36" t="s">
        <v>84</v>
      </c>
      <c r="M60" s="34">
        <v>477.41</v>
      </c>
      <c r="N60" s="34">
        <v>179.13</v>
      </c>
      <c r="O60" s="34">
        <v>298.27999999999997</v>
      </c>
      <c r="P60" s="34">
        <v>200.05</v>
      </c>
      <c r="Q60" s="34">
        <v>36.770000000000003</v>
      </c>
      <c r="R60" s="34">
        <v>29.54</v>
      </c>
      <c r="S60" s="34">
        <v>29.54</v>
      </c>
      <c r="T60" s="34">
        <v>14.76</v>
      </c>
      <c r="U60" s="34">
        <v>91.78</v>
      </c>
      <c r="V60" s="34">
        <v>23.72</v>
      </c>
      <c r="W60" s="34">
        <v>3.81</v>
      </c>
      <c r="X60" s="34">
        <v>0.6</v>
      </c>
      <c r="Y60" s="35">
        <v>10.0464</v>
      </c>
      <c r="Z60" s="35">
        <v>16.079499999999999</v>
      </c>
      <c r="AA60" s="35">
        <v>23.975300000000001</v>
      </c>
    </row>
    <row r="61" spans="1:27" ht="15.75" hidden="1" customHeight="1" x14ac:dyDescent="0.2">
      <c r="A61" s="2"/>
      <c r="B61" s="31">
        <v>56</v>
      </c>
      <c r="C61" s="36" t="s">
        <v>75</v>
      </c>
      <c r="D61" s="36" t="s">
        <v>96</v>
      </c>
      <c r="E61" s="36" t="s">
        <v>97</v>
      </c>
      <c r="F61" s="36" t="s">
        <v>209</v>
      </c>
      <c r="G61" s="36" t="s">
        <v>210</v>
      </c>
      <c r="H61" s="37" t="s">
        <v>95</v>
      </c>
      <c r="I61" s="37" t="s">
        <v>81</v>
      </c>
      <c r="J61" s="37" t="s">
        <v>82</v>
      </c>
      <c r="K61" s="37" t="s">
        <v>87</v>
      </c>
      <c r="L61" s="36" t="s">
        <v>84</v>
      </c>
      <c r="M61" s="34">
        <v>476.27</v>
      </c>
      <c r="N61" s="34">
        <v>975.19</v>
      </c>
      <c r="O61" s="34">
        <v>-498.92</v>
      </c>
      <c r="P61" s="34">
        <v>260.39</v>
      </c>
      <c r="Q61" s="34">
        <v>1.03</v>
      </c>
      <c r="R61" s="34">
        <v>0.93</v>
      </c>
      <c r="S61" s="34">
        <v>0.93</v>
      </c>
      <c r="T61" s="34">
        <v>-2.11</v>
      </c>
      <c r="U61" s="34">
        <v>-15.67</v>
      </c>
      <c r="V61" s="34">
        <v>-12.33</v>
      </c>
      <c r="W61" s="34">
        <v>-1.66</v>
      </c>
      <c r="X61" s="34">
        <v>-1.95</v>
      </c>
      <c r="Y61" s="35">
        <v>-14.1004</v>
      </c>
      <c r="Z61" s="35" t="s">
        <v>95</v>
      </c>
      <c r="AA61" s="35">
        <v>-25.790800000000001</v>
      </c>
    </row>
    <row r="62" spans="1:27" ht="15.75" hidden="1" customHeight="1" x14ac:dyDescent="0.2">
      <c r="A62" s="2"/>
      <c r="B62" s="31">
        <v>57</v>
      </c>
      <c r="C62" s="36" t="s">
        <v>75</v>
      </c>
      <c r="D62" s="36" t="s">
        <v>111</v>
      </c>
      <c r="E62" s="36" t="s">
        <v>112</v>
      </c>
      <c r="F62" s="36" t="s">
        <v>211</v>
      </c>
      <c r="G62" s="36" t="s">
        <v>212</v>
      </c>
      <c r="H62" s="37" t="s">
        <v>80</v>
      </c>
      <c r="I62" s="37" t="s">
        <v>81</v>
      </c>
      <c r="J62" s="37" t="s">
        <v>82</v>
      </c>
      <c r="K62" s="37" t="s">
        <v>83</v>
      </c>
      <c r="L62" s="36" t="s">
        <v>90</v>
      </c>
      <c r="M62" s="34">
        <v>3565.4</v>
      </c>
      <c r="N62" s="34">
        <v>699.77</v>
      </c>
      <c r="O62" s="34">
        <v>2865.63</v>
      </c>
      <c r="P62" s="34">
        <v>1291.53</v>
      </c>
      <c r="Q62" s="34">
        <v>179.85</v>
      </c>
      <c r="R62" s="34">
        <v>142.44999999999999</v>
      </c>
      <c r="S62" s="34">
        <v>140.99</v>
      </c>
      <c r="T62" s="34">
        <v>140.38999999999999</v>
      </c>
      <c r="U62" s="34">
        <v>1298.83</v>
      </c>
      <c r="V62" s="34">
        <v>12.04</v>
      </c>
      <c r="W62" s="34">
        <v>1.3</v>
      </c>
      <c r="X62" s="34">
        <v>0.24</v>
      </c>
      <c r="Y62" s="35">
        <v>8.6873000000000005</v>
      </c>
      <c r="Z62" s="35">
        <v>10.8087</v>
      </c>
      <c r="AA62" s="35">
        <v>23.982299999999999</v>
      </c>
    </row>
    <row r="63" spans="1:27" ht="15.75" hidden="1" customHeight="1" x14ac:dyDescent="0.2">
      <c r="A63" s="2"/>
      <c r="B63" s="31">
        <v>58</v>
      </c>
      <c r="C63" s="36" t="s">
        <v>75</v>
      </c>
      <c r="D63" s="36" t="s">
        <v>96</v>
      </c>
      <c r="E63" s="36" t="s">
        <v>97</v>
      </c>
      <c r="F63" s="36" t="s">
        <v>213</v>
      </c>
      <c r="G63" s="36" t="s">
        <v>214</v>
      </c>
      <c r="H63" s="37" t="s">
        <v>80</v>
      </c>
      <c r="I63" s="37" t="s">
        <v>81</v>
      </c>
      <c r="J63" s="37" t="s">
        <v>82</v>
      </c>
      <c r="K63" s="37" t="s">
        <v>83</v>
      </c>
      <c r="L63" s="36" t="s">
        <v>84</v>
      </c>
      <c r="M63" s="34">
        <v>104152.56</v>
      </c>
      <c r="N63" s="34">
        <v>47906.71</v>
      </c>
      <c r="O63" s="34">
        <v>56245.85</v>
      </c>
      <c r="P63" s="34">
        <v>31452.31</v>
      </c>
      <c r="Q63" s="34">
        <v>4386.4799999999996</v>
      </c>
      <c r="R63" s="34">
        <v>3470.89</v>
      </c>
      <c r="S63" s="34">
        <v>2344.14</v>
      </c>
      <c r="T63" s="34">
        <v>196.79</v>
      </c>
      <c r="U63" s="34">
        <v>2320.23</v>
      </c>
      <c r="V63" s="34">
        <v>8.59</v>
      </c>
      <c r="W63" s="34">
        <v>0.73</v>
      </c>
      <c r="X63" s="34">
        <v>0.85</v>
      </c>
      <c r="Y63" s="35">
        <v>4.5803000000000003</v>
      </c>
      <c r="Z63" s="35">
        <v>8.4815000000000005</v>
      </c>
      <c r="AA63" s="35">
        <v>15.167299999999999</v>
      </c>
    </row>
    <row r="64" spans="1:27" ht="15.75" hidden="1" customHeight="1" x14ac:dyDescent="0.2">
      <c r="A64" s="2"/>
      <c r="B64" s="31">
        <v>59</v>
      </c>
      <c r="C64" s="36" t="s">
        <v>75</v>
      </c>
      <c r="D64" s="36" t="s">
        <v>111</v>
      </c>
      <c r="E64" s="36" t="s">
        <v>112</v>
      </c>
      <c r="F64" s="36" t="s">
        <v>215</v>
      </c>
      <c r="G64" s="36" t="s">
        <v>216</v>
      </c>
      <c r="H64" s="37" t="s">
        <v>80</v>
      </c>
      <c r="I64" s="37" t="s">
        <v>81</v>
      </c>
      <c r="J64" s="37" t="s">
        <v>82</v>
      </c>
      <c r="K64" s="37" t="s">
        <v>87</v>
      </c>
      <c r="L64" s="36" t="s">
        <v>84</v>
      </c>
      <c r="M64" s="34">
        <v>758.18</v>
      </c>
      <c r="N64" s="34">
        <v>486.15</v>
      </c>
      <c r="O64" s="34">
        <v>272.02999999999997</v>
      </c>
      <c r="P64" s="34">
        <v>257.73</v>
      </c>
      <c r="Q64" s="34">
        <v>21.73</v>
      </c>
      <c r="R64" s="34">
        <v>15.87</v>
      </c>
      <c r="S64" s="34">
        <v>9.51</v>
      </c>
      <c r="T64" s="34">
        <v>27.99</v>
      </c>
      <c r="U64" s="34">
        <v>226.7</v>
      </c>
      <c r="V64" s="34">
        <v>21.26</v>
      </c>
      <c r="W64" s="34">
        <v>2.62</v>
      </c>
      <c r="X64" s="34">
        <v>1.79</v>
      </c>
      <c r="Y64" s="35">
        <v>4.4295999999999998</v>
      </c>
      <c r="Z64" s="35">
        <v>12.345800000000001</v>
      </c>
      <c r="AA64" s="35">
        <v>13.030799999999999</v>
      </c>
    </row>
    <row r="65" spans="1:27" ht="15.75" hidden="1" customHeight="1" x14ac:dyDescent="0.2">
      <c r="A65" s="2"/>
      <c r="B65" s="31">
        <v>60</v>
      </c>
      <c r="C65" s="36" t="s">
        <v>75</v>
      </c>
      <c r="D65" s="36" t="s">
        <v>100</v>
      </c>
      <c r="E65" s="36" t="s">
        <v>101</v>
      </c>
      <c r="F65" s="36" t="s">
        <v>217</v>
      </c>
      <c r="G65" s="36" t="s">
        <v>218</v>
      </c>
      <c r="H65" s="37" t="s">
        <v>80</v>
      </c>
      <c r="I65" s="37" t="s">
        <v>81</v>
      </c>
      <c r="J65" s="37" t="s">
        <v>82</v>
      </c>
      <c r="K65" s="37" t="s">
        <v>87</v>
      </c>
      <c r="L65" s="36" t="s">
        <v>84</v>
      </c>
      <c r="M65" s="34">
        <v>1464.97</v>
      </c>
      <c r="N65" s="34">
        <v>316.44</v>
      </c>
      <c r="O65" s="34">
        <v>1148.53</v>
      </c>
      <c r="P65" s="34">
        <v>545.94000000000005</v>
      </c>
      <c r="Q65" s="34">
        <v>78.83</v>
      </c>
      <c r="R65" s="34">
        <v>73.459999999999994</v>
      </c>
      <c r="S65" s="34">
        <v>73.459999999999994</v>
      </c>
      <c r="T65" s="34">
        <v>160.76</v>
      </c>
      <c r="U65" s="34">
        <v>774.8</v>
      </c>
      <c r="V65" s="34">
        <v>8.4</v>
      </c>
      <c r="W65" s="34">
        <v>1.74</v>
      </c>
      <c r="X65" s="34">
        <v>0.28000000000000003</v>
      </c>
      <c r="Y65" s="35">
        <v>16.267199999999999</v>
      </c>
      <c r="Z65" s="35">
        <v>20.749099999999999</v>
      </c>
      <c r="AA65" s="35">
        <v>43.651499999999999</v>
      </c>
    </row>
    <row r="66" spans="1:27" ht="15.75" hidden="1" customHeight="1" x14ac:dyDescent="0.2">
      <c r="A66" s="2"/>
      <c r="B66" s="31">
        <v>61</v>
      </c>
      <c r="C66" s="36" t="s">
        <v>75</v>
      </c>
      <c r="D66" s="36" t="s">
        <v>100</v>
      </c>
      <c r="E66" s="36" t="s">
        <v>101</v>
      </c>
      <c r="F66" s="36" t="s">
        <v>219</v>
      </c>
      <c r="G66" s="36" t="s">
        <v>220</v>
      </c>
      <c r="H66" s="37" t="s">
        <v>80</v>
      </c>
      <c r="I66" s="37" t="s">
        <v>81</v>
      </c>
      <c r="J66" s="37" t="s">
        <v>82</v>
      </c>
      <c r="K66" s="37" t="s">
        <v>87</v>
      </c>
      <c r="L66" s="36" t="s">
        <v>84</v>
      </c>
      <c r="M66" s="34">
        <v>3000.44</v>
      </c>
      <c r="N66" s="34">
        <v>449</v>
      </c>
      <c r="O66" s="34">
        <v>2551.4299999999998</v>
      </c>
      <c r="P66" s="34">
        <v>469.85</v>
      </c>
      <c r="Q66" s="34">
        <v>33.409999999999997</v>
      </c>
      <c r="R66" s="34">
        <v>25.46</v>
      </c>
      <c r="S66" s="34">
        <v>24.9</v>
      </c>
      <c r="T66" s="34">
        <v>18.809999999999999</v>
      </c>
      <c r="U66" s="34">
        <v>471</v>
      </c>
      <c r="V66" s="34">
        <v>18.5</v>
      </c>
      <c r="W66" s="34">
        <v>0.74</v>
      </c>
      <c r="X66" s="34">
        <v>0.18</v>
      </c>
      <c r="Y66" s="35">
        <v>3.3967000000000001</v>
      </c>
      <c r="Z66" s="35">
        <v>3.9944000000000002</v>
      </c>
      <c r="AA66" s="35">
        <v>21.690999999999999</v>
      </c>
    </row>
    <row r="67" spans="1:27" ht="15.75" hidden="1" customHeight="1" x14ac:dyDescent="0.2">
      <c r="A67" s="2"/>
      <c r="B67" s="31">
        <v>62</v>
      </c>
      <c r="C67" s="36" t="s">
        <v>75</v>
      </c>
      <c r="D67" s="36" t="s">
        <v>76</v>
      </c>
      <c r="E67" s="36" t="s">
        <v>77</v>
      </c>
      <c r="F67" s="36" t="s">
        <v>221</v>
      </c>
      <c r="G67" s="36" t="s">
        <v>222</v>
      </c>
      <c r="H67" s="37" t="s">
        <v>80</v>
      </c>
      <c r="I67" s="37" t="s">
        <v>81</v>
      </c>
      <c r="J67" s="37" t="s">
        <v>82</v>
      </c>
      <c r="K67" s="37" t="s">
        <v>87</v>
      </c>
      <c r="L67" s="36" t="s">
        <v>84</v>
      </c>
      <c r="M67" s="34">
        <v>42680.94</v>
      </c>
      <c r="N67" s="34">
        <v>22895.81</v>
      </c>
      <c r="O67" s="34">
        <v>19785.13</v>
      </c>
      <c r="P67" s="34">
        <v>20452.39</v>
      </c>
      <c r="Q67" s="34">
        <v>1095.48</v>
      </c>
      <c r="R67" s="34">
        <v>839.9</v>
      </c>
      <c r="S67" s="34">
        <v>833.04</v>
      </c>
      <c r="T67" s="34">
        <v>338.86</v>
      </c>
      <c r="U67" s="34">
        <v>1717.36</v>
      </c>
      <c r="V67" s="34">
        <v>6.93</v>
      </c>
      <c r="W67" s="34">
        <v>1.37</v>
      </c>
      <c r="X67" s="34">
        <v>1.1599999999999999</v>
      </c>
      <c r="Y67" s="35">
        <v>9.1468000000000007</v>
      </c>
      <c r="Z67" s="35">
        <v>19.7316</v>
      </c>
      <c r="AA67" s="35">
        <v>19.087900000000001</v>
      </c>
    </row>
    <row r="68" spans="1:27" ht="15.75" hidden="1" customHeight="1" x14ac:dyDescent="0.2">
      <c r="A68" s="2"/>
      <c r="B68" s="31">
        <v>63</v>
      </c>
      <c r="C68" s="36" t="s">
        <v>75</v>
      </c>
      <c r="D68" s="36" t="s">
        <v>100</v>
      </c>
      <c r="E68" s="36" t="s">
        <v>101</v>
      </c>
      <c r="F68" s="36" t="s">
        <v>223</v>
      </c>
      <c r="G68" s="36" t="s">
        <v>224</v>
      </c>
      <c r="H68" s="37" t="s">
        <v>80</v>
      </c>
      <c r="I68" s="37" t="s">
        <v>81</v>
      </c>
      <c r="J68" s="37" t="s">
        <v>82</v>
      </c>
      <c r="K68" s="37" t="s">
        <v>87</v>
      </c>
      <c r="L68" s="36" t="s">
        <v>84</v>
      </c>
      <c r="M68" s="34">
        <v>517.5</v>
      </c>
      <c r="N68" s="34">
        <v>179.23</v>
      </c>
      <c r="O68" s="34">
        <v>338.27</v>
      </c>
      <c r="P68" s="34">
        <v>100.73</v>
      </c>
      <c r="Q68" s="34">
        <v>0.36</v>
      </c>
      <c r="R68" s="34">
        <v>0.36</v>
      </c>
      <c r="S68" s="34">
        <v>0.4</v>
      </c>
      <c r="T68" s="34">
        <v>2.46</v>
      </c>
      <c r="U68" s="34">
        <v>614.85</v>
      </c>
      <c r="V68" s="34">
        <v>166.1</v>
      </c>
      <c r="W68" s="34">
        <v>0.66</v>
      </c>
      <c r="X68" s="34">
        <v>0.53</v>
      </c>
      <c r="Y68" s="35">
        <v>0.2611</v>
      </c>
      <c r="Z68" s="35">
        <v>0.39950000000000002</v>
      </c>
      <c r="AA68" s="35">
        <v>1.3415999999999999</v>
      </c>
    </row>
    <row r="69" spans="1:27" ht="15.75" hidden="1" customHeight="1" x14ac:dyDescent="0.2">
      <c r="A69" s="2"/>
      <c r="B69" s="31">
        <v>64</v>
      </c>
      <c r="C69" s="36" t="s">
        <v>75</v>
      </c>
      <c r="D69" s="36" t="s">
        <v>111</v>
      </c>
      <c r="E69" s="36" t="s">
        <v>112</v>
      </c>
      <c r="F69" s="36" t="s">
        <v>225</v>
      </c>
      <c r="G69" s="36" t="s">
        <v>226</v>
      </c>
      <c r="H69" s="37" t="s">
        <v>80</v>
      </c>
      <c r="I69" s="37" t="s">
        <v>81</v>
      </c>
      <c r="J69" s="37" t="s">
        <v>82</v>
      </c>
      <c r="K69" s="37" t="s">
        <v>87</v>
      </c>
      <c r="L69" s="36" t="s">
        <v>84</v>
      </c>
      <c r="M69" s="34">
        <v>19690.22</v>
      </c>
      <c r="N69" s="34">
        <v>15777.33</v>
      </c>
      <c r="O69" s="34">
        <v>3912.89</v>
      </c>
      <c r="P69" s="34">
        <v>5698.87</v>
      </c>
      <c r="Q69" s="34">
        <v>81.12</v>
      </c>
      <c r="R69" s="34">
        <v>20.87</v>
      </c>
      <c r="S69" s="34">
        <v>17.46</v>
      </c>
      <c r="T69" s="34">
        <v>15.12</v>
      </c>
      <c r="U69" s="34">
        <v>387.95</v>
      </c>
      <c r="V69" s="34">
        <v>447.98</v>
      </c>
      <c r="W69" s="34">
        <v>17.46</v>
      </c>
      <c r="X69" s="34">
        <v>4.03</v>
      </c>
      <c r="Y69" s="35">
        <v>0.77470000000000006</v>
      </c>
      <c r="Z69" s="35">
        <v>3.8982999999999999</v>
      </c>
      <c r="AA69" s="35">
        <v>2.6766000000000001</v>
      </c>
    </row>
    <row r="70" spans="1:27" ht="15.75" hidden="1" customHeight="1" x14ac:dyDescent="0.2">
      <c r="A70" s="2"/>
      <c r="B70" s="31">
        <v>65</v>
      </c>
      <c r="C70" s="36" t="s">
        <v>75</v>
      </c>
      <c r="D70" s="36" t="s">
        <v>96</v>
      </c>
      <c r="E70" s="36" t="s">
        <v>97</v>
      </c>
      <c r="F70" s="36" t="s">
        <v>227</v>
      </c>
      <c r="G70" s="36" t="s">
        <v>228</v>
      </c>
      <c r="H70" s="37" t="s">
        <v>80</v>
      </c>
      <c r="I70" s="37" t="s">
        <v>81</v>
      </c>
      <c r="J70" s="37" t="s">
        <v>82</v>
      </c>
      <c r="K70" s="37" t="s">
        <v>87</v>
      </c>
      <c r="L70" s="36" t="s">
        <v>84</v>
      </c>
      <c r="M70" s="34">
        <v>6724.33</v>
      </c>
      <c r="N70" s="34">
        <v>3085.11</v>
      </c>
      <c r="O70" s="34">
        <v>3639.22</v>
      </c>
      <c r="P70" s="34">
        <v>2071.65</v>
      </c>
      <c r="Q70" s="34">
        <v>390.49</v>
      </c>
      <c r="R70" s="34">
        <v>249.42</v>
      </c>
      <c r="S70" s="34">
        <v>184.3</v>
      </c>
      <c r="T70" s="34">
        <v>85.85</v>
      </c>
      <c r="U70" s="34">
        <v>860.93</v>
      </c>
      <c r="V70" s="34">
        <v>36.93</v>
      </c>
      <c r="W70" s="34">
        <v>3.68</v>
      </c>
      <c r="X70" s="34">
        <v>0.85</v>
      </c>
      <c r="Y70" s="35">
        <v>5.3967000000000001</v>
      </c>
      <c r="Z70" s="35">
        <v>9.9717000000000002</v>
      </c>
      <c r="AA70" s="35">
        <v>17.516999999999999</v>
      </c>
    </row>
    <row r="71" spans="1:27" ht="15.75" hidden="1" customHeight="1" x14ac:dyDescent="0.2">
      <c r="A71" s="2"/>
      <c r="B71" s="31">
        <v>66</v>
      </c>
      <c r="C71" s="36" t="s">
        <v>75</v>
      </c>
      <c r="D71" s="36" t="s">
        <v>161</v>
      </c>
      <c r="E71" s="36" t="s">
        <v>162</v>
      </c>
      <c r="F71" s="36" t="s">
        <v>229</v>
      </c>
      <c r="G71" s="36" t="s">
        <v>230</v>
      </c>
      <c r="H71" s="37" t="s">
        <v>80</v>
      </c>
      <c r="I71" s="37" t="s">
        <v>81</v>
      </c>
      <c r="J71" s="37" t="s">
        <v>82</v>
      </c>
      <c r="K71" s="37" t="s">
        <v>87</v>
      </c>
      <c r="L71" s="36" t="s">
        <v>84</v>
      </c>
      <c r="M71" s="34">
        <v>1039.58</v>
      </c>
      <c r="N71" s="34">
        <v>361.79</v>
      </c>
      <c r="O71" s="34">
        <v>677.78</v>
      </c>
      <c r="P71" s="34">
        <v>408.25</v>
      </c>
      <c r="Q71" s="34">
        <v>213.15</v>
      </c>
      <c r="R71" s="34">
        <v>125.07</v>
      </c>
      <c r="S71" s="34">
        <v>124.14</v>
      </c>
      <c r="T71" s="34">
        <v>84.25</v>
      </c>
      <c r="U71" s="34">
        <v>249.64</v>
      </c>
      <c r="V71" s="34">
        <v>72.7</v>
      </c>
      <c r="W71" s="34">
        <v>24.54</v>
      </c>
      <c r="X71" s="34">
        <v>0.53</v>
      </c>
      <c r="Y71" s="35">
        <v>22.002600000000001</v>
      </c>
      <c r="Z71" s="35">
        <v>33.747500000000002</v>
      </c>
      <c r="AA71" s="35">
        <v>56.027700000000003</v>
      </c>
    </row>
    <row r="72" spans="1:27" ht="15.75" hidden="1" customHeight="1" x14ac:dyDescent="0.2">
      <c r="A72" s="2"/>
      <c r="B72" s="31">
        <v>67</v>
      </c>
      <c r="C72" s="36" t="s">
        <v>75</v>
      </c>
      <c r="D72" s="36" t="s">
        <v>111</v>
      </c>
      <c r="E72" s="36" t="s">
        <v>112</v>
      </c>
      <c r="F72" s="36" t="s">
        <v>231</v>
      </c>
      <c r="G72" s="36" t="s">
        <v>232</v>
      </c>
      <c r="H72" s="37" t="s">
        <v>80</v>
      </c>
      <c r="I72" s="37" t="s">
        <v>81</v>
      </c>
      <c r="J72" s="37" t="s">
        <v>82</v>
      </c>
      <c r="K72" s="37" t="s">
        <v>87</v>
      </c>
      <c r="L72" s="36" t="s">
        <v>84</v>
      </c>
      <c r="M72" s="34">
        <v>105.95</v>
      </c>
      <c r="N72" s="34">
        <v>14.75</v>
      </c>
      <c r="O72" s="34">
        <v>91.2</v>
      </c>
      <c r="P72" s="34">
        <v>147.26</v>
      </c>
      <c r="Q72" s="34">
        <v>4.67</v>
      </c>
      <c r="R72" s="34">
        <v>3.12</v>
      </c>
      <c r="S72" s="34">
        <v>3.13</v>
      </c>
      <c r="T72" s="34">
        <v>2.1800000000000002</v>
      </c>
      <c r="U72" s="34">
        <v>62.5</v>
      </c>
      <c r="V72" s="34">
        <v>46.69</v>
      </c>
      <c r="W72" s="34">
        <v>1.63</v>
      </c>
      <c r="X72" s="34">
        <v>0.16</v>
      </c>
      <c r="Y72" s="35">
        <v>3.0089000000000001</v>
      </c>
      <c r="Z72" s="35">
        <v>3.4956</v>
      </c>
      <c r="AA72" s="35">
        <v>2.1648000000000001</v>
      </c>
    </row>
    <row r="73" spans="1:27" ht="15.75" hidden="1" customHeight="1" x14ac:dyDescent="0.2">
      <c r="A73" s="2"/>
      <c r="B73" s="31">
        <v>68</v>
      </c>
      <c r="C73" s="36" t="s">
        <v>75</v>
      </c>
      <c r="D73" s="36" t="s">
        <v>100</v>
      </c>
      <c r="E73" s="36" t="s">
        <v>101</v>
      </c>
      <c r="F73" s="36" t="s">
        <v>233</v>
      </c>
      <c r="G73" s="36" t="s">
        <v>234</v>
      </c>
      <c r="H73" s="37" t="s">
        <v>80</v>
      </c>
      <c r="I73" s="37" t="s">
        <v>81</v>
      </c>
      <c r="J73" s="37" t="s">
        <v>140</v>
      </c>
      <c r="K73" s="37" t="s">
        <v>104</v>
      </c>
      <c r="L73" s="36" t="s">
        <v>90</v>
      </c>
      <c r="M73" s="34">
        <v>870.43</v>
      </c>
      <c r="N73" s="34">
        <v>16.45</v>
      </c>
      <c r="O73" s="34">
        <v>853.98</v>
      </c>
      <c r="P73" s="34">
        <v>365.9</v>
      </c>
      <c r="Q73" s="34">
        <v>100.96</v>
      </c>
      <c r="R73" s="34">
        <v>95.65</v>
      </c>
      <c r="S73" s="34">
        <v>95.65</v>
      </c>
      <c r="T73" s="34">
        <v>157.02000000000001</v>
      </c>
      <c r="U73" s="34">
        <v>1401.97</v>
      </c>
      <c r="V73" s="34">
        <v>5.41</v>
      </c>
      <c r="W73" s="34">
        <v>0.61</v>
      </c>
      <c r="X73" s="34">
        <v>0.02</v>
      </c>
      <c r="Y73" s="35">
        <v>10.988300000000001</v>
      </c>
      <c r="Z73" s="35">
        <v>11.1999</v>
      </c>
      <c r="AA73" s="35">
        <v>26.139900000000001</v>
      </c>
    </row>
    <row r="74" spans="1:27" ht="15.75" hidden="1" customHeight="1" x14ac:dyDescent="0.2">
      <c r="A74" s="2"/>
      <c r="B74" s="31">
        <v>69</v>
      </c>
      <c r="C74" s="36" t="s">
        <v>75</v>
      </c>
      <c r="D74" s="36" t="s">
        <v>100</v>
      </c>
      <c r="E74" s="36" t="s">
        <v>101</v>
      </c>
      <c r="F74" s="36" t="s">
        <v>235</v>
      </c>
      <c r="G74" s="36" t="s">
        <v>236</v>
      </c>
      <c r="H74" s="37" t="s">
        <v>80</v>
      </c>
      <c r="I74" s="37" t="s">
        <v>81</v>
      </c>
      <c r="J74" s="37" t="s">
        <v>82</v>
      </c>
      <c r="K74" s="37" t="s">
        <v>87</v>
      </c>
      <c r="L74" s="36" t="s">
        <v>84</v>
      </c>
      <c r="M74" s="34">
        <v>2304.6999999999998</v>
      </c>
      <c r="N74" s="34">
        <v>505.41</v>
      </c>
      <c r="O74" s="34">
        <v>1799.3</v>
      </c>
      <c r="P74" s="34">
        <v>575.72</v>
      </c>
      <c r="Q74" s="34">
        <v>117.93</v>
      </c>
      <c r="R74" s="34">
        <v>87.56</v>
      </c>
      <c r="S74" s="34">
        <v>86.15</v>
      </c>
      <c r="T74" s="34">
        <v>56.69</v>
      </c>
      <c r="U74" s="34">
        <v>411.27</v>
      </c>
      <c r="V74" s="34">
        <v>32.1</v>
      </c>
      <c r="W74" s="34">
        <v>4.43</v>
      </c>
      <c r="X74" s="34">
        <v>0.28000000000000003</v>
      </c>
      <c r="Y74" s="35">
        <v>10.7613</v>
      </c>
      <c r="Z74" s="35">
        <v>13.7841</v>
      </c>
      <c r="AA74" s="35">
        <v>43.079500000000003</v>
      </c>
    </row>
    <row r="75" spans="1:27" ht="15.75" hidden="1" customHeight="1" x14ac:dyDescent="0.2">
      <c r="A75" s="2"/>
      <c r="B75" s="31">
        <v>70</v>
      </c>
      <c r="C75" s="36" t="s">
        <v>75</v>
      </c>
      <c r="D75" s="36" t="s">
        <v>111</v>
      </c>
      <c r="E75" s="36" t="s">
        <v>112</v>
      </c>
      <c r="F75" s="36" t="s">
        <v>237</v>
      </c>
      <c r="G75" s="36" t="s">
        <v>238</v>
      </c>
      <c r="H75" s="37" t="s">
        <v>80</v>
      </c>
      <c r="I75" s="37" t="s">
        <v>81</v>
      </c>
      <c r="J75" s="37" t="s">
        <v>82</v>
      </c>
      <c r="K75" s="37" t="s">
        <v>87</v>
      </c>
      <c r="L75" s="36" t="s">
        <v>84</v>
      </c>
      <c r="M75" s="34">
        <v>560.59</v>
      </c>
      <c r="N75" s="34">
        <v>388.61</v>
      </c>
      <c r="O75" s="34">
        <v>171.98</v>
      </c>
      <c r="P75" s="34">
        <v>95.81</v>
      </c>
      <c r="Q75" s="34">
        <v>-71.09</v>
      </c>
      <c r="R75" s="34">
        <v>-55.6</v>
      </c>
      <c r="S75" s="34">
        <v>-55.6</v>
      </c>
      <c r="T75" s="34">
        <v>-51.07</v>
      </c>
      <c r="U75" s="34">
        <v>137.59</v>
      </c>
      <c r="V75" s="34">
        <v>-4.46</v>
      </c>
      <c r="W75" s="34">
        <v>1.66</v>
      </c>
      <c r="X75" s="34">
        <v>2.2599999999999998</v>
      </c>
      <c r="Y75" s="35">
        <v>-11.388</v>
      </c>
      <c r="Z75" s="35">
        <v>-37.120199999999997</v>
      </c>
      <c r="AA75" s="35">
        <v>-66.631100000000004</v>
      </c>
    </row>
    <row r="76" spans="1:27" ht="15.75" hidden="1" customHeight="1" x14ac:dyDescent="0.2">
      <c r="A76" s="2"/>
      <c r="B76" s="31">
        <v>71</v>
      </c>
      <c r="C76" s="36" t="s">
        <v>75</v>
      </c>
      <c r="D76" s="36" t="s">
        <v>111</v>
      </c>
      <c r="E76" s="36" t="s">
        <v>112</v>
      </c>
      <c r="F76" s="36" t="s">
        <v>239</v>
      </c>
      <c r="G76" s="36" t="s">
        <v>240</v>
      </c>
      <c r="H76" s="37" t="s">
        <v>80</v>
      </c>
      <c r="I76" s="37" t="s">
        <v>81</v>
      </c>
      <c r="J76" s="37" t="s">
        <v>82</v>
      </c>
      <c r="K76" s="37" t="s">
        <v>87</v>
      </c>
      <c r="L76" s="36" t="s">
        <v>84</v>
      </c>
      <c r="M76" s="34">
        <v>1418.05</v>
      </c>
      <c r="N76" s="34">
        <v>854.66</v>
      </c>
      <c r="O76" s="34">
        <v>563.39</v>
      </c>
      <c r="P76" s="34">
        <v>945.04</v>
      </c>
      <c r="Q76" s="34">
        <v>12.57</v>
      </c>
      <c r="R76" s="34">
        <v>7.98</v>
      </c>
      <c r="S76" s="34">
        <v>7.98</v>
      </c>
      <c r="T76" s="34">
        <v>19.13</v>
      </c>
      <c r="U76" s="34">
        <v>731.68</v>
      </c>
      <c r="V76" s="34">
        <v>10.4</v>
      </c>
      <c r="W76" s="34">
        <v>0.27</v>
      </c>
      <c r="X76" s="34">
        <v>1.52</v>
      </c>
      <c r="Y76" s="35">
        <v>1.0386</v>
      </c>
      <c r="Z76" s="35">
        <v>2.6141999999999999</v>
      </c>
      <c r="AA76" s="35">
        <v>1.5585</v>
      </c>
    </row>
    <row r="77" spans="1:27" ht="15.75" hidden="1" customHeight="1" x14ac:dyDescent="0.2">
      <c r="A77" s="2"/>
      <c r="B77" s="31">
        <v>72</v>
      </c>
      <c r="C77" s="36" t="s">
        <v>75</v>
      </c>
      <c r="D77" s="36" t="s">
        <v>100</v>
      </c>
      <c r="E77" s="36" t="s">
        <v>101</v>
      </c>
      <c r="F77" s="36" t="s">
        <v>241</v>
      </c>
      <c r="G77" s="36" t="s">
        <v>242</v>
      </c>
      <c r="H77" s="37" t="s">
        <v>80</v>
      </c>
      <c r="I77" s="37" t="s">
        <v>81</v>
      </c>
      <c r="J77" s="37" t="s">
        <v>82</v>
      </c>
      <c r="K77" s="37" t="s">
        <v>87</v>
      </c>
      <c r="L77" s="36" t="s">
        <v>84</v>
      </c>
      <c r="M77" s="34">
        <v>5027.6099999999997</v>
      </c>
      <c r="N77" s="34">
        <v>2795.29</v>
      </c>
      <c r="O77" s="34">
        <v>2232.33</v>
      </c>
      <c r="P77" s="34">
        <v>4055.49</v>
      </c>
      <c r="Q77" s="34">
        <v>163.72</v>
      </c>
      <c r="R77" s="34">
        <v>128.16</v>
      </c>
      <c r="S77" s="34">
        <v>126.75</v>
      </c>
      <c r="T77" s="34">
        <v>19.68</v>
      </c>
      <c r="U77" s="34">
        <v>143.22</v>
      </c>
      <c r="V77" s="34">
        <v>16.77</v>
      </c>
      <c r="W77" s="34">
        <v>2.2999999999999998</v>
      </c>
      <c r="X77" s="34">
        <v>1.25</v>
      </c>
      <c r="Y77" s="35">
        <v>6.1010999999999997</v>
      </c>
      <c r="Z77" s="35">
        <v>13.7409</v>
      </c>
      <c r="AA77" s="35">
        <v>7.5636000000000001</v>
      </c>
    </row>
    <row r="78" spans="1:27" ht="15.75" hidden="1" customHeight="1" x14ac:dyDescent="0.2">
      <c r="A78" s="2"/>
      <c r="B78" s="31">
        <v>73</v>
      </c>
      <c r="C78" s="36" t="s">
        <v>75</v>
      </c>
      <c r="D78" s="36" t="s">
        <v>96</v>
      </c>
      <c r="E78" s="36" t="s">
        <v>97</v>
      </c>
      <c r="F78" s="36" t="s">
        <v>243</v>
      </c>
      <c r="G78" s="36" t="s">
        <v>244</v>
      </c>
      <c r="H78" s="37" t="s">
        <v>95</v>
      </c>
      <c r="I78" s="37" t="s">
        <v>81</v>
      </c>
      <c r="J78" s="37" t="s">
        <v>82</v>
      </c>
      <c r="K78" s="37" t="s">
        <v>87</v>
      </c>
      <c r="L78" s="36" t="s">
        <v>84</v>
      </c>
      <c r="M78" s="34">
        <v>7836.33</v>
      </c>
      <c r="N78" s="34">
        <v>4289.45</v>
      </c>
      <c r="O78" s="34">
        <v>3546.88</v>
      </c>
      <c r="P78" s="34">
        <v>1445.13</v>
      </c>
      <c r="Q78" s="34">
        <v>293.58999999999997</v>
      </c>
      <c r="R78" s="34">
        <v>251.77</v>
      </c>
      <c r="S78" s="34">
        <v>200.36</v>
      </c>
      <c r="T78" s="34">
        <v>121.74</v>
      </c>
      <c r="U78" s="34">
        <v>1304.0999999999999</v>
      </c>
      <c r="V78" s="34">
        <v>49.29</v>
      </c>
      <c r="W78" s="34">
        <v>4.5999999999999996</v>
      </c>
      <c r="X78" s="34">
        <v>1.21</v>
      </c>
      <c r="Y78" s="35">
        <v>4.2252000000000001</v>
      </c>
      <c r="Z78" s="35">
        <v>9.3350000000000009</v>
      </c>
      <c r="AA78" s="35">
        <v>22.9116</v>
      </c>
    </row>
    <row r="79" spans="1:27" ht="15.75" hidden="1" customHeight="1" x14ac:dyDescent="0.2">
      <c r="A79" s="2"/>
      <c r="B79" s="31">
        <v>74</v>
      </c>
      <c r="C79" s="36" t="s">
        <v>75</v>
      </c>
      <c r="D79" s="36" t="s">
        <v>111</v>
      </c>
      <c r="E79" s="36" t="s">
        <v>112</v>
      </c>
      <c r="F79" s="36" t="s">
        <v>245</v>
      </c>
      <c r="G79" s="36" t="s">
        <v>246</v>
      </c>
      <c r="H79" s="37" t="s">
        <v>80</v>
      </c>
      <c r="I79" s="37" t="s">
        <v>81</v>
      </c>
      <c r="J79" s="37" t="s">
        <v>82</v>
      </c>
      <c r="K79" s="37" t="s">
        <v>87</v>
      </c>
      <c r="L79" s="36" t="s">
        <v>84</v>
      </c>
      <c r="M79" s="34">
        <v>167.95</v>
      </c>
      <c r="N79" s="34">
        <v>36.43</v>
      </c>
      <c r="O79" s="34">
        <v>131.52000000000001</v>
      </c>
      <c r="P79" s="34">
        <v>73.790000000000006</v>
      </c>
      <c r="Q79" s="34">
        <v>11.07</v>
      </c>
      <c r="R79" s="34">
        <v>9.2799999999999994</v>
      </c>
      <c r="S79" s="34">
        <v>8.4</v>
      </c>
      <c r="T79" s="34">
        <v>12.86</v>
      </c>
      <c r="U79" s="34">
        <v>144.51</v>
      </c>
      <c r="V79" s="34">
        <v>11.35</v>
      </c>
      <c r="W79" s="34">
        <v>1.01</v>
      </c>
      <c r="X79" s="34">
        <v>0.28000000000000003</v>
      </c>
      <c r="Y79" s="35">
        <v>6.9695999999999998</v>
      </c>
      <c r="Z79" s="35">
        <v>8.9</v>
      </c>
      <c r="AA79" s="35">
        <v>15.861700000000001</v>
      </c>
    </row>
    <row r="80" spans="1:27" ht="15.75" hidden="1" customHeight="1" x14ac:dyDescent="0.2">
      <c r="A80" s="2"/>
      <c r="B80" s="31">
        <v>75</v>
      </c>
      <c r="C80" s="36" t="s">
        <v>75</v>
      </c>
      <c r="D80" s="36" t="s">
        <v>76</v>
      </c>
      <c r="E80" s="36" t="s">
        <v>77</v>
      </c>
      <c r="F80" s="36" t="s">
        <v>247</v>
      </c>
      <c r="G80" s="36" t="s">
        <v>248</v>
      </c>
      <c r="H80" s="37" t="s">
        <v>80</v>
      </c>
      <c r="I80" s="37" t="s">
        <v>81</v>
      </c>
      <c r="J80" s="37" t="s">
        <v>82</v>
      </c>
      <c r="K80" s="37" t="s">
        <v>87</v>
      </c>
      <c r="L80" s="36" t="s">
        <v>84</v>
      </c>
      <c r="M80" s="34">
        <v>1624.07</v>
      </c>
      <c r="N80" s="34">
        <v>429.59</v>
      </c>
      <c r="O80" s="34">
        <v>1194.48</v>
      </c>
      <c r="P80" s="34">
        <v>876.39</v>
      </c>
      <c r="Q80" s="34">
        <v>81.36</v>
      </c>
      <c r="R80" s="34">
        <v>63.49</v>
      </c>
      <c r="S80" s="34">
        <v>55.81</v>
      </c>
      <c r="T80" s="34">
        <v>18.18</v>
      </c>
      <c r="U80" s="34">
        <v>348.75</v>
      </c>
      <c r="V80" s="34">
        <v>61.88</v>
      </c>
      <c r="W80" s="34">
        <v>3.23</v>
      </c>
      <c r="X80" s="34">
        <v>0.36</v>
      </c>
      <c r="Y80" s="35">
        <v>3.8340999999999998</v>
      </c>
      <c r="Z80" s="35">
        <v>5.2130999999999998</v>
      </c>
      <c r="AA80" s="35">
        <v>7.1052</v>
      </c>
    </row>
    <row r="81" spans="1:27" ht="15.75" hidden="1" customHeight="1" x14ac:dyDescent="0.2">
      <c r="A81" s="2"/>
      <c r="B81" s="31">
        <v>76</v>
      </c>
      <c r="C81" s="36" t="s">
        <v>75</v>
      </c>
      <c r="D81" s="36" t="s">
        <v>111</v>
      </c>
      <c r="E81" s="36" t="s">
        <v>112</v>
      </c>
      <c r="F81" s="36" t="s">
        <v>249</v>
      </c>
      <c r="G81" s="36" t="s">
        <v>250</v>
      </c>
      <c r="H81" s="37" t="s">
        <v>95</v>
      </c>
      <c r="I81" s="37" t="s">
        <v>81</v>
      </c>
      <c r="J81" s="37" t="s">
        <v>82</v>
      </c>
      <c r="K81" s="37" t="s">
        <v>87</v>
      </c>
      <c r="L81" s="36" t="s">
        <v>84</v>
      </c>
      <c r="M81" s="34">
        <v>664.77</v>
      </c>
      <c r="N81" s="34">
        <v>674</v>
      </c>
      <c r="O81" s="34">
        <v>-9.24</v>
      </c>
      <c r="P81" s="34">
        <v>32.78</v>
      </c>
      <c r="Q81" s="34">
        <v>-28.98</v>
      </c>
      <c r="R81" s="34">
        <v>-28.58</v>
      </c>
      <c r="S81" s="34">
        <v>-28.58</v>
      </c>
      <c r="T81" s="34">
        <v>-6.38</v>
      </c>
      <c r="U81" s="34">
        <v>-0.74</v>
      </c>
      <c r="V81" s="34">
        <v>-7.84</v>
      </c>
      <c r="W81" s="34">
        <v>-67.64</v>
      </c>
      <c r="X81" s="34">
        <v>-72.95</v>
      </c>
      <c r="Y81" s="35">
        <v>-11.994999999999999</v>
      </c>
      <c r="Z81" s="35" t="s">
        <v>95</v>
      </c>
      <c r="AA81" s="35">
        <v>-243.26689999999999</v>
      </c>
    </row>
    <row r="82" spans="1:27" ht="15.75" hidden="1" customHeight="1" x14ac:dyDescent="0.2">
      <c r="A82" s="2"/>
      <c r="B82" s="31">
        <v>77</v>
      </c>
      <c r="C82" s="36" t="s">
        <v>75</v>
      </c>
      <c r="D82" s="36" t="s">
        <v>96</v>
      </c>
      <c r="E82" s="36" t="s">
        <v>97</v>
      </c>
      <c r="F82" s="36" t="s">
        <v>251</v>
      </c>
      <c r="G82" s="36" t="s">
        <v>252</v>
      </c>
      <c r="H82" s="37" t="s">
        <v>80</v>
      </c>
      <c r="I82" s="37" t="s">
        <v>81</v>
      </c>
      <c r="J82" s="37" t="s">
        <v>82</v>
      </c>
      <c r="K82" s="37" t="s">
        <v>87</v>
      </c>
      <c r="L82" s="36" t="s">
        <v>84</v>
      </c>
      <c r="M82" s="34">
        <v>9898.98</v>
      </c>
      <c r="N82" s="34">
        <v>3305.03</v>
      </c>
      <c r="O82" s="34">
        <v>6593.96</v>
      </c>
      <c r="P82" s="34">
        <v>1237.69</v>
      </c>
      <c r="Q82" s="34">
        <v>128.63999999999999</v>
      </c>
      <c r="R82" s="34">
        <v>113.56</v>
      </c>
      <c r="S82" s="34">
        <v>113.48</v>
      </c>
      <c r="T82" s="34">
        <v>33.549999999999997</v>
      </c>
      <c r="U82" s="34">
        <v>934.12</v>
      </c>
      <c r="V82" s="34">
        <v>5.93</v>
      </c>
      <c r="W82" s="34">
        <v>0.21</v>
      </c>
      <c r="X82" s="34">
        <v>0.5</v>
      </c>
      <c r="Y82" s="35">
        <v>2.3927999999999998</v>
      </c>
      <c r="Z82" s="35">
        <v>3.5920999999999998</v>
      </c>
      <c r="AA82" s="35">
        <v>19.1374</v>
      </c>
    </row>
    <row r="83" spans="1:27" ht="15.75" hidden="1" customHeight="1" x14ac:dyDescent="0.2">
      <c r="A83" s="2"/>
      <c r="B83" s="31">
        <v>78</v>
      </c>
      <c r="C83" s="36" t="s">
        <v>75</v>
      </c>
      <c r="D83" s="36" t="s">
        <v>161</v>
      </c>
      <c r="E83" s="36" t="s">
        <v>162</v>
      </c>
      <c r="F83" s="36" t="s">
        <v>253</v>
      </c>
      <c r="G83" s="36" t="s">
        <v>254</v>
      </c>
      <c r="H83" s="37" t="s">
        <v>95</v>
      </c>
      <c r="I83" s="37" t="s">
        <v>255</v>
      </c>
      <c r="J83" s="37" t="s">
        <v>82</v>
      </c>
      <c r="K83" s="37" t="s">
        <v>87</v>
      </c>
      <c r="L83" s="36" t="s">
        <v>84</v>
      </c>
      <c r="M83" s="34">
        <v>7200.64</v>
      </c>
      <c r="N83" s="34">
        <v>4903.1899999999996</v>
      </c>
      <c r="O83" s="34">
        <v>2297.4499999999998</v>
      </c>
      <c r="P83" s="34">
        <v>12.34</v>
      </c>
      <c r="Q83" s="34">
        <v>-22.65</v>
      </c>
      <c r="R83" s="34">
        <v>-20.46</v>
      </c>
      <c r="S83" s="34">
        <v>-20.46</v>
      </c>
      <c r="T83" s="34">
        <v>-10.48</v>
      </c>
      <c r="U83" s="34">
        <v>92.6</v>
      </c>
      <c r="V83" s="34">
        <v>-4.7699999999999996</v>
      </c>
      <c r="W83" s="34">
        <v>0.54</v>
      </c>
      <c r="X83" s="34">
        <v>2.13</v>
      </c>
      <c r="Y83" s="35">
        <v>-3.6122000000000001</v>
      </c>
      <c r="Z83" s="35">
        <v>-11.321199999999999</v>
      </c>
      <c r="AA83" s="35">
        <v>-2108.5657999999999</v>
      </c>
    </row>
    <row r="84" spans="1:27" ht="15.75" hidden="1" customHeight="1" x14ac:dyDescent="0.2">
      <c r="A84" s="2"/>
      <c r="B84" s="31">
        <v>79</v>
      </c>
      <c r="C84" s="36" t="s">
        <v>75</v>
      </c>
      <c r="D84" s="36" t="s">
        <v>111</v>
      </c>
      <c r="E84" s="36" t="s">
        <v>112</v>
      </c>
      <c r="F84" s="36" t="s">
        <v>256</v>
      </c>
      <c r="G84" s="36" t="s">
        <v>257</v>
      </c>
      <c r="H84" s="37" t="s">
        <v>80</v>
      </c>
      <c r="I84" s="37" t="s">
        <v>81</v>
      </c>
      <c r="J84" s="37" t="s">
        <v>82</v>
      </c>
      <c r="K84" s="37" t="s">
        <v>87</v>
      </c>
      <c r="L84" s="36" t="s">
        <v>84</v>
      </c>
      <c r="M84" s="34">
        <v>1111.3399999999999</v>
      </c>
      <c r="N84" s="34">
        <v>358.98</v>
      </c>
      <c r="O84" s="34">
        <v>752.36</v>
      </c>
      <c r="P84" s="34">
        <v>438.17</v>
      </c>
      <c r="Q84" s="34">
        <v>112.17</v>
      </c>
      <c r="R84" s="34">
        <v>89.92</v>
      </c>
      <c r="S84" s="34">
        <v>90.69</v>
      </c>
      <c r="T84" s="34">
        <v>69.42</v>
      </c>
      <c r="U84" s="34">
        <v>300.94</v>
      </c>
      <c r="V84" s="34">
        <v>12.1</v>
      </c>
      <c r="W84" s="34">
        <v>2.79</v>
      </c>
      <c r="X84" s="34">
        <v>0.48</v>
      </c>
      <c r="Y84" s="35">
        <v>15.615399999999999</v>
      </c>
      <c r="Z84" s="35">
        <v>23.066199999999998</v>
      </c>
      <c r="AA84" s="35">
        <v>39.605600000000003</v>
      </c>
    </row>
    <row r="85" spans="1:27" ht="15.75" hidden="1" customHeight="1" x14ac:dyDescent="0.2">
      <c r="A85" s="2"/>
      <c r="B85" s="31">
        <v>80</v>
      </c>
      <c r="C85" s="36" t="s">
        <v>75</v>
      </c>
      <c r="D85" s="36" t="s">
        <v>161</v>
      </c>
      <c r="E85" s="36" t="s">
        <v>162</v>
      </c>
      <c r="F85" s="36" t="s">
        <v>258</v>
      </c>
      <c r="G85" s="36" t="s">
        <v>259</v>
      </c>
      <c r="H85" s="37" t="s">
        <v>95</v>
      </c>
      <c r="I85" s="37" t="s">
        <v>81</v>
      </c>
      <c r="J85" s="37" t="s">
        <v>82</v>
      </c>
      <c r="K85" s="37" t="s">
        <v>87</v>
      </c>
      <c r="L85" s="36" t="s">
        <v>84</v>
      </c>
      <c r="M85" s="34">
        <v>1215.81</v>
      </c>
      <c r="N85" s="34">
        <v>995.7</v>
      </c>
      <c r="O85" s="34">
        <v>220.11</v>
      </c>
      <c r="P85" s="34">
        <v>180.68</v>
      </c>
      <c r="Q85" s="34">
        <v>-73.16</v>
      </c>
      <c r="R85" s="34">
        <v>-71.87</v>
      </c>
      <c r="S85" s="34">
        <v>-54.32</v>
      </c>
      <c r="T85" s="34">
        <v>-85.08</v>
      </c>
      <c r="U85" s="34">
        <v>146.97999999999999</v>
      </c>
      <c r="V85" s="34">
        <v>-34.44</v>
      </c>
      <c r="W85" s="34">
        <v>19.93</v>
      </c>
      <c r="X85" s="34">
        <v>4.5199999999999996</v>
      </c>
      <c r="Y85" s="35">
        <v>-10.4796</v>
      </c>
      <c r="Z85" s="35">
        <v>-57.885300000000001</v>
      </c>
      <c r="AA85" s="35">
        <v>-70.518699999999995</v>
      </c>
    </row>
    <row r="86" spans="1:27" ht="15.75" hidden="1" customHeight="1" x14ac:dyDescent="0.2">
      <c r="A86" s="2"/>
      <c r="B86" s="31">
        <v>81</v>
      </c>
      <c r="C86" s="36" t="s">
        <v>75</v>
      </c>
      <c r="D86" s="36" t="s">
        <v>111</v>
      </c>
      <c r="E86" s="36" t="s">
        <v>112</v>
      </c>
      <c r="F86" s="36" t="s">
        <v>260</v>
      </c>
      <c r="G86" s="36" t="s">
        <v>261</v>
      </c>
      <c r="H86" s="37" t="s">
        <v>80</v>
      </c>
      <c r="I86" s="37" t="s">
        <v>81</v>
      </c>
      <c r="J86" s="37" t="s">
        <v>82</v>
      </c>
      <c r="K86" s="37" t="s">
        <v>87</v>
      </c>
      <c r="L86" s="36" t="s">
        <v>84</v>
      </c>
      <c r="M86" s="34">
        <v>536.11</v>
      </c>
      <c r="N86" s="34">
        <v>232.82</v>
      </c>
      <c r="O86" s="34">
        <v>303.29000000000002</v>
      </c>
      <c r="P86" s="34">
        <v>30.36</v>
      </c>
      <c r="Q86" s="34">
        <v>2.14</v>
      </c>
      <c r="R86" s="34">
        <v>2.14</v>
      </c>
      <c r="S86" s="34">
        <v>2.14</v>
      </c>
      <c r="T86" s="34">
        <v>-6.65</v>
      </c>
      <c r="U86" s="34">
        <v>8.09</v>
      </c>
      <c r="V86" s="34">
        <v>-5.41</v>
      </c>
      <c r="W86" s="34">
        <v>4.45</v>
      </c>
      <c r="X86" s="34">
        <v>0.77</v>
      </c>
      <c r="Y86" s="35">
        <v>-46.508400000000002</v>
      </c>
      <c r="Z86" s="35">
        <v>-82.211200000000005</v>
      </c>
      <c r="AA86" s="35">
        <v>-821.15390000000002</v>
      </c>
    </row>
    <row r="87" spans="1:27" ht="15.75" hidden="1" customHeight="1" x14ac:dyDescent="0.2">
      <c r="A87" s="2"/>
      <c r="B87" s="31">
        <v>82</v>
      </c>
      <c r="C87" s="36" t="s">
        <v>75</v>
      </c>
      <c r="D87" s="36" t="s">
        <v>100</v>
      </c>
      <c r="E87" s="36" t="s">
        <v>101</v>
      </c>
      <c r="F87" s="36" t="s">
        <v>262</v>
      </c>
      <c r="G87" s="36" t="s">
        <v>263</v>
      </c>
      <c r="H87" s="37" t="s">
        <v>80</v>
      </c>
      <c r="I87" s="37" t="s">
        <v>81</v>
      </c>
      <c r="J87" s="37" t="s">
        <v>82</v>
      </c>
      <c r="K87" s="37" t="s">
        <v>87</v>
      </c>
      <c r="L87" s="36" t="s">
        <v>84</v>
      </c>
      <c r="M87" s="34">
        <v>3807.21</v>
      </c>
      <c r="N87" s="34">
        <v>1594.85</v>
      </c>
      <c r="O87" s="34">
        <v>2212.36</v>
      </c>
      <c r="P87" s="34">
        <v>926.6</v>
      </c>
      <c r="Q87" s="34">
        <v>116.63</v>
      </c>
      <c r="R87" s="34">
        <v>98.71</v>
      </c>
      <c r="S87" s="34">
        <v>94.06</v>
      </c>
      <c r="T87" s="34">
        <v>21.43</v>
      </c>
      <c r="U87" s="34">
        <v>442.47</v>
      </c>
      <c r="V87" s="34">
        <v>271.87</v>
      </c>
      <c r="W87" s="34">
        <v>13.16</v>
      </c>
      <c r="X87" s="34">
        <v>0.72</v>
      </c>
      <c r="Y87" s="35">
        <v>2.8138000000000001</v>
      </c>
      <c r="Z87" s="35">
        <v>4.8422000000000001</v>
      </c>
      <c r="AA87" s="35">
        <v>11.561199999999999</v>
      </c>
    </row>
    <row r="88" spans="1:27" ht="15.75" hidden="1" customHeight="1" x14ac:dyDescent="0.2">
      <c r="A88" s="2"/>
      <c r="B88" s="31">
        <v>83</v>
      </c>
      <c r="C88" s="36" t="s">
        <v>75</v>
      </c>
      <c r="D88" s="36" t="s">
        <v>100</v>
      </c>
      <c r="E88" s="36" t="s">
        <v>101</v>
      </c>
      <c r="F88" s="36" t="s">
        <v>264</v>
      </c>
      <c r="G88" s="36" t="s">
        <v>265</v>
      </c>
      <c r="H88" s="37" t="s">
        <v>80</v>
      </c>
      <c r="I88" s="37" t="s">
        <v>81</v>
      </c>
      <c r="J88" s="37" t="s">
        <v>82</v>
      </c>
      <c r="K88" s="37" t="s">
        <v>87</v>
      </c>
      <c r="L88" s="36" t="s">
        <v>84</v>
      </c>
      <c r="M88" s="34">
        <v>1178.77</v>
      </c>
      <c r="N88" s="34">
        <v>60.13</v>
      </c>
      <c r="O88" s="34">
        <v>1118.6400000000001</v>
      </c>
      <c r="P88" s="34">
        <v>170.93</v>
      </c>
      <c r="Q88" s="34">
        <v>35.08</v>
      </c>
      <c r="R88" s="34">
        <v>27.74</v>
      </c>
      <c r="S88" s="34">
        <v>27.57</v>
      </c>
      <c r="T88" s="34">
        <v>91.85</v>
      </c>
      <c r="U88" s="34">
        <v>870.54</v>
      </c>
      <c r="V88" s="34">
        <v>30.7</v>
      </c>
      <c r="W88" s="34">
        <v>3.24</v>
      </c>
      <c r="X88" s="34">
        <v>0.05</v>
      </c>
      <c r="Y88" s="35">
        <v>10.0122</v>
      </c>
      <c r="Z88" s="35">
        <v>10.5504</v>
      </c>
      <c r="AA88" s="35">
        <v>69.045900000000003</v>
      </c>
    </row>
    <row r="89" spans="1:27" ht="15.75" hidden="1" customHeight="1" x14ac:dyDescent="0.2">
      <c r="A89" s="2"/>
      <c r="B89" s="31">
        <v>84</v>
      </c>
      <c r="C89" s="36" t="s">
        <v>75</v>
      </c>
      <c r="D89" s="36" t="s">
        <v>76</v>
      </c>
      <c r="E89" s="36" t="s">
        <v>77</v>
      </c>
      <c r="F89" s="36" t="s">
        <v>266</v>
      </c>
      <c r="G89" s="36" t="s">
        <v>267</v>
      </c>
      <c r="H89" s="37" t="s">
        <v>80</v>
      </c>
      <c r="I89" s="37" t="s">
        <v>81</v>
      </c>
      <c r="J89" s="37" t="s">
        <v>82</v>
      </c>
      <c r="K89" s="37" t="s">
        <v>87</v>
      </c>
      <c r="L89" s="36" t="s">
        <v>84</v>
      </c>
      <c r="M89" s="34">
        <v>13165.87</v>
      </c>
      <c r="N89" s="34">
        <v>9147.02</v>
      </c>
      <c r="O89" s="34">
        <v>4018.85</v>
      </c>
      <c r="P89" s="34">
        <v>2795.17</v>
      </c>
      <c r="Q89" s="34">
        <v>-1894.69</v>
      </c>
      <c r="R89" s="34">
        <v>-1872.12</v>
      </c>
      <c r="S89" s="34">
        <v>-1876.55</v>
      </c>
      <c r="T89" s="34">
        <v>-224.13</v>
      </c>
      <c r="U89" s="34">
        <v>486.7</v>
      </c>
      <c r="V89" s="34">
        <v>-5.55</v>
      </c>
      <c r="W89" s="34">
        <v>2.56</v>
      </c>
      <c r="X89" s="34">
        <v>2.2799999999999998</v>
      </c>
      <c r="Y89" s="35">
        <v>-14.0573</v>
      </c>
      <c r="Z89" s="35">
        <v>-46.052</v>
      </c>
      <c r="AA89" s="35">
        <v>-66.212900000000005</v>
      </c>
    </row>
    <row r="90" spans="1:27" ht="15.75" hidden="1" customHeight="1" x14ac:dyDescent="0.2">
      <c r="A90" s="2"/>
      <c r="B90" s="31">
        <v>85</v>
      </c>
      <c r="C90" s="36" t="s">
        <v>75</v>
      </c>
      <c r="D90" s="36" t="s">
        <v>100</v>
      </c>
      <c r="E90" s="36" t="s">
        <v>101</v>
      </c>
      <c r="F90" s="36" t="s">
        <v>268</v>
      </c>
      <c r="G90" s="36" t="s">
        <v>269</v>
      </c>
      <c r="H90" s="37" t="s">
        <v>80</v>
      </c>
      <c r="I90" s="37" t="s">
        <v>81</v>
      </c>
      <c r="J90" s="37" t="s">
        <v>82</v>
      </c>
      <c r="K90" s="37" t="s">
        <v>87</v>
      </c>
      <c r="L90" s="36" t="s">
        <v>84</v>
      </c>
      <c r="M90" s="34">
        <v>4029.71</v>
      </c>
      <c r="N90" s="34">
        <v>1731.8</v>
      </c>
      <c r="O90" s="34">
        <v>2297.9</v>
      </c>
      <c r="P90" s="34">
        <v>879.52</v>
      </c>
      <c r="Q90" s="34">
        <v>189.88</v>
      </c>
      <c r="R90" s="34">
        <v>179.32</v>
      </c>
      <c r="S90" s="34">
        <v>154.80000000000001</v>
      </c>
      <c r="T90" s="34">
        <v>110.39</v>
      </c>
      <c r="U90" s="34">
        <v>655.16</v>
      </c>
      <c r="V90" s="34">
        <v>5.3</v>
      </c>
      <c r="W90" s="34">
        <v>0.89</v>
      </c>
      <c r="X90" s="34">
        <v>0.75</v>
      </c>
      <c r="Y90" s="35">
        <v>9.6080000000000005</v>
      </c>
      <c r="Z90" s="35">
        <v>16.849</v>
      </c>
      <c r="AA90" s="35">
        <v>44.021099999999997</v>
      </c>
    </row>
    <row r="91" spans="1:27" ht="15.75" hidden="1" customHeight="1" x14ac:dyDescent="0.2">
      <c r="A91" s="2"/>
      <c r="B91" s="31">
        <v>86</v>
      </c>
      <c r="C91" s="36" t="s">
        <v>75</v>
      </c>
      <c r="D91" s="36" t="s">
        <v>76</v>
      </c>
      <c r="E91" s="36" t="s">
        <v>77</v>
      </c>
      <c r="F91" s="36" t="s">
        <v>270</v>
      </c>
      <c r="G91" s="36" t="s">
        <v>271</v>
      </c>
      <c r="H91" s="37" t="s">
        <v>95</v>
      </c>
      <c r="I91" s="37" t="s">
        <v>272</v>
      </c>
      <c r="J91" s="37" t="s">
        <v>82</v>
      </c>
      <c r="K91" s="37" t="s">
        <v>104</v>
      </c>
      <c r="L91" s="36" t="s">
        <v>273</v>
      </c>
      <c r="M91" s="34">
        <v>5404.12</v>
      </c>
      <c r="N91" s="34">
        <v>4082.78</v>
      </c>
      <c r="O91" s="34">
        <v>1321.35</v>
      </c>
      <c r="P91" s="34">
        <v>3553.66</v>
      </c>
      <c r="Q91" s="34">
        <v>-1165.19</v>
      </c>
      <c r="R91" s="34">
        <v>-1113.68</v>
      </c>
      <c r="S91" s="34">
        <v>-818.99</v>
      </c>
      <c r="T91" s="34">
        <v>-16.5</v>
      </c>
      <c r="U91" s="34">
        <v>26.62</v>
      </c>
      <c r="V91" s="34">
        <v>-3.03</v>
      </c>
      <c r="W91" s="34">
        <v>1.88</v>
      </c>
      <c r="X91" s="34">
        <v>3.09</v>
      </c>
      <c r="Y91" s="35">
        <v>-15.1549</v>
      </c>
      <c r="Z91" s="35">
        <v>-61.981299999999997</v>
      </c>
      <c r="AA91" s="35">
        <v>-23.046399999999998</v>
      </c>
    </row>
    <row r="92" spans="1:27" ht="15.75" hidden="1" customHeight="1" x14ac:dyDescent="0.2">
      <c r="A92" s="2"/>
      <c r="B92" s="31">
        <v>87</v>
      </c>
      <c r="C92" s="36" t="s">
        <v>75</v>
      </c>
      <c r="D92" s="36" t="s">
        <v>111</v>
      </c>
      <c r="E92" s="36" t="s">
        <v>112</v>
      </c>
      <c r="F92" s="36" t="s">
        <v>274</v>
      </c>
      <c r="G92" s="36" t="s">
        <v>275</v>
      </c>
      <c r="H92" s="37" t="s">
        <v>80</v>
      </c>
      <c r="I92" s="37" t="s">
        <v>81</v>
      </c>
      <c r="J92" s="37" t="s">
        <v>82</v>
      </c>
      <c r="K92" s="37" t="s">
        <v>87</v>
      </c>
      <c r="L92" s="36" t="s">
        <v>84</v>
      </c>
      <c r="M92" s="34">
        <v>717.61</v>
      </c>
      <c r="N92" s="34">
        <v>255.36</v>
      </c>
      <c r="O92" s="34">
        <v>462.25</v>
      </c>
      <c r="P92" s="34">
        <v>288.17</v>
      </c>
      <c r="Q92" s="34">
        <v>25.86</v>
      </c>
      <c r="R92" s="34">
        <v>17.73</v>
      </c>
      <c r="S92" s="34">
        <v>17.73</v>
      </c>
      <c r="T92" s="34">
        <v>20.22</v>
      </c>
      <c r="U92" s="34">
        <v>147.26</v>
      </c>
      <c r="V92" s="34">
        <v>18.600000000000001</v>
      </c>
      <c r="W92" s="34">
        <v>2.5499999999999998</v>
      </c>
      <c r="X92" s="34">
        <v>0.55000000000000004</v>
      </c>
      <c r="Y92" s="35">
        <v>8.8440999999999992</v>
      </c>
      <c r="Z92" s="35">
        <v>13.729799999999999</v>
      </c>
      <c r="AA92" s="35">
        <v>22.024000000000001</v>
      </c>
    </row>
    <row r="93" spans="1:27" ht="15.75" hidden="1" customHeight="1" x14ac:dyDescent="0.2">
      <c r="A93" s="2"/>
      <c r="B93" s="31">
        <v>88</v>
      </c>
      <c r="C93" s="36" t="s">
        <v>75</v>
      </c>
      <c r="D93" s="36" t="s">
        <v>111</v>
      </c>
      <c r="E93" s="36" t="s">
        <v>112</v>
      </c>
      <c r="F93" s="36" t="s">
        <v>276</v>
      </c>
      <c r="G93" s="36" t="s">
        <v>277</v>
      </c>
      <c r="H93" s="37" t="s">
        <v>80</v>
      </c>
      <c r="I93" s="37" t="s">
        <v>81</v>
      </c>
      <c r="J93" s="37" t="s">
        <v>82</v>
      </c>
      <c r="K93" s="37" t="s">
        <v>87</v>
      </c>
      <c r="L93" s="36" t="s">
        <v>84</v>
      </c>
      <c r="M93" s="34">
        <v>4034.36</v>
      </c>
      <c r="N93" s="34">
        <v>810.14</v>
      </c>
      <c r="O93" s="34">
        <v>3224.22</v>
      </c>
      <c r="P93" s="34">
        <v>598.04999999999995</v>
      </c>
      <c r="Q93" s="34">
        <v>164.79</v>
      </c>
      <c r="R93" s="34">
        <v>152.94</v>
      </c>
      <c r="S93" s="34">
        <v>109.33</v>
      </c>
      <c r="T93" s="34">
        <v>56.81</v>
      </c>
      <c r="U93" s="34">
        <v>722.76</v>
      </c>
      <c r="V93" s="34">
        <v>7.39</v>
      </c>
      <c r="W93" s="34">
        <v>0.57999999999999996</v>
      </c>
      <c r="X93" s="34">
        <v>0.25</v>
      </c>
      <c r="Y93" s="35">
        <v>6.2815000000000003</v>
      </c>
      <c r="Z93" s="35">
        <v>7.8597999999999999</v>
      </c>
      <c r="AA93" s="35">
        <v>42.373699999999999</v>
      </c>
    </row>
    <row r="94" spans="1:27" ht="15.75" hidden="1" customHeight="1" x14ac:dyDescent="0.2">
      <c r="A94" s="2"/>
      <c r="B94" s="31">
        <v>89</v>
      </c>
      <c r="C94" s="36" t="s">
        <v>75</v>
      </c>
      <c r="D94" s="36" t="s">
        <v>111</v>
      </c>
      <c r="E94" s="36" t="s">
        <v>112</v>
      </c>
      <c r="F94" s="36" t="s">
        <v>278</v>
      </c>
      <c r="G94" s="36" t="s">
        <v>279</v>
      </c>
      <c r="H94" s="37" t="s">
        <v>80</v>
      </c>
      <c r="I94" s="37" t="s">
        <v>81</v>
      </c>
      <c r="J94" s="37" t="s">
        <v>82</v>
      </c>
      <c r="K94" s="37" t="s">
        <v>87</v>
      </c>
      <c r="L94" s="36" t="s">
        <v>84</v>
      </c>
      <c r="M94" s="34">
        <v>647.98</v>
      </c>
      <c r="N94" s="34">
        <v>121.46</v>
      </c>
      <c r="O94" s="34">
        <v>526.52</v>
      </c>
      <c r="P94" s="34">
        <v>110.5</v>
      </c>
      <c r="Q94" s="34">
        <v>3.18</v>
      </c>
      <c r="R94" s="34">
        <v>3.18</v>
      </c>
      <c r="S94" s="34">
        <v>3.18</v>
      </c>
      <c r="T94" s="34">
        <v>2.7</v>
      </c>
      <c r="U94" s="34">
        <v>212.67</v>
      </c>
      <c r="V94" s="34">
        <v>31.8</v>
      </c>
      <c r="W94" s="34">
        <v>0.4</v>
      </c>
      <c r="X94" s="34">
        <v>0.23</v>
      </c>
      <c r="Y94" s="35">
        <v>1.0331999999999999</v>
      </c>
      <c r="Z94" s="35">
        <v>1.2716000000000001</v>
      </c>
      <c r="AA94" s="35">
        <v>6.0587</v>
      </c>
    </row>
    <row r="95" spans="1:27" ht="15.75" hidden="1" customHeight="1" x14ac:dyDescent="0.2">
      <c r="A95" s="2"/>
      <c r="B95" s="31">
        <v>90</v>
      </c>
      <c r="C95" s="36" t="s">
        <v>75</v>
      </c>
      <c r="D95" s="36" t="s">
        <v>280</v>
      </c>
      <c r="E95" s="36" t="s">
        <v>281</v>
      </c>
      <c r="F95" s="36" t="s">
        <v>282</v>
      </c>
      <c r="G95" s="36" t="s">
        <v>283</v>
      </c>
      <c r="H95" s="37" t="s">
        <v>95</v>
      </c>
      <c r="I95" s="37" t="s">
        <v>284</v>
      </c>
      <c r="J95" s="37" t="s">
        <v>82</v>
      </c>
      <c r="K95" s="37" t="s">
        <v>104</v>
      </c>
      <c r="L95" s="36" t="s">
        <v>273</v>
      </c>
      <c r="M95" s="34">
        <v>246</v>
      </c>
      <c r="N95" s="34">
        <v>259.61</v>
      </c>
      <c r="O95" s="34">
        <v>-13.61</v>
      </c>
      <c r="P95" s="34">
        <v>82.28</v>
      </c>
      <c r="Q95" s="34">
        <v>-124.19</v>
      </c>
      <c r="R95" s="34">
        <v>-123.66</v>
      </c>
      <c r="S95" s="34">
        <v>-123.66</v>
      </c>
      <c r="T95" s="34">
        <v>-60.84</v>
      </c>
      <c r="U95" s="34">
        <v>-6.7</v>
      </c>
      <c r="V95" s="34">
        <v>-0.85</v>
      </c>
      <c r="W95" s="34">
        <v>-7.77</v>
      </c>
      <c r="X95" s="34">
        <v>-19.07</v>
      </c>
      <c r="Y95" s="35">
        <v>-50.2684</v>
      </c>
      <c r="Z95" s="35" t="s">
        <v>95</v>
      </c>
      <c r="AA95" s="35">
        <v>-150.2876</v>
      </c>
    </row>
    <row r="96" spans="1:27" ht="15.75" hidden="1" customHeight="1" x14ac:dyDescent="0.2">
      <c r="A96" s="2"/>
      <c r="B96" s="31">
        <v>91</v>
      </c>
      <c r="C96" s="36" t="s">
        <v>75</v>
      </c>
      <c r="D96" s="36" t="s">
        <v>280</v>
      </c>
      <c r="E96" s="36" t="s">
        <v>281</v>
      </c>
      <c r="F96" s="36" t="s">
        <v>285</v>
      </c>
      <c r="G96" s="36" t="s">
        <v>286</v>
      </c>
      <c r="H96" s="37" t="s">
        <v>80</v>
      </c>
      <c r="I96" s="37" t="s">
        <v>81</v>
      </c>
      <c r="J96" s="37" t="s">
        <v>82</v>
      </c>
      <c r="K96" s="37" t="s">
        <v>87</v>
      </c>
      <c r="L96" s="36" t="s">
        <v>84</v>
      </c>
      <c r="M96" s="34">
        <v>248.64</v>
      </c>
      <c r="N96" s="34">
        <v>82.84</v>
      </c>
      <c r="O96" s="34">
        <v>165.8</v>
      </c>
      <c r="P96" s="34">
        <v>65.53</v>
      </c>
      <c r="Q96" s="34">
        <v>3.21</v>
      </c>
      <c r="R96" s="34">
        <v>2.92</v>
      </c>
      <c r="S96" s="34">
        <v>2.83</v>
      </c>
      <c r="T96" s="34">
        <v>2.94</v>
      </c>
      <c r="U96" s="34">
        <v>123.06</v>
      </c>
      <c r="V96" s="34">
        <v>34.67</v>
      </c>
      <c r="W96" s="34">
        <v>0.83</v>
      </c>
      <c r="X96" s="34">
        <v>0.5</v>
      </c>
      <c r="Y96" s="35">
        <v>1.5941000000000001</v>
      </c>
      <c r="Z96" s="35">
        <v>2.3906999999999998</v>
      </c>
      <c r="AA96" s="35">
        <v>6.0481999999999996</v>
      </c>
    </row>
    <row r="97" spans="1:27" ht="15.75" hidden="1" customHeight="1" x14ac:dyDescent="0.2">
      <c r="A97" s="2"/>
      <c r="B97" s="31">
        <v>92</v>
      </c>
      <c r="C97" s="36" t="s">
        <v>287</v>
      </c>
      <c r="D97" s="36" t="s">
        <v>288</v>
      </c>
      <c r="E97" s="36" t="s">
        <v>289</v>
      </c>
      <c r="F97" s="36" t="s">
        <v>290</v>
      </c>
      <c r="G97" s="36" t="s">
        <v>291</v>
      </c>
      <c r="H97" s="37" t="s">
        <v>80</v>
      </c>
      <c r="I97" s="37" t="s">
        <v>81</v>
      </c>
      <c r="J97" s="37" t="s">
        <v>82</v>
      </c>
      <c r="K97" s="37" t="s">
        <v>87</v>
      </c>
      <c r="L97" s="36" t="s">
        <v>84</v>
      </c>
      <c r="M97" s="34">
        <v>2617</v>
      </c>
      <c r="N97" s="34">
        <v>732.71</v>
      </c>
      <c r="O97" s="34">
        <v>1884.29</v>
      </c>
      <c r="P97" s="34">
        <v>1096.54</v>
      </c>
      <c r="Q97" s="34">
        <v>-1.2</v>
      </c>
      <c r="R97" s="34">
        <v>-0.13</v>
      </c>
      <c r="S97" s="34">
        <v>-0.14000000000000001</v>
      </c>
      <c r="T97" s="34">
        <v>-33.75</v>
      </c>
      <c r="U97" s="34">
        <v>484.49</v>
      </c>
      <c r="V97" s="34">
        <v>-4.21</v>
      </c>
      <c r="W97" s="34">
        <v>0.28999999999999998</v>
      </c>
      <c r="X97" s="34">
        <v>0.39</v>
      </c>
      <c r="Y97" s="35">
        <v>-5.0151000000000003</v>
      </c>
      <c r="Z97" s="35">
        <v>-6.9652000000000003</v>
      </c>
      <c r="AA97" s="35">
        <v>-11.968999999999999</v>
      </c>
    </row>
    <row r="98" spans="1:27" ht="15.75" hidden="1" customHeight="1" x14ac:dyDescent="0.2">
      <c r="A98" s="2"/>
      <c r="B98" s="31">
        <v>93</v>
      </c>
      <c r="C98" s="36" t="s">
        <v>287</v>
      </c>
      <c r="D98" s="36" t="s">
        <v>288</v>
      </c>
      <c r="E98" s="36" t="s">
        <v>289</v>
      </c>
      <c r="F98" s="36" t="s">
        <v>292</v>
      </c>
      <c r="G98" s="36" t="s">
        <v>293</v>
      </c>
      <c r="H98" s="37" t="s">
        <v>80</v>
      </c>
      <c r="I98" s="37" t="s">
        <v>81</v>
      </c>
      <c r="J98" s="37" t="s">
        <v>82</v>
      </c>
      <c r="K98" s="37" t="s">
        <v>87</v>
      </c>
      <c r="L98" s="36" t="s">
        <v>84</v>
      </c>
      <c r="M98" s="34">
        <v>8213.5499999999993</v>
      </c>
      <c r="N98" s="34">
        <v>4434.0600000000004</v>
      </c>
      <c r="O98" s="34">
        <v>3779.49</v>
      </c>
      <c r="P98" s="34">
        <v>1417.5</v>
      </c>
      <c r="Q98" s="34">
        <v>27.95</v>
      </c>
      <c r="R98" s="34">
        <v>24.21</v>
      </c>
      <c r="S98" s="34">
        <v>22.61</v>
      </c>
      <c r="T98" s="34">
        <v>20.13</v>
      </c>
      <c r="U98" s="34">
        <v>1232.44</v>
      </c>
      <c r="V98" s="34">
        <v>40</v>
      </c>
      <c r="W98" s="34">
        <v>0.65</v>
      </c>
      <c r="X98" s="34">
        <v>1.17</v>
      </c>
      <c r="Y98" s="35">
        <v>0.75139999999999996</v>
      </c>
      <c r="Z98" s="35">
        <v>1.633</v>
      </c>
      <c r="AA98" s="35">
        <v>4.3540000000000001</v>
      </c>
    </row>
    <row r="99" spans="1:27" ht="15.75" hidden="1" customHeight="1" x14ac:dyDescent="0.2">
      <c r="A99" s="2"/>
      <c r="B99" s="31">
        <v>94</v>
      </c>
      <c r="C99" s="36" t="s">
        <v>287</v>
      </c>
      <c r="D99" s="36" t="s">
        <v>294</v>
      </c>
      <c r="E99" s="36" t="s">
        <v>295</v>
      </c>
      <c r="F99" s="36" t="s">
        <v>296</v>
      </c>
      <c r="G99" s="36" t="s">
        <v>297</v>
      </c>
      <c r="H99" s="37" t="s">
        <v>80</v>
      </c>
      <c r="I99" s="37" t="s">
        <v>81</v>
      </c>
      <c r="J99" s="37" t="s">
        <v>82</v>
      </c>
      <c r="K99" s="37" t="s">
        <v>87</v>
      </c>
      <c r="L99" s="36" t="s">
        <v>84</v>
      </c>
      <c r="M99" s="34">
        <v>3461.35</v>
      </c>
      <c r="N99" s="34">
        <v>1711.5</v>
      </c>
      <c r="O99" s="34">
        <v>1749.85</v>
      </c>
      <c r="P99" s="34">
        <v>1454.63</v>
      </c>
      <c r="Q99" s="34">
        <v>-6.68</v>
      </c>
      <c r="R99" s="34">
        <v>-7.79</v>
      </c>
      <c r="S99" s="34">
        <v>-7.79</v>
      </c>
      <c r="T99" s="34">
        <v>-5.31</v>
      </c>
      <c r="U99" s="34">
        <v>2858.07</v>
      </c>
      <c r="V99" s="34">
        <v>-105.47</v>
      </c>
      <c r="W99" s="34">
        <v>0.2</v>
      </c>
      <c r="X99" s="34">
        <v>0.98</v>
      </c>
      <c r="Y99" s="35">
        <v>-9.3899999999999997E-2</v>
      </c>
      <c r="Z99" s="35">
        <v>-0.18579999999999999</v>
      </c>
      <c r="AA99" s="35">
        <v>-0.2235</v>
      </c>
    </row>
    <row r="100" spans="1:27" ht="15.75" hidden="1" customHeight="1" x14ac:dyDescent="0.2">
      <c r="A100" s="2"/>
      <c r="B100" s="31">
        <v>95</v>
      </c>
      <c r="C100" s="36" t="s">
        <v>287</v>
      </c>
      <c r="D100" s="36" t="s">
        <v>298</v>
      </c>
      <c r="E100" s="36" t="s">
        <v>299</v>
      </c>
      <c r="F100" s="36" t="s">
        <v>300</v>
      </c>
      <c r="G100" s="36" t="s">
        <v>301</v>
      </c>
      <c r="H100" s="37" t="s">
        <v>80</v>
      </c>
      <c r="I100" s="37" t="s">
        <v>81</v>
      </c>
      <c r="J100" s="37" t="s">
        <v>82</v>
      </c>
      <c r="K100" s="37" t="s">
        <v>87</v>
      </c>
      <c r="L100" s="36" t="s">
        <v>90</v>
      </c>
      <c r="M100" s="34">
        <v>2045.03</v>
      </c>
      <c r="N100" s="34">
        <v>1013.8</v>
      </c>
      <c r="O100" s="34">
        <v>1031.23</v>
      </c>
      <c r="P100" s="34">
        <v>1001.5</v>
      </c>
      <c r="Q100" s="34">
        <v>9.5</v>
      </c>
      <c r="R100" s="34">
        <v>6.9</v>
      </c>
      <c r="S100" s="34">
        <v>6.91</v>
      </c>
      <c r="T100" s="34">
        <v>-0.77</v>
      </c>
      <c r="U100" s="34">
        <v>381.84</v>
      </c>
      <c r="V100" s="34">
        <v>-637.54999999999995</v>
      </c>
      <c r="W100" s="34">
        <v>1.29</v>
      </c>
      <c r="X100" s="34">
        <v>0.98</v>
      </c>
      <c r="Y100" s="35">
        <v>-0.1023</v>
      </c>
      <c r="Z100" s="35">
        <v>-0.2029</v>
      </c>
      <c r="AA100" s="35">
        <v>-0.20899999999999999</v>
      </c>
    </row>
    <row r="101" spans="1:27" ht="15.75" hidden="1" customHeight="1" x14ac:dyDescent="0.2">
      <c r="A101" s="2"/>
      <c r="B101" s="31">
        <v>96</v>
      </c>
      <c r="C101" s="36" t="s">
        <v>287</v>
      </c>
      <c r="D101" s="36" t="s">
        <v>302</v>
      </c>
      <c r="E101" s="36" t="s">
        <v>303</v>
      </c>
      <c r="F101" s="36" t="s">
        <v>304</v>
      </c>
      <c r="G101" s="36" t="s">
        <v>305</v>
      </c>
      <c r="H101" s="37" t="s">
        <v>80</v>
      </c>
      <c r="I101" s="37" t="s">
        <v>81</v>
      </c>
      <c r="J101" s="37" t="s">
        <v>82</v>
      </c>
      <c r="K101" s="37" t="s">
        <v>87</v>
      </c>
      <c r="L101" s="36" t="s">
        <v>84</v>
      </c>
      <c r="M101" s="34">
        <v>224.03</v>
      </c>
      <c r="N101" s="34">
        <v>12.09</v>
      </c>
      <c r="O101" s="34">
        <v>211.94</v>
      </c>
      <c r="P101" s="34">
        <v>79.459999999999994</v>
      </c>
      <c r="Q101" s="34">
        <v>-0.49</v>
      </c>
      <c r="R101" s="34">
        <v>-0.49</v>
      </c>
      <c r="S101" s="34">
        <v>-0.52</v>
      </c>
      <c r="T101" s="34">
        <v>-5.14</v>
      </c>
      <c r="U101" s="34">
        <v>417.49</v>
      </c>
      <c r="V101" s="34">
        <v>-63.78</v>
      </c>
      <c r="W101" s="34">
        <v>0.79</v>
      </c>
      <c r="X101" s="34">
        <v>0.06</v>
      </c>
      <c r="Y101" s="35">
        <v>-1.1654</v>
      </c>
      <c r="Z101" s="35">
        <v>-1.2318</v>
      </c>
      <c r="AA101" s="35">
        <v>-3.2858000000000001</v>
      </c>
    </row>
    <row r="102" spans="1:27" ht="15.75" hidden="1" customHeight="1" x14ac:dyDescent="0.2">
      <c r="A102" s="2"/>
      <c r="B102" s="31">
        <v>97</v>
      </c>
      <c r="C102" s="36" t="s">
        <v>287</v>
      </c>
      <c r="D102" s="36" t="s">
        <v>302</v>
      </c>
      <c r="E102" s="36" t="s">
        <v>303</v>
      </c>
      <c r="F102" s="36" t="s">
        <v>306</v>
      </c>
      <c r="G102" s="36" t="s">
        <v>307</v>
      </c>
      <c r="H102" s="37" t="s">
        <v>95</v>
      </c>
      <c r="I102" s="37" t="s">
        <v>81</v>
      </c>
      <c r="J102" s="37" t="s">
        <v>82</v>
      </c>
      <c r="K102" s="37" t="s">
        <v>87</v>
      </c>
      <c r="L102" s="36" t="s">
        <v>84</v>
      </c>
      <c r="M102" s="34">
        <v>433.74</v>
      </c>
      <c r="N102" s="34">
        <v>340.31</v>
      </c>
      <c r="O102" s="34">
        <v>93.43</v>
      </c>
      <c r="P102" s="34">
        <v>1.25</v>
      </c>
      <c r="Q102" s="34">
        <v>-33.369999999999997</v>
      </c>
      <c r="R102" s="34">
        <v>-33.369999999999997</v>
      </c>
      <c r="S102" s="34">
        <v>-33.369999999999997</v>
      </c>
      <c r="T102" s="34">
        <v>-60.91</v>
      </c>
      <c r="U102" s="34">
        <v>24.48</v>
      </c>
      <c r="V102" s="34">
        <v>-1.21</v>
      </c>
      <c r="W102" s="34">
        <v>3.02</v>
      </c>
      <c r="X102" s="34">
        <v>3.64</v>
      </c>
      <c r="Y102" s="35">
        <v>-53.585900000000002</v>
      </c>
      <c r="Z102" s="35">
        <v>-248.76439999999999</v>
      </c>
      <c r="AA102" s="35">
        <v>-18664.7091</v>
      </c>
    </row>
    <row r="103" spans="1:27" ht="15.75" hidden="1" customHeight="1" x14ac:dyDescent="0.2">
      <c r="A103" s="2"/>
      <c r="B103" s="31">
        <v>98</v>
      </c>
      <c r="C103" s="36" t="s">
        <v>287</v>
      </c>
      <c r="D103" s="36" t="s">
        <v>308</v>
      </c>
      <c r="E103" s="36" t="s">
        <v>309</v>
      </c>
      <c r="F103" s="36" t="s">
        <v>310</v>
      </c>
      <c r="G103" s="36" t="s">
        <v>311</v>
      </c>
      <c r="H103" s="37" t="s">
        <v>80</v>
      </c>
      <c r="I103" s="37" t="s">
        <v>81</v>
      </c>
      <c r="J103" s="37" t="s">
        <v>82</v>
      </c>
      <c r="K103" s="37" t="s">
        <v>87</v>
      </c>
      <c r="L103" s="36" t="s">
        <v>84</v>
      </c>
      <c r="M103" s="34">
        <v>205837.81</v>
      </c>
      <c r="N103" s="34">
        <v>123735.37</v>
      </c>
      <c r="O103" s="34">
        <v>82102.44</v>
      </c>
      <c r="P103" s="34">
        <v>2963.7</v>
      </c>
      <c r="Q103" s="34">
        <v>-3108.9</v>
      </c>
      <c r="R103" s="34">
        <v>-2376.62</v>
      </c>
      <c r="S103" s="34">
        <v>-2413.87</v>
      </c>
      <c r="T103" s="34">
        <v>1.21</v>
      </c>
      <c r="U103" s="34">
        <v>1132.1600000000001</v>
      </c>
      <c r="V103" s="34">
        <v>5970.62</v>
      </c>
      <c r="W103" s="34">
        <v>6.38</v>
      </c>
      <c r="X103" s="34">
        <v>1.51</v>
      </c>
      <c r="Y103" s="35">
        <v>4.2599999999999999E-2</v>
      </c>
      <c r="Z103" s="35">
        <v>0.1069</v>
      </c>
      <c r="AA103" s="35">
        <v>2.9609999999999999</v>
      </c>
    </row>
    <row r="104" spans="1:27" ht="15.75" hidden="1" customHeight="1" x14ac:dyDescent="0.2">
      <c r="A104" s="2"/>
      <c r="B104" s="31">
        <v>99</v>
      </c>
      <c r="C104" s="36" t="s">
        <v>287</v>
      </c>
      <c r="D104" s="36" t="s">
        <v>312</v>
      </c>
      <c r="E104" s="36" t="s">
        <v>313</v>
      </c>
      <c r="F104" s="36" t="s">
        <v>314</v>
      </c>
      <c r="G104" s="36" t="s">
        <v>315</v>
      </c>
      <c r="H104" s="37" t="s">
        <v>80</v>
      </c>
      <c r="I104" s="37" t="s">
        <v>81</v>
      </c>
      <c r="J104" s="37" t="s">
        <v>82</v>
      </c>
      <c r="K104" s="37" t="s">
        <v>83</v>
      </c>
      <c r="L104" s="36" t="s">
        <v>84</v>
      </c>
      <c r="M104" s="34">
        <v>48378.15</v>
      </c>
      <c r="N104" s="34">
        <v>14671.65</v>
      </c>
      <c r="O104" s="34">
        <v>33706.5</v>
      </c>
      <c r="P104" s="34">
        <v>59019.72</v>
      </c>
      <c r="Q104" s="34">
        <v>6533.02</v>
      </c>
      <c r="R104" s="34">
        <v>5143.47</v>
      </c>
      <c r="S104" s="34">
        <v>4696.37</v>
      </c>
      <c r="T104" s="34">
        <v>282.68</v>
      </c>
      <c r="U104" s="34">
        <v>1402.64</v>
      </c>
      <c r="V104" s="34">
        <v>11.18</v>
      </c>
      <c r="W104" s="34">
        <v>2.25</v>
      </c>
      <c r="X104" s="34">
        <v>0.44</v>
      </c>
      <c r="Y104" s="35">
        <v>14.041600000000001</v>
      </c>
      <c r="Z104" s="35">
        <v>20.153500000000001</v>
      </c>
      <c r="AA104" s="35">
        <v>11.5098</v>
      </c>
    </row>
    <row r="105" spans="1:27" ht="15.75" hidden="1" customHeight="1" x14ac:dyDescent="0.2">
      <c r="A105" s="2"/>
      <c r="B105" s="31">
        <v>100</v>
      </c>
      <c r="C105" s="36" t="s">
        <v>287</v>
      </c>
      <c r="D105" s="36" t="s">
        <v>294</v>
      </c>
      <c r="E105" s="36" t="s">
        <v>295</v>
      </c>
      <c r="F105" s="36" t="s">
        <v>316</v>
      </c>
      <c r="G105" s="36" t="s">
        <v>317</v>
      </c>
      <c r="H105" s="37" t="s">
        <v>80</v>
      </c>
      <c r="I105" s="37" t="s">
        <v>81</v>
      </c>
      <c r="J105" s="37" t="s">
        <v>82</v>
      </c>
      <c r="K105" s="37" t="s">
        <v>87</v>
      </c>
      <c r="L105" s="36" t="s">
        <v>84</v>
      </c>
      <c r="M105" s="34">
        <v>458.66</v>
      </c>
      <c r="N105" s="34">
        <v>120.47</v>
      </c>
      <c r="O105" s="34">
        <v>338.19</v>
      </c>
      <c r="P105" s="34">
        <v>145.83000000000001</v>
      </c>
      <c r="Q105" s="34">
        <v>-4.55</v>
      </c>
      <c r="R105" s="34">
        <v>-4.88</v>
      </c>
      <c r="S105" s="34">
        <v>-4.88</v>
      </c>
      <c r="T105" s="34">
        <v>-0.45</v>
      </c>
      <c r="U105" s="34">
        <v>248.19</v>
      </c>
      <c r="V105" s="34">
        <v>-1088.42</v>
      </c>
      <c r="W105" s="34">
        <v>1.97</v>
      </c>
      <c r="X105" s="34">
        <v>0.36</v>
      </c>
      <c r="Y105" s="35">
        <v>-0.13320000000000001</v>
      </c>
      <c r="Z105" s="35">
        <v>-0.1807</v>
      </c>
      <c r="AA105" s="35">
        <v>-0.41899999999999998</v>
      </c>
    </row>
    <row r="106" spans="1:27" ht="15.75" hidden="1" customHeight="1" x14ac:dyDescent="0.2">
      <c r="A106" s="2"/>
      <c r="B106" s="31">
        <v>101</v>
      </c>
      <c r="C106" s="36" t="s">
        <v>287</v>
      </c>
      <c r="D106" s="36" t="s">
        <v>318</v>
      </c>
      <c r="E106" s="36" t="s">
        <v>319</v>
      </c>
      <c r="F106" s="36" t="s">
        <v>320</v>
      </c>
      <c r="G106" s="36" t="s">
        <v>321</v>
      </c>
      <c r="H106" s="37" t="s">
        <v>80</v>
      </c>
      <c r="I106" s="37" t="s">
        <v>81</v>
      </c>
      <c r="J106" s="37" t="s">
        <v>82</v>
      </c>
      <c r="K106" s="37" t="s">
        <v>87</v>
      </c>
      <c r="L106" s="36" t="s">
        <v>84</v>
      </c>
      <c r="M106" s="34">
        <v>14578.33</v>
      </c>
      <c r="N106" s="34">
        <v>9573.94</v>
      </c>
      <c r="O106" s="34">
        <v>5004.3900000000003</v>
      </c>
      <c r="P106" s="34">
        <v>3125.29</v>
      </c>
      <c r="Q106" s="34">
        <v>940.16</v>
      </c>
      <c r="R106" s="34">
        <v>572.51</v>
      </c>
      <c r="S106" s="34">
        <v>566.01</v>
      </c>
      <c r="T106" s="34">
        <v>32.159999999999997</v>
      </c>
      <c r="U106" s="34">
        <v>201.51</v>
      </c>
      <c r="V106" s="34">
        <v>31.25</v>
      </c>
      <c r="W106" s="34">
        <v>4.99</v>
      </c>
      <c r="X106" s="34">
        <v>1.91</v>
      </c>
      <c r="Y106" s="35">
        <v>5.4790000000000001</v>
      </c>
      <c r="Z106" s="35">
        <v>15.960900000000001</v>
      </c>
      <c r="AA106" s="35">
        <v>25.557500000000001</v>
      </c>
    </row>
    <row r="107" spans="1:27" ht="15.75" hidden="1" customHeight="1" x14ac:dyDescent="0.2">
      <c r="A107" s="2"/>
      <c r="B107" s="31">
        <v>102</v>
      </c>
      <c r="C107" s="36" t="s">
        <v>287</v>
      </c>
      <c r="D107" s="36" t="s">
        <v>298</v>
      </c>
      <c r="E107" s="36" t="s">
        <v>299</v>
      </c>
      <c r="F107" s="36" t="s">
        <v>322</v>
      </c>
      <c r="G107" s="36" t="s">
        <v>323</v>
      </c>
      <c r="H107" s="37" t="s">
        <v>95</v>
      </c>
      <c r="I107" s="37" t="s">
        <v>81</v>
      </c>
      <c r="J107" s="37" t="s">
        <v>82</v>
      </c>
      <c r="K107" s="37" t="s">
        <v>87</v>
      </c>
      <c r="L107" s="36" t="s">
        <v>84</v>
      </c>
      <c r="M107" s="34">
        <v>250.2</v>
      </c>
      <c r="N107" s="34">
        <v>174.23</v>
      </c>
      <c r="O107" s="34">
        <v>75.97</v>
      </c>
      <c r="P107" s="34">
        <v>116.45</v>
      </c>
      <c r="Q107" s="34">
        <v>4.4800000000000004</v>
      </c>
      <c r="R107" s="34">
        <v>3.38</v>
      </c>
      <c r="S107" s="34">
        <v>3.22</v>
      </c>
      <c r="T107" s="34">
        <v>2.71</v>
      </c>
      <c r="U107" s="34">
        <v>28.01</v>
      </c>
      <c r="V107" s="34">
        <v>36.51</v>
      </c>
      <c r="W107" s="34">
        <v>3.53</v>
      </c>
      <c r="X107" s="34">
        <v>2.29</v>
      </c>
      <c r="Y107" s="35">
        <v>2.9390999999999998</v>
      </c>
      <c r="Z107" s="35">
        <v>9.68</v>
      </c>
      <c r="AA107" s="35">
        <v>6.3151000000000002</v>
      </c>
    </row>
    <row r="108" spans="1:27" ht="15.75" hidden="1" customHeight="1" x14ac:dyDescent="0.2">
      <c r="A108" s="2"/>
      <c r="B108" s="31">
        <v>103</v>
      </c>
      <c r="C108" s="36" t="s">
        <v>287</v>
      </c>
      <c r="D108" s="36" t="s">
        <v>294</v>
      </c>
      <c r="E108" s="36" t="s">
        <v>295</v>
      </c>
      <c r="F108" s="36" t="s">
        <v>324</v>
      </c>
      <c r="G108" s="36" t="s">
        <v>325</v>
      </c>
      <c r="H108" s="37" t="s">
        <v>80</v>
      </c>
      <c r="I108" s="37" t="s">
        <v>81</v>
      </c>
      <c r="J108" s="37" t="s">
        <v>82</v>
      </c>
      <c r="K108" s="37" t="s">
        <v>87</v>
      </c>
      <c r="L108" s="36" t="s">
        <v>84</v>
      </c>
      <c r="M108" s="34">
        <v>10879.96</v>
      </c>
      <c r="N108" s="34">
        <v>1332.17</v>
      </c>
      <c r="O108" s="34">
        <v>9547.7900000000009</v>
      </c>
      <c r="P108" s="34">
        <v>3884.28</v>
      </c>
      <c r="Q108" s="34">
        <v>1003.14</v>
      </c>
      <c r="R108" s="34">
        <v>781.67</v>
      </c>
      <c r="S108" s="34">
        <v>782.53</v>
      </c>
      <c r="T108" s="34">
        <v>26.45</v>
      </c>
      <c r="U108" s="34">
        <v>154.11000000000001</v>
      </c>
      <c r="V108" s="34">
        <v>15.43</v>
      </c>
      <c r="W108" s="34">
        <v>2.65</v>
      </c>
      <c r="X108" s="34">
        <v>0.14000000000000001</v>
      </c>
      <c r="Y108" s="35">
        <v>15.061</v>
      </c>
      <c r="Z108" s="35">
        <v>17.162400000000002</v>
      </c>
      <c r="AA108" s="35">
        <v>42.186100000000003</v>
      </c>
    </row>
    <row r="109" spans="1:27" ht="15.75" hidden="1" customHeight="1" x14ac:dyDescent="0.2">
      <c r="A109" s="2"/>
      <c r="B109" s="31">
        <v>104</v>
      </c>
      <c r="C109" s="36" t="s">
        <v>287</v>
      </c>
      <c r="D109" s="36" t="s">
        <v>326</v>
      </c>
      <c r="E109" s="36" t="s">
        <v>327</v>
      </c>
      <c r="F109" s="36" t="s">
        <v>328</v>
      </c>
      <c r="G109" s="36" t="s">
        <v>329</v>
      </c>
      <c r="H109" s="37" t="s">
        <v>80</v>
      </c>
      <c r="I109" s="37" t="s">
        <v>81</v>
      </c>
      <c r="J109" s="37" t="s">
        <v>82</v>
      </c>
      <c r="K109" s="37" t="s">
        <v>87</v>
      </c>
      <c r="L109" s="36" t="s">
        <v>84</v>
      </c>
      <c r="M109" s="34">
        <v>41.25</v>
      </c>
      <c r="N109" s="34">
        <v>0.15</v>
      </c>
      <c r="O109" s="34">
        <v>41.1</v>
      </c>
      <c r="P109" s="34">
        <v>0.56000000000000005</v>
      </c>
      <c r="Q109" s="34">
        <v>-1.5</v>
      </c>
      <c r="R109" s="34">
        <v>-1.28</v>
      </c>
      <c r="S109" s="34">
        <v>-1.28</v>
      </c>
      <c r="T109" s="34">
        <v>-2.99</v>
      </c>
      <c r="U109" s="34">
        <v>48.16</v>
      </c>
      <c r="V109" s="34">
        <v>-38.159999999999997</v>
      </c>
      <c r="W109" s="34">
        <v>2.37</v>
      </c>
      <c r="X109" s="34" t="s">
        <v>95</v>
      </c>
      <c r="Y109" s="35">
        <v>-6.1803999999999997</v>
      </c>
      <c r="Z109" s="35">
        <v>-6.2028999999999996</v>
      </c>
      <c r="AA109" s="35">
        <v>-455.74310000000003</v>
      </c>
    </row>
    <row r="110" spans="1:27" ht="15.75" hidden="1" customHeight="1" x14ac:dyDescent="0.2">
      <c r="A110" s="2"/>
      <c r="B110" s="31">
        <v>105</v>
      </c>
      <c r="C110" s="36" t="s">
        <v>287</v>
      </c>
      <c r="D110" s="36" t="s">
        <v>330</v>
      </c>
      <c r="E110" s="36" t="s">
        <v>331</v>
      </c>
      <c r="F110" s="36" t="s">
        <v>332</v>
      </c>
      <c r="G110" s="36" t="s">
        <v>333</v>
      </c>
      <c r="H110" s="37" t="s">
        <v>95</v>
      </c>
      <c r="I110" s="37" t="s">
        <v>81</v>
      </c>
      <c r="J110" s="37" t="s">
        <v>82</v>
      </c>
      <c r="K110" s="37" t="s">
        <v>87</v>
      </c>
      <c r="L110" s="36" t="s">
        <v>84</v>
      </c>
      <c r="M110" s="34">
        <v>683.69</v>
      </c>
      <c r="N110" s="34">
        <v>642.72</v>
      </c>
      <c r="O110" s="34">
        <v>40.98</v>
      </c>
      <c r="P110" s="34">
        <v>341.63</v>
      </c>
      <c r="Q110" s="34">
        <v>-17.13</v>
      </c>
      <c r="R110" s="34">
        <v>-16.53</v>
      </c>
      <c r="S110" s="34">
        <v>-16.53</v>
      </c>
      <c r="T110" s="34">
        <v>-13.11</v>
      </c>
      <c r="U110" s="34">
        <v>22.77</v>
      </c>
      <c r="V110" s="34">
        <v>-11.28</v>
      </c>
      <c r="W110" s="34">
        <v>6.5</v>
      </c>
      <c r="X110" s="34">
        <v>15.68</v>
      </c>
      <c r="Y110" s="35">
        <v>-3.4529000000000001</v>
      </c>
      <c r="Z110" s="35">
        <v>-57.606200000000001</v>
      </c>
      <c r="AA110" s="35">
        <v>-6.9101999999999997</v>
      </c>
    </row>
    <row r="111" spans="1:27" ht="15.75" hidden="1" customHeight="1" x14ac:dyDescent="0.2">
      <c r="A111" s="2"/>
      <c r="B111" s="31">
        <v>106</v>
      </c>
      <c r="C111" s="36" t="s">
        <v>287</v>
      </c>
      <c r="D111" s="36" t="s">
        <v>326</v>
      </c>
      <c r="E111" s="36" t="s">
        <v>327</v>
      </c>
      <c r="F111" s="36" t="s">
        <v>334</v>
      </c>
      <c r="G111" s="36" t="s">
        <v>335</v>
      </c>
      <c r="H111" s="37" t="s">
        <v>80</v>
      </c>
      <c r="I111" s="37" t="s">
        <v>81</v>
      </c>
      <c r="J111" s="37" t="s">
        <v>82</v>
      </c>
      <c r="K111" s="37" t="s">
        <v>87</v>
      </c>
      <c r="L111" s="36" t="s">
        <v>84</v>
      </c>
      <c r="M111" s="34">
        <v>203.95</v>
      </c>
      <c r="N111" s="34">
        <v>56.06</v>
      </c>
      <c r="O111" s="34">
        <v>147.88999999999999</v>
      </c>
      <c r="P111" s="34">
        <v>54.5</v>
      </c>
      <c r="Q111" s="34">
        <v>5.33</v>
      </c>
      <c r="R111" s="34">
        <v>4.38</v>
      </c>
      <c r="S111" s="34">
        <v>4.3</v>
      </c>
      <c r="T111" s="34">
        <v>3.85</v>
      </c>
      <c r="U111" s="34">
        <v>48.89</v>
      </c>
      <c r="V111" s="34">
        <v>26.72</v>
      </c>
      <c r="W111" s="34">
        <v>2.11</v>
      </c>
      <c r="X111" s="34">
        <v>0.38</v>
      </c>
      <c r="Y111" s="35">
        <v>5.7167000000000003</v>
      </c>
      <c r="Z111" s="35">
        <v>7.8837000000000002</v>
      </c>
      <c r="AA111" s="35">
        <v>21.392499999999998</v>
      </c>
    </row>
    <row r="112" spans="1:27" ht="15.75" hidden="1" customHeight="1" x14ac:dyDescent="0.2">
      <c r="A112" s="2"/>
      <c r="B112" s="31">
        <v>107</v>
      </c>
      <c r="C112" s="36" t="s">
        <v>287</v>
      </c>
      <c r="D112" s="36" t="s">
        <v>326</v>
      </c>
      <c r="E112" s="36" t="s">
        <v>327</v>
      </c>
      <c r="F112" s="36" t="s">
        <v>336</v>
      </c>
      <c r="G112" s="36" t="s">
        <v>337</v>
      </c>
      <c r="H112" s="37" t="s">
        <v>95</v>
      </c>
      <c r="I112" s="37" t="s">
        <v>338</v>
      </c>
      <c r="J112" s="37" t="s">
        <v>82</v>
      </c>
      <c r="K112" s="37" t="s">
        <v>87</v>
      </c>
      <c r="L112" s="36" t="s">
        <v>84</v>
      </c>
      <c r="M112" s="34">
        <v>905.3</v>
      </c>
      <c r="N112" s="34">
        <v>88.66</v>
      </c>
      <c r="O112" s="34">
        <v>816.65</v>
      </c>
      <c r="P112" s="34">
        <v>52.66</v>
      </c>
      <c r="Q112" s="34">
        <v>1.83</v>
      </c>
      <c r="R112" s="34">
        <v>1.02</v>
      </c>
      <c r="S112" s="34">
        <v>1.02</v>
      </c>
      <c r="T112" s="34">
        <v>-0.84</v>
      </c>
      <c r="U112" s="34">
        <v>18.149999999999999</v>
      </c>
      <c r="V112" s="34">
        <v>-5.98</v>
      </c>
      <c r="W112" s="34">
        <v>0.28000000000000003</v>
      </c>
      <c r="X112" s="34">
        <v>0.11</v>
      </c>
      <c r="Y112" s="35">
        <v>-4.1540999999999997</v>
      </c>
      <c r="Z112" s="35">
        <v>-4.6051000000000002</v>
      </c>
      <c r="AA112" s="35">
        <v>-71.412800000000004</v>
      </c>
    </row>
    <row r="113" spans="1:27" ht="15.75" hidden="1" customHeight="1" x14ac:dyDescent="0.2">
      <c r="A113" s="2"/>
      <c r="B113" s="31">
        <v>108</v>
      </c>
      <c r="C113" s="36" t="s">
        <v>287</v>
      </c>
      <c r="D113" s="36" t="s">
        <v>326</v>
      </c>
      <c r="E113" s="36" t="s">
        <v>327</v>
      </c>
      <c r="F113" s="36" t="s">
        <v>339</v>
      </c>
      <c r="G113" s="36" t="s">
        <v>340</v>
      </c>
      <c r="H113" s="37" t="s">
        <v>80</v>
      </c>
      <c r="I113" s="37" t="s">
        <v>81</v>
      </c>
      <c r="J113" s="37" t="s">
        <v>82</v>
      </c>
      <c r="K113" s="37" t="s">
        <v>87</v>
      </c>
      <c r="L113" s="36" t="s">
        <v>84</v>
      </c>
      <c r="M113" s="34">
        <v>1928.86</v>
      </c>
      <c r="N113" s="34">
        <v>883.73</v>
      </c>
      <c r="O113" s="34">
        <v>1045.1300000000001</v>
      </c>
      <c r="P113" s="34">
        <v>636.16</v>
      </c>
      <c r="Q113" s="34">
        <v>9.65</v>
      </c>
      <c r="R113" s="34">
        <v>8.1300000000000008</v>
      </c>
      <c r="S113" s="34">
        <v>8.1</v>
      </c>
      <c r="T113" s="34">
        <v>12.59</v>
      </c>
      <c r="U113" s="34">
        <v>116.38</v>
      </c>
      <c r="V113" s="34">
        <v>14.78</v>
      </c>
      <c r="W113" s="34">
        <v>1.6</v>
      </c>
      <c r="X113" s="34">
        <v>0.85</v>
      </c>
      <c r="Y113" s="35">
        <v>5.8007999999999997</v>
      </c>
      <c r="Z113" s="35">
        <v>10.7058</v>
      </c>
      <c r="AA113" s="35">
        <v>17.5883</v>
      </c>
    </row>
    <row r="114" spans="1:27" ht="15.75" hidden="1" customHeight="1" x14ac:dyDescent="0.2">
      <c r="A114" s="2"/>
      <c r="B114" s="31">
        <v>109</v>
      </c>
      <c r="C114" s="36" t="s">
        <v>287</v>
      </c>
      <c r="D114" s="36" t="s">
        <v>288</v>
      </c>
      <c r="E114" s="36" t="s">
        <v>289</v>
      </c>
      <c r="F114" s="36" t="s">
        <v>341</v>
      </c>
      <c r="G114" s="36" t="s">
        <v>342</v>
      </c>
      <c r="H114" s="37" t="s">
        <v>80</v>
      </c>
      <c r="I114" s="37" t="s">
        <v>81</v>
      </c>
      <c r="J114" s="37" t="s">
        <v>82</v>
      </c>
      <c r="K114" s="37" t="s">
        <v>87</v>
      </c>
      <c r="L114" s="36" t="s">
        <v>84</v>
      </c>
      <c r="M114" s="34">
        <v>1628.07</v>
      </c>
      <c r="N114" s="34">
        <v>847.78</v>
      </c>
      <c r="O114" s="34">
        <v>780.28</v>
      </c>
      <c r="P114" s="34">
        <v>1708.7</v>
      </c>
      <c r="Q114" s="34">
        <v>-45.96</v>
      </c>
      <c r="R114" s="34">
        <v>-45.94</v>
      </c>
      <c r="S114" s="34">
        <v>-45.92</v>
      </c>
      <c r="T114" s="34">
        <v>-68.87</v>
      </c>
      <c r="U114" s="34">
        <v>666.39</v>
      </c>
      <c r="V114" s="34">
        <v>-4.68</v>
      </c>
      <c r="W114" s="34">
        <v>0.48</v>
      </c>
      <c r="X114" s="34">
        <v>1.0900000000000001</v>
      </c>
      <c r="Y114" s="35">
        <v>-4.9034000000000004</v>
      </c>
      <c r="Z114" s="35">
        <v>-10.231</v>
      </c>
      <c r="AA114" s="35">
        <v>-4.6719999999999997</v>
      </c>
    </row>
    <row r="115" spans="1:27" ht="15.75" hidden="1" customHeight="1" x14ac:dyDescent="0.2">
      <c r="A115" s="2"/>
      <c r="B115" s="31">
        <v>110</v>
      </c>
      <c r="C115" s="36" t="s">
        <v>287</v>
      </c>
      <c r="D115" s="36" t="s">
        <v>312</v>
      </c>
      <c r="E115" s="36" t="s">
        <v>313</v>
      </c>
      <c r="F115" s="36" t="s">
        <v>343</v>
      </c>
      <c r="G115" s="36" t="s">
        <v>344</v>
      </c>
      <c r="H115" s="37" t="s">
        <v>80</v>
      </c>
      <c r="I115" s="37" t="s">
        <v>81</v>
      </c>
      <c r="J115" s="37" t="s">
        <v>82</v>
      </c>
      <c r="K115" s="37" t="s">
        <v>87</v>
      </c>
      <c r="L115" s="36" t="s">
        <v>84</v>
      </c>
      <c r="M115" s="34">
        <v>19391.54</v>
      </c>
      <c r="N115" s="34">
        <v>2889.03</v>
      </c>
      <c r="O115" s="34">
        <v>16502.52</v>
      </c>
      <c r="P115" s="34">
        <v>1961.48</v>
      </c>
      <c r="Q115" s="34">
        <v>503.23</v>
      </c>
      <c r="R115" s="34">
        <v>361.39</v>
      </c>
      <c r="S115" s="34">
        <v>372.9</v>
      </c>
      <c r="T115" s="34">
        <v>4.38</v>
      </c>
      <c r="U115" s="34">
        <v>115.23</v>
      </c>
      <c r="V115" s="34">
        <v>191.95</v>
      </c>
      <c r="W115" s="34">
        <v>7.29</v>
      </c>
      <c r="X115" s="34">
        <v>0.18</v>
      </c>
      <c r="Y115" s="35">
        <v>3.1997</v>
      </c>
      <c r="Z115" s="35">
        <v>3.7599</v>
      </c>
      <c r="AA115" s="35">
        <v>31.633199999999999</v>
      </c>
    </row>
    <row r="116" spans="1:27" ht="15.75" hidden="1" customHeight="1" x14ac:dyDescent="0.2">
      <c r="A116" s="2"/>
      <c r="B116" s="31">
        <v>111</v>
      </c>
      <c r="C116" s="36" t="s">
        <v>287</v>
      </c>
      <c r="D116" s="36" t="s">
        <v>298</v>
      </c>
      <c r="E116" s="36" t="s">
        <v>299</v>
      </c>
      <c r="F116" s="36" t="s">
        <v>345</v>
      </c>
      <c r="G116" s="36" t="s">
        <v>346</v>
      </c>
      <c r="H116" s="37" t="s">
        <v>80</v>
      </c>
      <c r="I116" s="37" t="s">
        <v>81</v>
      </c>
      <c r="J116" s="37" t="s">
        <v>82</v>
      </c>
      <c r="K116" s="37" t="s">
        <v>87</v>
      </c>
      <c r="L116" s="36" t="s">
        <v>84</v>
      </c>
      <c r="M116" s="34">
        <v>2260.71</v>
      </c>
      <c r="N116" s="34">
        <v>1246.94</v>
      </c>
      <c r="O116" s="34">
        <v>1013.77</v>
      </c>
      <c r="P116" s="34">
        <v>518.73</v>
      </c>
      <c r="Q116" s="34">
        <v>12.36</v>
      </c>
      <c r="R116" s="34">
        <v>19.82</v>
      </c>
      <c r="S116" s="34">
        <v>15.28</v>
      </c>
      <c r="T116" s="34">
        <v>11.84</v>
      </c>
      <c r="U116" s="34">
        <v>1035.4000000000001</v>
      </c>
      <c r="V116" s="34">
        <v>59.1</v>
      </c>
      <c r="W116" s="34">
        <v>0.68</v>
      </c>
      <c r="X116" s="34">
        <v>1.23</v>
      </c>
      <c r="Y116" s="35">
        <v>0.51290000000000002</v>
      </c>
      <c r="Z116" s="35">
        <v>1.1438999999999999</v>
      </c>
      <c r="AA116" s="35">
        <v>2.2355</v>
      </c>
    </row>
    <row r="117" spans="1:27" ht="15.75" hidden="1" customHeight="1" x14ac:dyDescent="0.2">
      <c r="A117" s="2"/>
      <c r="B117" s="31">
        <v>112</v>
      </c>
      <c r="C117" s="36" t="s">
        <v>287</v>
      </c>
      <c r="D117" s="36" t="s">
        <v>288</v>
      </c>
      <c r="E117" s="36" t="s">
        <v>289</v>
      </c>
      <c r="F117" s="36" t="s">
        <v>347</v>
      </c>
      <c r="G117" s="36" t="s">
        <v>348</v>
      </c>
      <c r="H117" s="37" t="s">
        <v>80</v>
      </c>
      <c r="I117" s="37" t="s">
        <v>81</v>
      </c>
      <c r="J117" s="37" t="s">
        <v>82</v>
      </c>
      <c r="K117" s="37" t="s">
        <v>87</v>
      </c>
      <c r="L117" s="36" t="s">
        <v>84</v>
      </c>
      <c r="M117" s="34">
        <v>246549.23</v>
      </c>
      <c r="N117" s="34">
        <v>145820.63</v>
      </c>
      <c r="O117" s="34">
        <v>100728.6</v>
      </c>
      <c r="P117" s="34">
        <v>52403.37</v>
      </c>
      <c r="Q117" s="34">
        <v>28264.05</v>
      </c>
      <c r="R117" s="34">
        <v>27980.02</v>
      </c>
      <c r="S117" s="34">
        <v>8761.8799999999992</v>
      </c>
      <c r="T117" s="34">
        <v>97.17</v>
      </c>
      <c r="U117" s="34">
        <v>1074.47</v>
      </c>
      <c r="V117" s="34">
        <v>38.590000000000003</v>
      </c>
      <c r="W117" s="34">
        <v>3.49</v>
      </c>
      <c r="X117" s="34">
        <v>1.45</v>
      </c>
      <c r="Y117" s="35">
        <v>3.6947000000000001</v>
      </c>
      <c r="Z117" s="35">
        <v>9.0433000000000003</v>
      </c>
      <c r="AA117" s="35">
        <v>17.3828</v>
      </c>
    </row>
    <row r="118" spans="1:27" ht="15.75" hidden="1" customHeight="1" x14ac:dyDescent="0.2">
      <c r="A118" s="2"/>
      <c r="B118" s="31">
        <v>113</v>
      </c>
      <c r="C118" s="36" t="s">
        <v>287</v>
      </c>
      <c r="D118" s="36" t="s">
        <v>330</v>
      </c>
      <c r="E118" s="36" t="s">
        <v>331</v>
      </c>
      <c r="F118" s="36" t="s">
        <v>349</v>
      </c>
      <c r="G118" s="36" t="s">
        <v>350</v>
      </c>
      <c r="H118" s="37" t="s">
        <v>80</v>
      </c>
      <c r="I118" s="37" t="s">
        <v>81</v>
      </c>
      <c r="J118" s="37" t="s">
        <v>82</v>
      </c>
      <c r="K118" s="37" t="s">
        <v>87</v>
      </c>
      <c r="L118" s="36" t="s">
        <v>84</v>
      </c>
      <c r="M118" s="34">
        <v>434.99</v>
      </c>
      <c r="N118" s="34">
        <v>151.24</v>
      </c>
      <c r="O118" s="34">
        <v>283.76</v>
      </c>
      <c r="P118" s="34">
        <v>48.59</v>
      </c>
      <c r="Q118" s="34">
        <v>2.89</v>
      </c>
      <c r="R118" s="34">
        <v>4.0999999999999996</v>
      </c>
      <c r="S118" s="34">
        <v>4.0999999999999996</v>
      </c>
      <c r="T118" s="34">
        <v>6.05</v>
      </c>
      <c r="U118" s="34">
        <v>394.1</v>
      </c>
      <c r="V118" s="34">
        <v>62.19</v>
      </c>
      <c r="W118" s="34">
        <v>0.95</v>
      </c>
      <c r="X118" s="34">
        <v>0.53</v>
      </c>
      <c r="Y118" s="35">
        <v>1.0006999999999999</v>
      </c>
      <c r="Z118" s="35">
        <v>1.534</v>
      </c>
      <c r="AA118" s="35">
        <v>8.9578000000000007</v>
      </c>
    </row>
    <row r="119" spans="1:27" ht="15.75" hidden="1" customHeight="1" x14ac:dyDescent="0.2">
      <c r="A119" s="2"/>
      <c r="B119" s="31">
        <v>114</v>
      </c>
      <c r="C119" s="36" t="s">
        <v>287</v>
      </c>
      <c r="D119" s="36" t="s">
        <v>288</v>
      </c>
      <c r="E119" s="36" t="s">
        <v>289</v>
      </c>
      <c r="F119" s="36" t="s">
        <v>351</v>
      </c>
      <c r="G119" s="36" t="s">
        <v>352</v>
      </c>
      <c r="H119" s="37" t="s">
        <v>80</v>
      </c>
      <c r="I119" s="37" t="s">
        <v>81</v>
      </c>
      <c r="J119" s="37" t="s">
        <v>82</v>
      </c>
      <c r="K119" s="37" t="s">
        <v>87</v>
      </c>
      <c r="L119" s="36" t="s">
        <v>84</v>
      </c>
      <c r="M119" s="34">
        <v>174.56</v>
      </c>
      <c r="N119" s="34">
        <v>57.13</v>
      </c>
      <c r="O119" s="34">
        <v>117.43</v>
      </c>
      <c r="P119" s="34">
        <v>106.97</v>
      </c>
      <c r="Q119" s="34">
        <v>2.64</v>
      </c>
      <c r="R119" s="34">
        <v>2.06</v>
      </c>
      <c r="S119" s="34">
        <v>2.06</v>
      </c>
      <c r="T119" s="34">
        <v>-0.3</v>
      </c>
      <c r="U119" s="34">
        <v>69.069999999999993</v>
      </c>
      <c r="V119" s="34">
        <v>-328.32</v>
      </c>
      <c r="W119" s="34">
        <v>1.42</v>
      </c>
      <c r="X119" s="34">
        <v>0.49</v>
      </c>
      <c r="Y119" s="35">
        <v>-0.29070000000000001</v>
      </c>
      <c r="Z119" s="35">
        <v>-0.43209999999999998</v>
      </c>
      <c r="AA119" s="35">
        <v>-0.47439999999999999</v>
      </c>
    </row>
    <row r="120" spans="1:27" ht="15.75" hidden="1" customHeight="1" x14ac:dyDescent="0.2">
      <c r="A120" s="2"/>
      <c r="B120" s="31">
        <v>115</v>
      </c>
      <c r="C120" s="36" t="s">
        <v>287</v>
      </c>
      <c r="D120" s="36" t="s">
        <v>302</v>
      </c>
      <c r="E120" s="36" t="s">
        <v>303</v>
      </c>
      <c r="F120" s="36" t="s">
        <v>353</v>
      </c>
      <c r="G120" s="36" t="s">
        <v>354</v>
      </c>
      <c r="H120" s="37" t="s">
        <v>80</v>
      </c>
      <c r="I120" s="37" t="s">
        <v>81</v>
      </c>
      <c r="J120" s="37" t="s">
        <v>82</v>
      </c>
      <c r="K120" s="37" t="s">
        <v>87</v>
      </c>
      <c r="L120" s="36" t="s">
        <v>84</v>
      </c>
      <c r="M120" s="34">
        <v>8296.57</v>
      </c>
      <c r="N120" s="34">
        <v>321.98</v>
      </c>
      <c r="O120" s="34">
        <v>7974.6</v>
      </c>
      <c r="P120" s="34">
        <v>1392.39</v>
      </c>
      <c r="Q120" s="34">
        <v>1744.14</v>
      </c>
      <c r="R120" s="34">
        <v>1652.65</v>
      </c>
      <c r="S120" s="34">
        <v>1652.67</v>
      </c>
      <c r="T120" s="34">
        <v>827.2</v>
      </c>
      <c r="U120" s="34">
        <v>2013.6</v>
      </c>
      <c r="V120" s="34">
        <v>4.9400000000000004</v>
      </c>
      <c r="W120" s="34">
        <v>2.0299999999999998</v>
      </c>
      <c r="X120" s="34">
        <v>0.04</v>
      </c>
      <c r="Y120" s="35">
        <v>39.486199999999997</v>
      </c>
      <c r="Z120" s="35">
        <v>41.080500000000001</v>
      </c>
      <c r="AA120" s="35">
        <v>235.27969999999999</v>
      </c>
    </row>
    <row r="121" spans="1:27" ht="15.75" hidden="1" customHeight="1" x14ac:dyDescent="0.2">
      <c r="A121" s="2"/>
      <c r="B121" s="31">
        <v>116</v>
      </c>
      <c r="C121" s="36" t="s">
        <v>287</v>
      </c>
      <c r="D121" s="36" t="s">
        <v>294</v>
      </c>
      <c r="E121" s="36" t="s">
        <v>295</v>
      </c>
      <c r="F121" s="36" t="s">
        <v>355</v>
      </c>
      <c r="G121" s="36" t="s">
        <v>356</v>
      </c>
      <c r="H121" s="37" t="s">
        <v>80</v>
      </c>
      <c r="I121" s="37" t="s">
        <v>81</v>
      </c>
      <c r="J121" s="37" t="s">
        <v>82</v>
      </c>
      <c r="K121" s="37" t="s">
        <v>87</v>
      </c>
      <c r="L121" s="36" t="s">
        <v>84</v>
      </c>
      <c r="M121" s="34">
        <v>835.61</v>
      </c>
      <c r="N121" s="34">
        <v>277</v>
      </c>
      <c r="O121" s="34">
        <v>558.61</v>
      </c>
      <c r="P121" s="34">
        <v>458.75</v>
      </c>
      <c r="Q121" s="34">
        <v>34.950000000000003</v>
      </c>
      <c r="R121" s="34">
        <v>28.26</v>
      </c>
      <c r="S121" s="34">
        <v>28.25</v>
      </c>
      <c r="T121" s="34">
        <v>197.53</v>
      </c>
      <c r="U121" s="34">
        <v>1823.5</v>
      </c>
      <c r="V121" s="34">
        <v>6.48</v>
      </c>
      <c r="W121" s="34">
        <v>0.7</v>
      </c>
      <c r="X121" s="34">
        <v>0.5</v>
      </c>
      <c r="Y121" s="35">
        <v>7.2415000000000003</v>
      </c>
      <c r="Z121" s="35">
        <v>10.8325</v>
      </c>
      <c r="AA121" s="35">
        <v>13.190300000000001</v>
      </c>
    </row>
    <row r="122" spans="1:27" ht="15.75" hidden="1" customHeight="1" x14ac:dyDescent="0.2">
      <c r="A122" s="2"/>
      <c r="B122" s="31">
        <v>117</v>
      </c>
      <c r="C122" s="36" t="s">
        <v>287</v>
      </c>
      <c r="D122" s="36" t="s">
        <v>326</v>
      </c>
      <c r="E122" s="36" t="s">
        <v>327</v>
      </c>
      <c r="F122" s="36" t="s">
        <v>357</v>
      </c>
      <c r="G122" s="36" t="s">
        <v>358</v>
      </c>
      <c r="H122" s="37" t="s">
        <v>95</v>
      </c>
      <c r="I122" s="37" t="s">
        <v>81</v>
      </c>
      <c r="J122" s="37" t="s">
        <v>82</v>
      </c>
      <c r="K122" s="37" t="s">
        <v>87</v>
      </c>
      <c r="L122" s="36" t="s">
        <v>84</v>
      </c>
      <c r="M122" s="34">
        <v>16691.25</v>
      </c>
      <c r="N122" s="34">
        <v>13716.27</v>
      </c>
      <c r="O122" s="34">
        <v>2974.98</v>
      </c>
      <c r="P122" s="34">
        <v>4065.13</v>
      </c>
      <c r="Q122" s="34">
        <v>-154.57</v>
      </c>
      <c r="R122" s="34">
        <v>-179.57</v>
      </c>
      <c r="S122" s="34">
        <v>-168.23</v>
      </c>
      <c r="T122" s="34">
        <v>-26.64</v>
      </c>
      <c r="U122" s="34">
        <v>173.72</v>
      </c>
      <c r="V122" s="34">
        <v>-30.6</v>
      </c>
      <c r="W122" s="34">
        <v>4.6900000000000004</v>
      </c>
      <c r="X122" s="34">
        <v>4.6100000000000003</v>
      </c>
      <c r="Y122" s="35">
        <v>-2.7330999999999999</v>
      </c>
      <c r="Z122" s="35">
        <v>-15.334099999999999</v>
      </c>
      <c r="AA122" s="35">
        <v>-11.2219</v>
      </c>
    </row>
    <row r="123" spans="1:27" ht="15.75" hidden="1" customHeight="1" x14ac:dyDescent="0.2">
      <c r="A123" s="2"/>
      <c r="B123" s="31">
        <v>118</v>
      </c>
      <c r="C123" s="36" t="s">
        <v>287</v>
      </c>
      <c r="D123" s="36" t="s">
        <v>330</v>
      </c>
      <c r="E123" s="36" t="s">
        <v>331</v>
      </c>
      <c r="F123" s="36" t="s">
        <v>359</v>
      </c>
      <c r="G123" s="36" t="s">
        <v>360</v>
      </c>
      <c r="H123" s="37" t="s">
        <v>80</v>
      </c>
      <c r="I123" s="37" t="s">
        <v>81</v>
      </c>
      <c r="J123" s="37" t="s">
        <v>82</v>
      </c>
      <c r="K123" s="37" t="s">
        <v>87</v>
      </c>
      <c r="L123" s="36" t="s">
        <v>90</v>
      </c>
      <c r="M123" s="34">
        <v>3256.84</v>
      </c>
      <c r="N123" s="34">
        <v>1322.48</v>
      </c>
      <c r="O123" s="34">
        <v>1934.36</v>
      </c>
      <c r="P123" s="34">
        <v>2036.64</v>
      </c>
      <c r="Q123" s="34">
        <v>342.95</v>
      </c>
      <c r="R123" s="34">
        <v>266.45</v>
      </c>
      <c r="S123" s="34">
        <v>266.49</v>
      </c>
      <c r="T123" s="34">
        <v>634.67999999999995</v>
      </c>
      <c r="U123" s="34">
        <v>2416.8200000000002</v>
      </c>
      <c r="V123" s="34">
        <v>8.0399999999999991</v>
      </c>
      <c r="W123" s="34">
        <v>2.11</v>
      </c>
      <c r="X123" s="34">
        <v>0.68</v>
      </c>
      <c r="Y123" s="35">
        <v>15.597200000000001</v>
      </c>
      <c r="Z123" s="35">
        <v>26.2607</v>
      </c>
      <c r="AA123" s="35">
        <v>24.9419</v>
      </c>
    </row>
    <row r="124" spans="1:27" ht="15.75" hidden="1" customHeight="1" x14ac:dyDescent="0.2">
      <c r="A124" s="2"/>
      <c r="B124" s="31">
        <v>119</v>
      </c>
      <c r="C124" s="36" t="s">
        <v>287</v>
      </c>
      <c r="D124" s="36" t="s">
        <v>312</v>
      </c>
      <c r="E124" s="36" t="s">
        <v>313</v>
      </c>
      <c r="F124" s="36" t="s">
        <v>361</v>
      </c>
      <c r="G124" s="36" t="s">
        <v>362</v>
      </c>
      <c r="H124" s="37" t="s">
        <v>80</v>
      </c>
      <c r="I124" s="37" t="s">
        <v>81</v>
      </c>
      <c r="J124" s="37" t="s">
        <v>82</v>
      </c>
      <c r="K124" s="37" t="s">
        <v>87</v>
      </c>
      <c r="L124" s="36" t="s">
        <v>84</v>
      </c>
      <c r="M124" s="34">
        <v>5764.45</v>
      </c>
      <c r="N124" s="34">
        <v>3722.76</v>
      </c>
      <c r="O124" s="34">
        <v>2041.69</v>
      </c>
      <c r="P124" s="34">
        <v>6205.13</v>
      </c>
      <c r="Q124" s="34">
        <v>252.81</v>
      </c>
      <c r="R124" s="34">
        <v>216.79</v>
      </c>
      <c r="S124" s="34">
        <v>154.11000000000001</v>
      </c>
      <c r="T124" s="34">
        <v>208.96</v>
      </c>
      <c r="U124" s="34">
        <v>1022.38</v>
      </c>
      <c r="V124" s="34">
        <v>14.45</v>
      </c>
      <c r="W124" s="34">
        <v>2.95</v>
      </c>
      <c r="X124" s="34">
        <v>1.82</v>
      </c>
      <c r="Y124" s="35">
        <v>7.2389999999999999</v>
      </c>
      <c r="Z124" s="35">
        <v>20.438500000000001</v>
      </c>
      <c r="AA124" s="35">
        <v>6.7248999999999999</v>
      </c>
    </row>
    <row r="125" spans="1:27" ht="15.75" hidden="1" customHeight="1" x14ac:dyDescent="0.2">
      <c r="A125" s="2"/>
      <c r="B125" s="31">
        <v>120</v>
      </c>
      <c r="C125" s="36" t="s">
        <v>287</v>
      </c>
      <c r="D125" s="36" t="s">
        <v>363</v>
      </c>
      <c r="E125" s="36" t="s">
        <v>364</v>
      </c>
      <c r="F125" s="36" t="s">
        <v>365</v>
      </c>
      <c r="G125" s="36" t="s">
        <v>366</v>
      </c>
      <c r="H125" s="37" t="s">
        <v>80</v>
      </c>
      <c r="I125" s="37" t="s">
        <v>81</v>
      </c>
      <c r="J125" s="37" t="s">
        <v>82</v>
      </c>
      <c r="K125" s="37" t="s">
        <v>87</v>
      </c>
      <c r="L125" s="36" t="s">
        <v>84</v>
      </c>
      <c r="M125" s="34">
        <v>3153.05</v>
      </c>
      <c r="N125" s="34">
        <v>2182.4299999999998</v>
      </c>
      <c r="O125" s="34">
        <v>970.62</v>
      </c>
      <c r="P125" s="34">
        <v>1649.7</v>
      </c>
      <c r="Q125" s="34">
        <v>71.900000000000006</v>
      </c>
      <c r="R125" s="34">
        <v>53.64</v>
      </c>
      <c r="S125" s="34">
        <v>52.16</v>
      </c>
      <c r="T125" s="34">
        <v>33.85</v>
      </c>
      <c r="U125" s="34">
        <v>165.01</v>
      </c>
      <c r="V125" s="34">
        <v>12.05</v>
      </c>
      <c r="W125" s="34">
        <v>2.4700000000000002</v>
      </c>
      <c r="X125" s="34">
        <v>2.25</v>
      </c>
      <c r="Y125" s="35">
        <v>6.3151000000000002</v>
      </c>
      <c r="Z125" s="35">
        <v>20.514500000000002</v>
      </c>
      <c r="AA125" s="35">
        <v>12.069900000000001</v>
      </c>
    </row>
    <row r="126" spans="1:27" ht="15.75" hidden="1" customHeight="1" x14ac:dyDescent="0.2">
      <c r="A126" s="2"/>
      <c r="B126" s="31">
        <v>121</v>
      </c>
      <c r="C126" s="36" t="s">
        <v>287</v>
      </c>
      <c r="D126" s="36" t="s">
        <v>312</v>
      </c>
      <c r="E126" s="36" t="s">
        <v>313</v>
      </c>
      <c r="F126" s="36" t="s">
        <v>367</v>
      </c>
      <c r="G126" s="36" t="s">
        <v>368</v>
      </c>
      <c r="H126" s="37" t="s">
        <v>80</v>
      </c>
      <c r="I126" s="37" t="s">
        <v>81</v>
      </c>
      <c r="J126" s="37" t="s">
        <v>82</v>
      </c>
      <c r="K126" s="37" t="s">
        <v>87</v>
      </c>
      <c r="L126" s="36" t="s">
        <v>84</v>
      </c>
      <c r="M126" s="34">
        <v>2945.69</v>
      </c>
      <c r="N126" s="34">
        <v>1843.23</v>
      </c>
      <c r="O126" s="34">
        <v>1102.46</v>
      </c>
      <c r="P126" s="34">
        <v>950.65</v>
      </c>
      <c r="Q126" s="34">
        <v>417.07</v>
      </c>
      <c r="R126" s="34">
        <v>310.27</v>
      </c>
      <c r="S126" s="34">
        <v>310.13</v>
      </c>
      <c r="T126" s="34">
        <v>93.12</v>
      </c>
      <c r="U126" s="34">
        <v>195.53</v>
      </c>
      <c r="V126" s="34">
        <v>7.73</v>
      </c>
      <c r="W126" s="34">
        <v>3.68</v>
      </c>
      <c r="X126" s="34">
        <v>1.67</v>
      </c>
      <c r="Y126" s="35">
        <v>17.823</v>
      </c>
      <c r="Z126" s="35">
        <v>47.621899999999997</v>
      </c>
      <c r="AA126" s="35">
        <v>55.226599999999998</v>
      </c>
    </row>
    <row r="127" spans="1:27" ht="15.75" hidden="1" customHeight="1" x14ac:dyDescent="0.2">
      <c r="A127" s="2"/>
      <c r="B127" s="31">
        <v>122</v>
      </c>
      <c r="C127" s="36" t="s">
        <v>287</v>
      </c>
      <c r="D127" s="36" t="s">
        <v>294</v>
      </c>
      <c r="E127" s="36" t="s">
        <v>295</v>
      </c>
      <c r="F127" s="36" t="s">
        <v>369</v>
      </c>
      <c r="G127" s="36" t="s">
        <v>370</v>
      </c>
      <c r="H127" s="37" t="s">
        <v>95</v>
      </c>
      <c r="I127" s="37" t="s">
        <v>81</v>
      </c>
      <c r="J127" s="37" t="s">
        <v>82</v>
      </c>
      <c r="K127" s="37" t="s">
        <v>87</v>
      </c>
      <c r="L127" s="36" t="s">
        <v>84</v>
      </c>
      <c r="M127" s="34">
        <v>342.71</v>
      </c>
      <c r="N127" s="34">
        <v>6.37</v>
      </c>
      <c r="O127" s="34">
        <v>336.33</v>
      </c>
      <c r="P127" s="34">
        <v>7.73</v>
      </c>
      <c r="Q127" s="34">
        <v>-1.26</v>
      </c>
      <c r="R127" s="34">
        <v>0.28000000000000003</v>
      </c>
      <c r="S127" s="34">
        <v>0.28000000000000003</v>
      </c>
      <c r="T127" s="34">
        <v>22.98</v>
      </c>
      <c r="U127" s="34">
        <v>1015.72</v>
      </c>
      <c r="V127" s="34">
        <v>13.23</v>
      </c>
      <c r="W127" s="34">
        <v>0.3</v>
      </c>
      <c r="X127" s="34">
        <v>0.02</v>
      </c>
      <c r="Y127" s="35">
        <v>2.2200000000000002</v>
      </c>
      <c r="Z127" s="35">
        <v>2.2621000000000002</v>
      </c>
      <c r="AA127" s="35">
        <v>98.430300000000003</v>
      </c>
    </row>
    <row r="128" spans="1:27" ht="15.75" hidden="1" customHeight="1" x14ac:dyDescent="0.2">
      <c r="A128" s="2"/>
      <c r="B128" s="31">
        <v>123</v>
      </c>
      <c r="C128" s="36" t="s">
        <v>287</v>
      </c>
      <c r="D128" s="36" t="s">
        <v>294</v>
      </c>
      <c r="E128" s="36" t="s">
        <v>295</v>
      </c>
      <c r="F128" s="36" t="s">
        <v>371</v>
      </c>
      <c r="G128" s="36" t="s">
        <v>372</v>
      </c>
      <c r="H128" s="37" t="s">
        <v>80</v>
      </c>
      <c r="I128" s="37" t="s">
        <v>81</v>
      </c>
      <c r="J128" s="37" t="s">
        <v>82</v>
      </c>
      <c r="K128" s="37" t="s">
        <v>87</v>
      </c>
      <c r="L128" s="36" t="s">
        <v>84</v>
      </c>
      <c r="M128" s="34">
        <v>1287.56</v>
      </c>
      <c r="N128" s="34">
        <v>94.67</v>
      </c>
      <c r="O128" s="34">
        <v>1192.8900000000001</v>
      </c>
      <c r="P128" s="34">
        <v>251.89</v>
      </c>
      <c r="Q128" s="34">
        <v>26.25</v>
      </c>
      <c r="R128" s="34">
        <v>20.88</v>
      </c>
      <c r="S128" s="34">
        <v>21.62</v>
      </c>
      <c r="T128" s="34">
        <v>12.75</v>
      </c>
      <c r="U128" s="34">
        <v>341.42</v>
      </c>
      <c r="V128" s="34">
        <v>14.51</v>
      </c>
      <c r="W128" s="34">
        <v>0.54</v>
      </c>
      <c r="X128" s="34">
        <v>0.08</v>
      </c>
      <c r="Y128" s="35">
        <v>3.4605000000000001</v>
      </c>
      <c r="Z128" s="35">
        <v>3.7351000000000001</v>
      </c>
      <c r="AA128" s="35">
        <v>17.688300000000002</v>
      </c>
    </row>
    <row r="129" spans="1:27" ht="15.75" hidden="1" customHeight="1" x14ac:dyDescent="0.2">
      <c r="A129" s="2"/>
      <c r="B129" s="31">
        <v>124</v>
      </c>
      <c r="C129" s="36" t="s">
        <v>287</v>
      </c>
      <c r="D129" s="36" t="s">
        <v>318</v>
      </c>
      <c r="E129" s="36" t="s">
        <v>319</v>
      </c>
      <c r="F129" s="36" t="s">
        <v>373</v>
      </c>
      <c r="G129" s="36" t="s">
        <v>374</v>
      </c>
      <c r="H129" s="37" t="s">
        <v>95</v>
      </c>
      <c r="I129" s="37" t="s">
        <v>375</v>
      </c>
      <c r="J129" s="37" t="s">
        <v>82</v>
      </c>
      <c r="K129" s="37" t="s">
        <v>104</v>
      </c>
      <c r="L129" s="36" t="s">
        <v>90</v>
      </c>
      <c r="M129" s="34">
        <v>9000.4599999999991</v>
      </c>
      <c r="N129" s="34">
        <v>4638.62</v>
      </c>
      <c r="O129" s="34">
        <v>4361.8500000000004</v>
      </c>
      <c r="P129" s="34" t="s">
        <v>95</v>
      </c>
      <c r="Q129" s="34">
        <v>-130.65</v>
      </c>
      <c r="R129" s="34">
        <v>-152.61000000000001</v>
      </c>
      <c r="S129" s="34">
        <v>-152.6</v>
      </c>
      <c r="T129" s="34">
        <v>-18.059999999999999</v>
      </c>
      <c r="U129" s="34">
        <v>269.58</v>
      </c>
      <c r="V129" s="34">
        <v>-201.58</v>
      </c>
      <c r="W129" s="34">
        <v>13.5</v>
      </c>
      <c r="X129" s="34">
        <v>1.06</v>
      </c>
      <c r="Y129" s="35">
        <v>-3.2462</v>
      </c>
      <c r="Z129" s="35">
        <v>-6.6982999999999997</v>
      </c>
      <c r="AA129" s="35" t="s">
        <v>95</v>
      </c>
    </row>
    <row r="130" spans="1:27" ht="15.75" hidden="1" customHeight="1" x14ac:dyDescent="0.2">
      <c r="A130" s="2"/>
      <c r="B130" s="31">
        <v>125</v>
      </c>
      <c r="C130" s="36" t="s">
        <v>287</v>
      </c>
      <c r="D130" s="36" t="s">
        <v>298</v>
      </c>
      <c r="E130" s="36" t="s">
        <v>299</v>
      </c>
      <c r="F130" s="36" t="s">
        <v>376</v>
      </c>
      <c r="G130" s="36" t="s">
        <v>377</v>
      </c>
      <c r="H130" s="37" t="s">
        <v>80</v>
      </c>
      <c r="I130" s="37" t="s">
        <v>81</v>
      </c>
      <c r="J130" s="37" t="s">
        <v>82</v>
      </c>
      <c r="K130" s="37" t="s">
        <v>87</v>
      </c>
      <c r="L130" s="36" t="s">
        <v>84</v>
      </c>
      <c r="M130" s="34">
        <v>254.04</v>
      </c>
      <c r="N130" s="34">
        <v>184.47</v>
      </c>
      <c r="O130" s="34">
        <v>69.569999999999993</v>
      </c>
      <c r="P130" s="34">
        <v>77.650000000000006</v>
      </c>
      <c r="Q130" s="34">
        <v>-4.84</v>
      </c>
      <c r="R130" s="34">
        <v>-4.82</v>
      </c>
      <c r="S130" s="34">
        <v>-4.9400000000000004</v>
      </c>
      <c r="T130" s="34">
        <v>-3.96</v>
      </c>
      <c r="U130" s="34">
        <v>21.06</v>
      </c>
      <c r="V130" s="34">
        <v>-9.1</v>
      </c>
      <c r="W130" s="34">
        <v>1.71</v>
      </c>
      <c r="X130" s="34">
        <v>2.65</v>
      </c>
      <c r="Y130" s="35">
        <v>-5.1436000000000002</v>
      </c>
      <c r="Z130" s="35">
        <v>-18.783300000000001</v>
      </c>
      <c r="AA130" s="35">
        <v>-16.828499999999998</v>
      </c>
    </row>
    <row r="131" spans="1:27" ht="15.75" hidden="1" customHeight="1" x14ac:dyDescent="0.2">
      <c r="A131" s="2"/>
      <c r="B131" s="31">
        <v>126</v>
      </c>
      <c r="C131" s="36" t="s">
        <v>287</v>
      </c>
      <c r="D131" s="36" t="s">
        <v>298</v>
      </c>
      <c r="E131" s="36" t="s">
        <v>299</v>
      </c>
      <c r="F131" s="36" t="s">
        <v>378</v>
      </c>
      <c r="G131" s="36" t="s">
        <v>379</v>
      </c>
      <c r="H131" s="37" t="s">
        <v>80</v>
      </c>
      <c r="I131" s="37" t="s">
        <v>81</v>
      </c>
      <c r="J131" s="37" t="s">
        <v>82</v>
      </c>
      <c r="K131" s="37" t="s">
        <v>87</v>
      </c>
      <c r="L131" s="36" t="s">
        <v>84</v>
      </c>
      <c r="M131" s="34">
        <v>102.15</v>
      </c>
      <c r="N131" s="34">
        <v>4.0199999999999996</v>
      </c>
      <c r="O131" s="34">
        <v>98.12</v>
      </c>
      <c r="P131" s="34">
        <v>29.71</v>
      </c>
      <c r="Q131" s="34">
        <v>1.03</v>
      </c>
      <c r="R131" s="34">
        <v>0.91</v>
      </c>
      <c r="S131" s="34">
        <v>0.91</v>
      </c>
      <c r="T131" s="34">
        <v>1.1399999999999999</v>
      </c>
      <c r="U131" s="34">
        <v>88.4</v>
      </c>
      <c r="V131" s="34">
        <v>70.34</v>
      </c>
      <c r="W131" s="34">
        <v>0.9</v>
      </c>
      <c r="X131" s="34">
        <v>0.04</v>
      </c>
      <c r="Y131" s="35">
        <v>1.2358</v>
      </c>
      <c r="Z131" s="35">
        <v>1.2864</v>
      </c>
      <c r="AA131" s="35">
        <v>4.2485999999999997</v>
      </c>
    </row>
    <row r="132" spans="1:27" ht="15.75" hidden="1" customHeight="1" x14ac:dyDescent="0.2">
      <c r="A132" s="2"/>
      <c r="B132" s="31">
        <v>127</v>
      </c>
      <c r="C132" s="36" t="s">
        <v>287</v>
      </c>
      <c r="D132" s="36" t="s">
        <v>288</v>
      </c>
      <c r="E132" s="36" t="s">
        <v>289</v>
      </c>
      <c r="F132" s="36" t="s">
        <v>380</v>
      </c>
      <c r="G132" s="36" t="s">
        <v>381</v>
      </c>
      <c r="H132" s="37" t="s">
        <v>80</v>
      </c>
      <c r="I132" s="37" t="s">
        <v>81</v>
      </c>
      <c r="J132" s="37" t="s">
        <v>82</v>
      </c>
      <c r="K132" s="37" t="s">
        <v>87</v>
      </c>
      <c r="L132" s="36" t="s">
        <v>84</v>
      </c>
      <c r="M132" s="34">
        <v>10370.780000000001</v>
      </c>
      <c r="N132" s="34">
        <v>1477.9</v>
      </c>
      <c r="O132" s="34">
        <v>8892.8799999999992</v>
      </c>
      <c r="P132" s="34">
        <v>2233.19</v>
      </c>
      <c r="Q132" s="34">
        <v>403.3</v>
      </c>
      <c r="R132" s="34">
        <v>317.98</v>
      </c>
      <c r="S132" s="34">
        <v>240.93</v>
      </c>
      <c r="T132" s="34">
        <v>36.78</v>
      </c>
      <c r="U132" s="34">
        <v>516.22</v>
      </c>
      <c r="V132" s="34">
        <v>19.03</v>
      </c>
      <c r="W132" s="34">
        <v>1.36</v>
      </c>
      <c r="X132" s="34">
        <v>0.17</v>
      </c>
      <c r="Y132" s="35">
        <v>6.1089000000000002</v>
      </c>
      <c r="Z132" s="35">
        <v>7.1242000000000001</v>
      </c>
      <c r="AA132" s="35">
        <v>28.369399999999999</v>
      </c>
    </row>
    <row r="133" spans="1:27" ht="15.75" hidden="1" customHeight="1" x14ac:dyDescent="0.2">
      <c r="A133" s="2"/>
      <c r="B133" s="31">
        <v>128</v>
      </c>
      <c r="C133" s="36" t="s">
        <v>287</v>
      </c>
      <c r="D133" s="36" t="s">
        <v>288</v>
      </c>
      <c r="E133" s="36" t="s">
        <v>289</v>
      </c>
      <c r="F133" s="36" t="s">
        <v>382</v>
      </c>
      <c r="G133" s="36" t="s">
        <v>383</v>
      </c>
      <c r="H133" s="37" t="s">
        <v>95</v>
      </c>
      <c r="I133" s="37" t="s">
        <v>127</v>
      </c>
      <c r="J133" s="37" t="s">
        <v>82</v>
      </c>
      <c r="K133" s="37" t="s">
        <v>87</v>
      </c>
      <c r="L133" s="36" t="s">
        <v>84</v>
      </c>
      <c r="M133" s="34">
        <v>882.59</v>
      </c>
      <c r="N133" s="34">
        <v>1314.06</v>
      </c>
      <c r="O133" s="34">
        <v>-431.48</v>
      </c>
      <c r="P133" s="34">
        <v>1757.74</v>
      </c>
      <c r="Q133" s="34">
        <v>9.74</v>
      </c>
      <c r="R133" s="34">
        <v>7.08</v>
      </c>
      <c r="S133" s="34">
        <v>7.08</v>
      </c>
      <c r="T133" s="34">
        <v>-7.92</v>
      </c>
      <c r="U133" s="34">
        <v>-92.42</v>
      </c>
      <c r="V133" s="34" t="s">
        <v>95</v>
      </c>
      <c r="W133" s="34">
        <v>-0.76</v>
      </c>
      <c r="X133" s="34">
        <v>-3.05</v>
      </c>
      <c r="Y133" s="35">
        <v>-4.1871999999999998</v>
      </c>
      <c r="Z133" s="35" t="s">
        <v>95</v>
      </c>
      <c r="AA133" s="35">
        <v>-2.1025</v>
      </c>
    </row>
    <row r="134" spans="1:27" ht="15.75" hidden="1" customHeight="1" x14ac:dyDescent="0.2">
      <c r="A134" s="2"/>
      <c r="B134" s="31">
        <v>129</v>
      </c>
      <c r="C134" s="36" t="s">
        <v>287</v>
      </c>
      <c r="D134" s="36" t="s">
        <v>298</v>
      </c>
      <c r="E134" s="36" t="s">
        <v>299</v>
      </c>
      <c r="F134" s="36" t="s">
        <v>384</v>
      </c>
      <c r="G134" s="36" t="s">
        <v>385</v>
      </c>
      <c r="H134" s="37" t="s">
        <v>95</v>
      </c>
      <c r="I134" s="37" t="s">
        <v>81</v>
      </c>
      <c r="J134" s="37" t="s">
        <v>82</v>
      </c>
      <c r="K134" s="37" t="s">
        <v>87</v>
      </c>
      <c r="L134" s="36" t="s">
        <v>84</v>
      </c>
      <c r="M134" s="34">
        <v>12848.49</v>
      </c>
      <c r="N134" s="34">
        <v>7223.74</v>
      </c>
      <c r="O134" s="34">
        <v>5624.75</v>
      </c>
      <c r="P134" s="34">
        <v>4018.35</v>
      </c>
      <c r="Q134" s="34">
        <v>-478.96</v>
      </c>
      <c r="R134" s="34">
        <v>-491.66</v>
      </c>
      <c r="S134" s="34">
        <v>-491.66</v>
      </c>
      <c r="T134" s="34">
        <v>-348.93</v>
      </c>
      <c r="U134" s="34">
        <v>1746.14</v>
      </c>
      <c r="V134" s="34">
        <v>-15.12</v>
      </c>
      <c r="W134" s="34">
        <v>3.02</v>
      </c>
      <c r="X134" s="34">
        <v>1.28</v>
      </c>
      <c r="Y134" s="35">
        <v>-8.7479999999999993</v>
      </c>
      <c r="Z134" s="35">
        <v>-19.983000000000001</v>
      </c>
      <c r="AA134" s="35">
        <v>-27.971499999999999</v>
      </c>
    </row>
    <row r="135" spans="1:27" ht="15.75" hidden="1" customHeight="1" x14ac:dyDescent="0.2">
      <c r="A135" s="2"/>
      <c r="B135" s="31">
        <v>130</v>
      </c>
      <c r="C135" s="36" t="s">
        <v>287</v>
      </c>
      <c r="D135" s="36" t="s">
        <v>288</v>
      </c>
      <c r="E135" s="36" t="s">
        <v>289</v>
      </c>
      <c r="F135" s="36" t="s">
        <v>386</v>
      </c>
      <c r="G135" s="36" t="s">
        <v>387</v>
      </c>
      <c r="H135" s="37" t="s">
        <v>80</v>
      </c>
      <c r="I135" s="37" t="s">
        <v>81</v>
      </c>
      <c r="J135" s="37" t="s">
        <v>82</v>
      </c>
      <c r="K135" s="37" t="s">
        <v>87</v>
      </c>
      <c r="L135" s="36" t="s">
        <v>84</v>
      </c>
      <c r="M135" s="34">
        <v>2151.4699999999998</v>
      </c>
      <c r="N135" s="34">
        <v>613.34</v>
      </c>
      <c r="O135" s="34">
        <v>1538.13</v>
      </c>
      <c r="P135" s="34">
        <v>2492.7600000000002</v>
      </c>
      <c r="Q135" s="34">
        <v>-83.67</v>
      </c>
      <c r="R135" s="34">
        <v>-62.13</v>
      </c>
      <c r="S135" s="34">
        <v>-62.03</v>
      </c>
      <c r="T135" s="34">
        <v>-26.4</v>
      </c>
      <c r="U135" s="34">
        <v>276.32</v>
      </c>
      <c r="V135" s="34">
        <v>-7.23</v>
      </c>
      <c r="W135" s="34">
        <v>0.69</v>
      </c>
      <c r="X135" s="34">
        <v>0.4</v>
      </c>
      <c r="Y135" s="35">
        <v>-6.8315000000000001</v>
      </c>
      <c r="Z135" s="35">
        <v>-9.5556000000000001</v>
      </c>
      <c r="AA135" s="35">
        <v>-5.8962000000000003</v>
      </c>
    </row>
    <row r="136" spans="1:27" ht="15.75" hidden="1" customHeight="1" x14ac:dyDescent="0.2">
      <c r="A136" s="2"/>
      <c r="B136" s="31">
        <v>131</v>
      </c>
      <c r="C136" s="36" t="s">
        <v>287</v>
      </c>
      <c r="D136" s="36" t="s">
        <v>388</v>
      </c>
      <c r="E136" s="36" t="s">
        <v>389</v>
      </c>
      <c r="F136" s="36" t="s">
        <v>390</v>
      </c>
      <c r="G136" s="36" t="s">
        <v>391</v>
      </c>
      <c r="H136" s="37" t="s">
        <v>80</v>
      </c>
      <c r="I136" s="37" t="s">
        <v>81</v>
      </c>
      <c r="J136" s="37" t="s">
        <v>82</v>
      </c>
      <c r="K136" s="37" t="s">
        <v>87</v>
      </c>
      <c r="L136" s="36" t="s">
        <v>84</v>
      </c>
      <c r="M136" s="34">
        <v>763.64</v>
      </c>
      <c r="N136" s="34">
        <v>399.07</v>
      </c>
      <c r="O136" s="34">
        <v>364.58</v>
      </c>
      <c r="P136" s="34">
        <v>688.97</v>
      </c>
      <c r="Q136" s="34">
        <v>38.14</v>
      </c>
      <c r="R136" s="34">
        <v>29.67</v>
      </c>
      <c r="S136" s="34">
        <v>29.66</v>
      </c>
      <c r="T136" s="34">
        <v>41.97</v>
      </c>
      <c r="U136" s="34">
        <v>185.73</v>
      </c>
      <c r="V136" s="34">
        <v>3.79</v>
      </c>
      <c r="W136" s="34">
        <v>0.86</v>
      </c>
      <c r="X136" s="34">
        <v>1.0900000000000001</v>
      </c>
      <c r="Y136" s="35">
        <v>10.787599999999999</v>
      </c>
      <c r="Z136" s="35">
        <v>22.595600000000001</v>
      </c>
      <c r="AA136" s="35">
        <v>11.956799999999999</v>
      </c>
    </row>
    <row r="137" spans="1:27" ht="15.75" hidden="1" customHeight="1" x14ac:dyDescent="0.2">
      <c r="A137" s="2"/>
      <c r="B137" s="31">
        <v>132</v>
      </c>
      <c r="C137" s="36" t="s">
        <v>287</v>
      </c>
      <c r="D137" s="36" t="s">
        <v>330</v>
      </c>
      <c r="E137" s="36" t="s">
        <v>331</v>
      </c>
      <c r="F137" s="36" t="s">
        <v>392</v>
      </c>
      <c r="G137" s="36" t="s">
        <v>393</v>
      </c>
      <c r="H137" s="37" t="s">
        <v>80</v>
      </c>
      <c r="I137" s="37" t="s">
        <v>81</v>
      </c>
      <c r="J137" s="37" t="s">
        <v>82</v>
      </c>
      <c r="K137" s="37" t="s">
        <v>87</v>
      </c>
      <c r="L137" s="36" t="s">
        <v>84</v>
      </c>
      <c r="M137" s="34">
        <v>3067.2</v>
      </c>
      <c r="N137" s="34">
        <v>1668.07</v>
      </c>
      <c r="O137" s="34">
        <v>1399.13</v>
      </c>
      <c r="P137" s="34">
        <v>1284.97</v>
      </c>
      <c r="Q137" s="34">
        <v>50.81</v>
      </c>
      <c r="R137" s="34">
        <v>42.96</v>
      </c>
      <c r="S137" s="34">
        <v>42.96</v>
      </c>
      <c r="T137" s="34">
        <v>6.75</v>
      </c>
      <c r="U137" s="34">
        <v>151.38</v>
      </c>
      <c r="V137" s="34">
        <v>15.84</v>
      </c>
      <c r="W137" s="34">
        <v>0.71</v>
      </c>
      <c r="X137" s="34">
        <v>1.19</v>
      </c>
      <c r="Y137" s="35">
        <v>2.0352999999999999</v>
      </c>
      <c r="Z137" s="35">
        <v>4.4618000000000002</v>
      </c>
      <c r="AA137" s="35">
        <v>4.8582000000000001</v>
      </c>
    </row>
    <row r="138" spans="1:27" ht="15.75" hidden="1" customHeight="1" x14ac:dyDescent="0.2">
      <c r="A138" s="2"/>
      <c r="B138" s="31">
        <v>133</v>
      </c>
      <c r="C138" s="36" t="s">
        <v>287</v>
      </c>
      <c r="D138" s="36" t="s">
        <v>330</v>
      </c>
      <c r="E138" s="36" t="s">
        <v>331</v>
      </c>
      <c r="F138" s="36" t="s">
        <v>394</v>
      </c>
      <c r="G138" s="36" t="s">
        <v>395</v>
      </c>
      <c r="H138" s="37" t="s">
        <v>80</v>
      </c>
      <c r="I138" s="37" t="s">
        <v>81</v>
      </c>
      <c r="J138" s="37" t="s">
        <v>82</v>
      </c>
      <c r="K138" s="37" t="s">
        <v>87</v>
      </c>
      <c r="L138" s="36" t="s">
        <v>84</v>
      </c>
      <c r="M138" s="34">
        <v>12242.08</v>
      </c>
      <c r="N138" s="34">
        <v>1374.7</v>
      </c>
      <c r="O138" s="34">
        <v>10867.38</v>
      </c>
      <c r="P138" s="34">
        <v>1371.25</v>
      </c>
      <c r="Q138" s="34">
        <v>-343.66</v>
      </c>
      <c r="R138" s="34">
        <v>-340.58</v>
      </c>
      <c r="S138" s="34">
        <v>-340.58</v>
      </c>
      <c r="T138" s="34">
        <v>-25.26</v>
      </c>
      <c r="U138" s="34">
        <v>897.29</v>
      </c>
      <c r="V138" s="34">
        <v>-9.19</v>
      </c>
      <c r="W138" s="34">
        <v>0.26</v>
      </c>
      <c r="X138" s="34">
        <v>0.13</v>
      </c>
      <c r="Y138" s="35">
        <v>-2.4986999999999999</v>
      </c>
      <c r="Z138" s="35">
        <v>-2.8148</v>
      </c>
      <c r="AA138" s="35">
        <v>-22.307400000000001</v>
      </c>
    </row>
    <row r="139" spans="1:27" ht="15.75" hidden="1" customHeight="1" x14ac:dyDescent="0.2">
      <c r="A139" s="2"/>
      <c r="B139" s="31">
        <v>134</v>
      </c>
      <c r="C139" s="36" t="s">
        <v>287</v>
      </c>
      <c r="D139" s="36" t="s">
        <v>302</v>
      </c>
      <c r="E139" s="36" t="s">
        <v>303</v>
      </c>
      <c r="F139" s="36" t="s">
        <v>396</v>
      </c>
      <c r="G139" s="36" t="s">
        <v>397</v>
      </c>
      <c r="H139" s="37" t="s">
        <v>95</v>
      </c>
      <c r="I139" s="37" t="s">
        <v>398</v>
      </c>
      <c r="J139" s="37" t="s">
        <v>82</v>
      </c>
      <c r="K139" s="37" t="s">
        <v>87</v>
      </c>
      <c r="L139" s="36" t="s">
        <v>84</v>
      </c>
      <c r="M139" s="34">
        <v>397.71</v>
      </c>
      <c r="N139" s="34">
        <v>467.59</v>
      </c>
      <c r="O139" s="34">
        <v>-69.88</v>
      </c>
      <c r="P139" s="34">
        <v>4.21</v>
      </c>
      <c r="Q139" s="34">
        <v>-123.08</v>
      </c>
      <c r="R139" s="34">
        <v>-93.17</v>
      </c>
      <c r="S139" s="34">
        <v>-91.49</v>
      </c>
      <c r="T139" s="34">
        <v>-87.66</v>
      </c>
      <c r="U139" s="34">
        <v>-21.69</v>
      </c>
      <c r="V139" s="34">
        <v>-0.56999999999999995</v>
      </c>
      <c r="W139" s="34">
        <v>-2.31</v>
      </c>
      <c r="X139" s="34">
        <v>-6.69</v>
      </c>
      <c r="Y139" s="35">
        <v>-71.007800000000003</v>
      </c>
      <c r="Z139" s="35" t="s">
        <v>95</v>
      </c>
      <c r="AA139" s="35">
        <v>-6712.5729000000001</v>
      </c>
    </row>
    <row r="140" spans="1:27" ht="15.75" hidden="1" customHeight="1" x14ac:dyDescent="0.2">
      <c r="A140" s="2"/>
      <c r="B140" s="31">
        <v>135</v>
      </c>
      <c r="C140" s="36" t="s">
        <v>287</v>
      </c>
      <c r="D140" s="36" t="s">
        <v>388</v>
      </c>
      <c r="E140" s="36" t="s">
        <v>389</v>
      </c>
      <c r="F140" s="36" t="s">
        <v>399</v>
      </c>
      <c r="G140" s="36" t="s">
        <v>400</v>
      </c>
      <c r="H140" s="37" t="s">
        <v>80</v>
      </c>
      <c r="I140" s="37" t="s">
        <v>81</v>
      </c>
      <c r="J140" s="37" t="s">
        <v>82</v>
      </c>
      <c r="K140" s="37" t="s">
        <v>87</v>
      </c>
      <c r="L140" s="36" t="s">
        <v>84</v>
      </c>
      <c r="M140" s="34">
        <v>1770.52</v>
      </c>
      <c r="N140" s="34">
        <v>402.69</v>
      </c>
      <c r="O140" s="34">
        <v>1367.83</v>
      </c>
      <c r="P140" s="34">
        <v>695.58</v>
      </c>
      <c r="Q140" s="34">
        <v>139.72999999999999</v>
      </c>
      <c r="R140" s="34">
        <v>109</v>
      </c>
      <c r="S140" s="34">
        <v>109</v>
      </c>
      <c r="T140" s="34">
        <v>22.34</v>
      </c>
      <c r="U140" s="34">
        <v>145.33000000000001</v>
      </c>
      <c r="V140" s="34">
        <v>10.3</v>
      </c>
      <c r="W140" s="34">
        <v>1.58</v>
      </c>
      <c r="X140" s="34">
        <v>0.28999999999999998</v>
      </c>
      <c r="Y140" s="35">
        <v>11.874599999999999</v>
      </c>
      <c r="Z140" s="35">
        <v>15.3705</v>
      </c>
      <c r="AA140" s="35">
        <v>30.225300000000001</v>
      </c>
    </row>
    <row r="141" spans="1:27" ht="15.75" hidden="1" customHeight="1" x14ac:dyDescent="0.2">
      <c r="A141" s="2"/>
      <c r="B141" s="31">
        <v>136</v>
      </c>
      <c r="C141" s="36" t="s">
        <v>287</v>
      </c>
      <c r="D141" s="36" t="s">
        <v>312</v>
      </c>
      <c r="E141" s="36" t="s">
        <v>313</v>
      </c>
      <c r="F141" s="36" t="s">
        <v>401</v>
      </c>
      <c r="G141" s="36" t="s">
        <v>402</v>
      </c>
      <c r="H141" s="37" t="s">
        <v>80</v>
      </c>
      <c r="I141" s="37" t="s">
        <v>81</v>
      </c>
      <c r="J141" s="37" t="s">
        <v>82</v>
      </c>
      <c r="K141" s="37" t="s">
        <v>87</v>
      </c>
      <c r="L141" s="36" t="s">
        <v>84</v>
      </c>
      <c r="M141" s="34">
        <v>924.62</v>
      </c>
      <c r="N141" s="34">
        <v>124.74</v>
      </c>
      <c r="O141" s="34">
        <v>799.88</v>
      </c>
      <c r="P141" s="34">
        <v>336.38</v>
      </c>
      <c r="Q141" s="34">
        <v>-2.12</v>
      </c>
      <c r="R141" s="34">
        <v>-6.17</v>
      </c>
      <c r="S141" s="34">
        <v>-11.37</v>
      </c>
      <c r="T141" s="34">
        <v>24.97</v>
      </c>
      <c r="U141" s="34">
        <v>376.41</v>
      </c>
      <c r="V141" s="34">
        <v>32.24</v>
      </c>
      <c r="W141" s="34">
        <v>2.14</v>
      </c>
      <c r="X141" s="34">
        <v>0.16</v>
      </c>
      <c r="Y141" s="35">
        <v>5.7389000000000001</v>
      </c>
      <c r="Z141" s="35">
        <v>6.6338999999999997</v>
      </c>
      <c r="AA141" s="35">
        <v>15.774900000000001</v>
      </c>
    </row>
    <row r="142" spans="1:27" ht="15.75" hidden="1" customHeight="1" x14ac:dyDescent="0.2">
      <c r="A142" s="2"/>
      <c r="B142" s="31">
        <v>137</v>
      </c>
      <c r="C142" s="36" t="s">
        <v>287</v>
      </c>
      <c r="D142" s="36" t="s">
        <v>298</v>
      </c>
      <c r="E142" s="36" t="s">
        <v>299</v>
      </c>
      <c r="F142" s="36" t="s">
        <v>403</v>
      </c>
      <c r="G142" s="36" t="s">
        <v>404</v>
      </c>
      <c r="H142" s="37" t="s">
        <v>80</v>
      </c>
      <c r="I142" s="37" t="s">
        <v>81</v>
      </c>
      <c r="J142" s="37" t="s">
        <v>82</v>
      </c>
      <c r="K142" s="37" t="s">
        <v>87</v>
      </c>
      <c r="L142" s="36" t="s">
        <v>84</v>
      </c>
      <c r="M142" s="34">
        <v>1021.15</v>
      </c>
      <c r="N142" s="34">
        <v>169.14</v>
      </c>
      <c r="O142" s="34">
        <v>852.01</v>
      </c>
      <c r="P142" s="34">
        <v>456.31</v>
      </c>
      <c r="Q142" s="34">
        <v>56.63</v>
      </c>
      <c r="R142" s="34">
        <v>43.83</v>
      </c>
      <c r="S142" s="34">
        <v>29.84</v>
      </c>
      <c r="T142" s="34">
        <v>54.23</v>
      </c>
      <c r="U142" s="34">
        <v>876.37</v>
      </c>
      <c r="V142" s="34">
        <v>9.5</v>
      </c>
      <c r="W142" s="34">
        <v>0.59</v>
      </c>
      <c r="X142" s="34">
        <v>0.2</v>
      </c>
      <c r="Y142" s="35">
        <v>5.1628999999999996</v>
      </c>
      <c r="Z142" s="35">
        <v>6.1879</v>
      </c>
      <c r="AA142" s="35">
        <v>11.553800000000001</v>
      </c>
    </row>
    <row r="143" spans="1:27" ht="15.75" hidden="1" customHeight="1" x14ac:dyDescent="0.2">
      <c r="A143" s="2"/>
      <c r="B143" s="31">
        <v>138</v>
      </c>
      <c r="C143" s="36" t="s">
        <v>287</v>
      </c>
      <c r="D143" s="36" t="s">
        <v>302</v>
      </c>
      <c r="E143" s="36" t="s">
        <v>303</v>
      </c>
      <c r="F143" s="36" t="s">
        <v>405</v>
      </c>
      <c r="G143" s="36" t="s">
        <v>406</v>
      </c>
      <c r="H143" s="37" t="s">
        <v>95</v>
      </c>
      <c r="I143" s="37" t="s">
        <v>81</v>
      </c>
      <c r="J143" s="37" t="s">
        <v>82</v>
      </c>
      <c r="K143" s="37" t="s">
        <v>87</v>
      </c>
      <c r="L143" s="36" t="s">
        <v>84</v>
      </c>
      <c r="M143" s="34">
        <v>1133.8599999999999</v>
      </c>
      <c r="N143" s="34">
        <v>976.53</v>
      </c>
      <c r="O143" s="34">
        <v>157.33000000000001</v>
      </c>
      <c r="P143" s="34">
        <v>373.17</v>
      </c>
      <c r="Q143" s="34">
        <v>-42.09</v>
      </c>
      <c r="R143" s="34">
        <v>-43.76</v>
      </c>
      <c r="S143" s="34">
        <v>-43.76</v>
      </c>
      <c r="T143" s="34">
        <v>-157.94</v>
      </c>
      <c r="U143" s="34">
        <v>248.31</v>
      </c>
      <c r="V143" s="34">
        <v>-0.98</v>
      </c>
      <c r="W143" s="34">
        <v>0.62</v>
      </c>
      <c r="X143" s="34">
        <v>6.21</v>
      </c>
      <c r="Y143" s="35">
        <v>-8.8254000000000001</v>
      </c>
      <c r="Z143" s="35">
        <v>-63.604100000000003</v>
      </c>
      <c r="AA143" s="35">
        <v>-26.8157</v>
      </c>
    </row>
    <row r="144" spans="1:27" ht="15.75" hidden="1" customHeight="1" x14ac:dyDescent="0.2">
      <c r="A144" s="2"/>
      <c r="B144" s="31">
        <v>139</v>
      </c>
      <c r="C144" s="36" t="s">
        <v>287</v>
      </c>
      <c r="D144" s="36" t="s">
        <v>407</v>
      </c>
      <c r="E144" s="36" t="s">
        <v>408</v>
      </c>
      <c r="F144" s="36" t="s">
        <v>409</v>
      </c>
      <c r="G144" s="36" t="s">
        <v>410</v>
      </c>
      <c r="H144" s="37" t="s">
        <v>95</v>
      </c>
      <c r="I144" s="37" t="s">
        <v>81</v>
      </c>
      <c r="J144" s="37" t="s">
        <v>82</v>
      </c>
      <c r="K144" s="37" t="s">
        <v>87</v>
      </c>
      <c r="L144" s="36" t="s">
        <v>84</v>
      </c>
      <c r="M144" s="34">
        <v>431.83</v>
      </c>
      <c r="N144" s="34">
        <v>281.5</v>
      </c>
      <c r="O144" s="34">
        <v>150.34</v>
      </c>
      <c r="P144" s="34">
        <v>88.26</v>
      </c>
      <c r="Q144" s="34">
        <v>1.71</v>
      </c>
      <c r="R144" s="34">
        <v>1.71</v>
      </c>
      <c r="S144" s="34">
        <v>1.69</v>
      </c>
      <c r="T144" s="34">
        <v>0.99</v>
      </c>
      <c r="U144" s="34">
        <v>104.52</v>
      </c>
      <c r="V144" s="34">
        <v>52.29</v>
      </c>
      <c r="W144" s="34">
        <v>0.5</v>
      </c>
      <c r="X144" s="34">
        <v>1.87</v>
      </c>
      <c r="Y144" s="35">
        <v>0.33119999999999999</v>
      </c>
      <c r="Z144" s="35">
        <v>0.95150000000000001</v>
      </c>
      <c r="AA144" s="35">
        <v>1.6207</v>
      </c>
    </row>
    <row r="145" spans="1:27" ht="15.75" hidden="1" customHeight="1" x14ac:dyDescent="0.2">
      <c r="A145" s="2"/>
      <c r="B145" s="31">
        <v>140</v>
      </c>
      <c r="C145" s="36" t="s">
        <v>287</v>
      </c>
      <c r="D145" s="36" t="s">
        <v>288</v>
      </c>
      <c r="E145" s="36" t="s">
        <v>289</v>
      </c>
      <c r="F145" s="36" t="s">
        <v>411</v>
      </c>
      <c r="G145" s="36" t="s">
        <v>412</v>
      </c>
      <c r="H145" s="37" t="s">
        <v>80</v>
      </c>
      <c r="I145" s="37" t="s">
        <v>81</v>
      </c>
      <c r="J145" s="37" t="s">
        <v>82</v>
      </c>
      <c r="K145" s="37" t="s">
        <v>87</v>
      </c>
      <c r="L145" s="36" t="s">
        <v>84</v>
      </c>
      <c r="M145" s="34">
        <v>527.83000000000004</v>
      </c>
      <c r="N145" s="34">
        <v>67.239999999999995</v>
      </c>
      <c r="O145" s="34">
        <v>460.6</v>
      </c>
      <c r="P145" s="34">
        <v>169.12</v>
      </c>
      <c r="Q145" s="34">
        <v>10.27</v>
      </c>
      <c r="R145" s="34">
        <v>8.5500000000000007</v>
      </c>
      <c r="S145" s="34">
        <v>8.5399999999999991</v>
      </c>
      <c r="T145" s="34">
        <v>110.02</v>
      </c>
      <c r="U145" s="34">
        <v>2218.06</v>
      </c>
      <c r="V145" s="34">
        <v>5.54</v>
      </c>
      <c r="W145" s="34">
        <v>0.28000000000000003</v>
      </c>
      <c r="X145" s="34">
        <v>0.15</v>
      </c>
      <c r="Y145" s="35">
        <v>4.3282999999999996</v>
      </c>
      <c r="Z145" s="35">
        <v>4.9600999999999997</v>
      </c>
      <c r="AA145" s="35">
        <v>13.5091</v>
      </c>
    </row>
    <row r="146" spans="1:27" ht="15.75" hidden="1" customHeight="1" x14ac:dyDescent="0.2">
      <c r="A146" s="2"/>
      <c r="B146" s="31">
        <v>141</v>
      </c>
      <c r="C146" s="36" t="s">
        <v>287</v>
      </c>
      <c r="D146" s="36" t="s">
        <v>312</v>
      </c>
      <c r="E146" s="36" t="s">
        <v>313</v>
      </c>
      <c r="F146" s="36" t="s">
        <v>413</v>
      </c>
      <c r="G146" s="36" t="s">
        <v>414</v>
      </c>
      <c r="H146" s="37" t="s">
        <v>80</v>
      </c>
      <c r="I146" s="37" t="s">
        <v>81</v>
      </c>
      <c r="J146" s="37" t="s">
        <v>82</v>
      </c>
      <c r="K146" s="37" t="s">
        <v>87</v>
      </c>
      <c r="L146" s="36" t="s">
        <v>84</v>
      </c>
      <c r="M146" s="34">
        <v>51453.1</v>
      </c>
      <c r="N146" s="34">
        <v>7186.68</v>
      </c>
      <c r="O146" s="34">
        <v>44266.42</v>
      </c>
      <c r="P146" s="34">
        <v>6926.4</v>
      </c>
      <c r="Q146" s="34">
        <v>637.36</v>
      </c>
      <c r="R146" s="34">
        <v>409.8</v>
      </c>
      <c r="S146" s="34">
        <v>409.8</v>
      </c>
      <c r="T146" s="34">
        <v>69.45</v>
      </c>
      <c r="U146" s="34">
        <v>4199.9399999999996</v>
      </c>
      <c r="V146" s="34">
        <v>63.35</v>
      </c>
      <c r="W146" s="34">
        <v>1.05</v>
      </c>
      <c r="X146" s="34">
        <v>0.16</v>
      </c>
      <c r="Y146" s="35">
        <v>1.4227000000000001</v>
      </c>
      <c r="Z146" s="35">
        <v>1.6536</v>
      </c>
      <c r="AA146" s="35">
        <v>10.5684</v>
      </c>
    </row>
    <row r="147" spans="1:27" ht="15.75" hidden="1" customHeight="1" x14ac:dyDescent="0.2">
      <c r="A147" s="2"/>
      <c r="B147" s="31">
        <v>142</v>
      </c>
      <c r="C147" s="36" t="s">
        <v>287</v>
      </c>
      <c r="D147" s="36" t="s">
        <v>415</v>
      </c>
      <c r="E147" s="36" t="s">
        <v>416</v>
      </c>
      <c r="F147" s="36" t="s">
        <v>417</v>
      </c>
      <c r="G147" s="36" t="s">
        <v>418</v>
      </c>
      <c r="H147" s="37" t="s">
        <v>80</v>
      </c>
      <c r="I147" s="37" t="s">
        <v>81</v>
      </c>
      <c r="J147" s="37" t="s">
        <v>82</v>
      </c>
      <c r="K147" s="37" t="s">
        <v>87</v>
      </c>
      <c r="L147" s="36" t="s">
        <v>84</v>
      </c>
      <c r="M147" s="34">
        <v>200097.37</v>
      </c>
      <c r="N147" s="34">
        <v>93696.34</v>
      </c>
      <c r="O147" s="34">
        <v>106401.04</v>
      </c>
      <c r="P147" s="34">
        <v>25380.06</v>
      </c>
      <c r="Q147" s="34">
        <v>3308.61</v>
      </c>
      <c r="R147" s="34">
        <v>2656.93</v>
      </c>
      <c r="S147" s="34">
        <v>2657.21</v>
      </c>
      <c r="T147" s="34">
        <v>903.75</v>
      </c>
      <c r="U147" s="34">
        <v>19448.25</v>
      </c>
      <c r="V147" s="34">
        <v>8.1300000000000008</v>
      </c>
      <c r="W147" s="34">
        <v>0.38</v>
      </c>
      <c r="X147" s="34">
        <v>0.88</v>
      </c>
      <c r="Y147" s="35">
        <v>2.4710000000000001</v>
      </c>
      <c r="Z147" s="35">
        <v>4.6470000000000002</v>
      </c>
      <c r="AA147" s="35">
        <v>19.4815</v>
      </c>
    </row>
    <row r="148" spans="1:27" ht="15.75" hidden="1" customHeight="1" x14ac:dyDescent="0.2">
      <c r="A148" s="2"/>
      <c r="B148" s="31">
        <v>143</v>
      </c>
      <c r="C148" s="36" t="s">
        <v>287</v>
      </c>
      <c r="D148" s="36" t="s">
        <v>415</v>
      </c>
      <c r="E148" s="36" t="s">
        <v>416</v>
      </c>
      <c r="F148" s="36" t="s">
        <v>419</v>
      </c>
      <c r="G148" s="36" t="s">
        <v>420</v>
      </c>
      <c r="H148" s="37" t="s">
        <v>95</v>
      </c>
      <c r="I148" s="37" t="s">
        <v>81</v>
      </c>
      <c r="J148" s="37" t="s">
        <v>82</v>
      </c>
      <c r="K148" s="37" t="s">
        <v>87</v>
      </c>
      <c r="L148" s="36" t="s">
        <v>84</v>
      </c>
      <c r="M148" s="34">
        <v>7587.15</v>
      </c>
      <c r="N148" s="34">
        <v>6273.43</v>
      </c>
      <c r="O148" s="34">
        <v>1313.72</v>
      </c>
      <c r="P148" s="34">
        <v>513.13</v>
      </c>
      <c r="Q148" s="34">
        <v>-170.31</v>
      </c>
      <c r="R148" s="34">
        <v>-134.38999999999999</v>
      </c>
      <c r="S148" s="34">
        <v>-134.38999999999999</v>
      </c>
      <c r="T148" s="34">
        <v>-329.43</v>
      </c>
      <c r="U148" s="34">
        <v>936.42</v>
      </c>
      <c r="V148" s="34">
        <v>-2.31</v>
      </c>
      <c r="W148" s="34">
        <v>0.81</v>
      </c>
      <c r="X148" s="34">
        <v>4.78</v>
      </c>
      <c r="Y148" s="35">
        <v>-6.0304000000000002</v>
      </c>
      <c r="Z148" s="35">
        <v>-34.827399999999997</v>
      </c>
      <c r="AA148" s="35">
        <v>-89.1661</v>
      </c>
    </row>
    <row r="149" spans="1:27" ht="15.75" hidden="1" customHeight="1" x14ac:dyDescent="0.2">
      <c r="A149" s="2"/>
      <c r="B149" s="31">
        <v>144</v>
      </c>
      <c r="C149" s="36" t="s">
        <v>287</v>
      </c>
      <c r="D149" s="36" t="s">
        <v>415</v>
      </c>
      <c r="E149" s="36" t="s">
        <v>416</v>
      </c>
      <c r="F149" s="36" t="s">
        <v>421</v>
      </c>
      <c r="G149" s="36" t="s">
        <v>422</v>
      </c>
      <c r="H149" s="37" t="s">
        <v>80</v>
      </c>
      <c r="I149" s="37" t="s">
        <v>81</v>
      </c>
      <c r="J149" s="37" t="s">
        <v>82</v>
      </c>
      <c r="K149" s="37" t="s">
        <v>87</v>
      </c>
      <c r="L149" s="36" t="s">
        <v>84</v>
      </c>
      <c r="M149" s="34">
        <v>39.909999999999997</v>
      </c>
      <c r="N149" s="34">
        <v>3.69</v>
      </c>
      <c r="O149" s="34">
        <v>36.22</v>
      </c>
      <c r="P149" s="34">
        <v>18.78</v>
      </c>
      <c r="Q149" s="34">
        <v>-2.11</v>
      </c>
      <c r="R149" s="34">
        <v>-2.11</v>
      </c>
      <c r="S149" s="34">
        <v>-2.11</v>
      </c>
      <c r="T149" s="34">
        <v>-4.5599999999999996</v>
      </c>
      <c r="U149" s="34">
        <v>61.2</v>
      </c>
      <c r="V149" s="34">
        <v>-43.44</v>
      </c>
      <c r="W149" s="34">
        <v>3.24</v>
      </c>
      <c r="X149" s="34">
        <v>0.1</v>
      </c>
      <c r="Y149" s="35">
        <v>-6.7587999999999999</v>
      </c>
      <c r="Z149" s="35">
        <v>-7.4474999999999998</v>
      </c>
      <c r="AA149" s="35">
        <v>-14.3604</v>
      </c>
    </row>
    <row r="150" spans="1:27" ht="15.75" hidden="1" customHeight="1" x14ac:dyDescent="0.2">
      <c r="A150" s="2"/>
      <c r="B150" s="31">
        <v>145</v>
      </c>
      <c r="C150" s="36" t="s">
        <v>287</v>
      </c>
      <c r="D150" s="36" t="s">
        <v>326</v>
      </c>
      <c r="E150" s="36" t="s">
        <v>327</v>
      </c>
      <c r="F150" s="36" t="s">
        <v>423</v>
      </c>
      <c r="G150" s="36" t="s">
        <v>424</v>
      </c>
      <c r="H150" s="37" t="s">
        <v>80</v>
      </c>
      <c r="I150" s="37" t="s">
        <v>81</v>
      </c>
      <c r="J150" s="37" t="s">
        <v>82</v>
      </c>
      <c r="K150" s="37" t="s">
        <v>87</v>
      </c>
      <c r="L150" s="36" t="s">
        <v>84</v>
      </c>
      <c r="M150" s="34">
        <v>29111.72</v>
      </c>
      <c r="N150" s="34">
        <v>7370.26</v>
      </c>
      <c r="O150" s="34">
        <v>21741.46</v>
      </c>
      <c r="P150" s="34">
        <v>8032.82</v>
      </c>
      <c r="Q150" s="34">
        <v>616.86</v>
      </c>
      <c r="R150" s="34">
        <v>494.76</v>
      </c>
      <c r="S150" s="34">
        <v>494.76</v>
      </c>
      <c r="T150" s="34">
        <v>588.23</v>
      </c>
      <c r="U150" s="34">
        <v>6184.28</v>
      </c>
      <c r="V150" s="34">
        <v>11.09</v>
      </c>
      <c r="W150" s="34">
        <v>1.06</v>
      </c>
      <c r="X150" s="34">
        <v>0.34</v>
      </c>
      <c r="Y150" s="35">
        <v>7.1036999999999999</v>
      </c>
      <c r="Z150" s="35">
        <v>9.5117999999999991</v>
      </c>
      <c r="AA150" s="35">
        <v>25.744299999999999</v>
      </c>
    </row>
    <row r="151" spans="1:27" ht="15.75" hidden="1" customHeight="1" x14ac:dyDescent="0.2">
      <c r="A151" s="2"/>
      <c r="B151" s="31">
        <v>146</v>
      </c>
      <c r="C151" s="36" t="s">
        <v>287</v>
      </c>
      <c r="D151" s="36" t="s">
        <v>298</v>
      </c>
      <c r="E151" s="36" t="s">
        <v>299</v>
      </c>
      <c r="F151" s="36" t="s">
        <v>425</v>
      </c>
      <c r="G151" s="36" t="s">
        <v>426</v>
      </c>
      <c r="H151" s="37" t="s">
        <v>80</v>
      </c>
      <c r="I151" s="37" t="s">
        <v>81</v>
      </c>
      <c r="J151" s="37" t="s">
        <v>82</v>
      </c>
      <c r="K151" s="37" t="s">
        <v>87</v>
      </c>
      <c r="L151" s="36" t="s">
        <v>84</v>
      </c>
      <c r="M151" s="34">
        <v>6208.22</v>
      </c>
      <c r="N151" s="34">
        <v>3300.27</v>
      </c>
      <c r="O151" s="34">
        <v>2907.95</v>
      </c>
      <c r="P151" s="34">
        <v>1899.25</v>
      </c>
      <c r="Q151" s="34">
        <v>20.27</v>
      </c>
      <c r="R151" s="34">
        <v>6.55</v>
      </c>
      <c r="S151" s="34">
        <v>8.44</v>
      </c>
      <c r="T151" s="34">
        <v>3.07</v>
      </c>
      <c r="U151" s="34">
        <v>451.31</v>
      </c>
      <c r="V151" s="34">
        <v>46.19</v>
      </c>
      <c r="W151" s="34">
        <v>0.31</v>
      </c>
      <c r="X151" s="34">
        <v>1.1299999999999999</v>
      </c>
      <c r="Y151" s="35">
        <v>0.31900000000000001</v>
      </c>
      <c r="Z151" s="35">
        <v>0.68110000000000004</v>
      </c>
      <c r="AA151" s="35">
        <v>1.0428999999999999</v>
      </c>
    </row>
    <row r="152" spans="1:27" ht="15.75" hidden="1" customHeight="1" x14ac:dyDescent="0.2">
      <c r="A152" s="2"/>
      <c r="B152" s="31">
        <v>147</v>
      </c>
      <c r="C152" s="36" t="s">
        <v>287</v>
      </c>
      <c r="D152" s="36" t="s">
        <v>330</v>
      </c>
      <c r="E152" s="36" t="s">
        <v>331</v>
      </c>
      <c r="F152" s="36" t="s">
        <v>427</v>
      </c>
      <c r="G152" s="36" t="s">
        <v>428</v>
      </c>
      <c r="H152" s="37" t="s">
        <v>80</v>
      </c>
      <c r="I152" s="37" t="s">
        <v>81</v>
      </c>
      <c r="J152" s="37" t="s">
        <v>82</v>
      </c>
      <c r="K152" s="37" t="s">
        <v>87</v>
      </c>
      <c r="L152" s="36" t="s">
        <v>84</v>
      </c>
      <c r="M152" s="34">
        <v>8391.73</v>
      </c>
      <c r="N152" s="34">
        <v>3251.68</v>
      </c>
      <c r="O152" s="34">
        <v>5140.05</v>
      </c>
      <c r="P152" s="34">
        <v>2614.35</v>
      </c>
      <c r="Q152" s="34">
        <v>267.82</v>
      </c>
      <c r="R152" s="34">
        <v>213.34</v>
      </c>
      <c r="S152" s="34">
        <v>213.36</v>
      </c>
      <c r="T152" s="34">
        <v>74.290000000000006</v>
      </c>
      <c r="U152" s="34">
        <v>715.29</v>
      </c>
      <c r="V152" s="34">
        <v>5.92</v>
      </c>
      <c r="W152" s="34">
        <v>0.62</v>
      </c>
      <c r="X152" s="34">
        <v>0.63</v>
      </c>
      <c r="Y152" s="35">
        <v>6.3616999999999999</v>
      </c>
      <c r="Z152" s="35">
        <v>10.386200000000001</v>
      </c>
      <c r="AA152" s="35">
        <v>20.420200000000001</v>
      </c>
    </row>
    <row r="153" spans="1:27" ht="15.75" hidden="1" customHeight="1" x14ac:dyDescent="0.2">
      <c r="A153" s="2"/>
      <c r="B153" s="31">
        <v>148</v>
      </c>
      <c r="C153" s="36" t="s">
        <v>287</v>
      </c>
      <c r="D153" s="36" t="s">
        <v>388</v>
      </c>
      <c r="E153" s="36" t="s">
        <v>389</v>
      </c>
      <c r="F153" s="36" t="s">
        <v>429</v>
      </c>
      <c r="G153" s="36" t="s">
        <v>430</v>
      </c>
      <c r="H153" s="37" t="s">
        <v>95</v>
      </c>
      <c r="I153" s="37" t="s">
        <v>431</v>
      </c>
      <c r="J153" s="37" t="s">
        <v>82</v>
      </c>
      <c r="K153" s="37" t="s">
        <v>104</v>
      </c>
      <c r="L153" s="36" t="s">
        <v>432</v>
      </c>
      <c r="M153" s="34">
        <v>98.97</v>
      </c>
      <c r="N153" s="34">
        <v>17.84</v>
      </c>
      <c r="O153" s="34">
        <v>81.13</v>
      </c>
      <c r="P153" s="34">
        <v>6.74</v>
      </c>
      <c r="Q153" s="34">
        <v>1.08</v>
      </c>
      <c r="R153" s="34">
        <v>0.81</v>
      </c>
      <c r="S153" s="34">
        <v>0.81</v>
      </c>
      <c r="T153" s="34">
        <v>1.21</v>
      </c>
      <c r="U153" s="34">
        <v>122</v>
      </c>
      <c r="V153" s="34">
        <v>14.84</v>
      </c>
      <c r="W153" s="34">
        <v>0.15</v>
      </c>
      <c r="X153" s="34">
        <v>0.22</v>
      </c>
      <c r="Y153" s="35">
        <v>0.81520000000000004</v>
      </c>
      <c r="Z153" s="35">
        <v>0.99439999999999995</v>
      </c>
      <c r="AA153" s="35">
        <v>11.9763</v>
      </c>
    </row>
    <row r="154" spans="1:27" ht="15.75" hidden="1" customHeight="1" x14ac:dyDescent="0.2">
      <c r="A154" s="2"/>
      <c r="B154" s="31">
        <v>149</v>
      </c>
      <c r="C154" s="36" t="s">
        <v>287</v>
      </c>
      <c r="D154" s="36" t="s">
        <v>415</v>
      </c>
      <c r="E154" s="36" t="s">
        <v>416</v>
      </c>
      <c r="F154" s="36" t="s">
        <v>433</v>
      </c>
      <c r="G154" s="36" t="s">
        <v>434</v>
      </c>
      <c r="H154" s="37" t="s">
        <v>95</v>
      </c>
      <c r="I154" s="37" t="s">
        <v>435</v>
      </c>
      <c r="J154" s="37" t="s">
        <v>82</v>
      </c>
      <c r="K154" s="37" t="s">
        <v>87</v>
      </c>
      <c r="L154" s="36" t="s">
        <v>84</v>
      </c>
      <c r="M154" s="34">
        <v>1012.66</v>
      </c>
      <c r="N154" s="34">
        <v>876.71</v>
      </c>
      <c r="O154" s="34">
        <v>135.94999999999999</v>
      </c>
      <c r="P154" s="34">
        <v>0.38</v>
      </c>
      <c r="Q154" s="34">
        <v>-26.15</v>
      </c>
      <c r="R154" s="34">
        <v>-33.74</v>
      </c>
      <c r="S154" s="34">
        <v>-33.74</v>
      </c>
      <c r="T154" s="34">
        <v>-3.95</v>
      </c>
      <c r="U154" s="34">
        <v>15.65</v>
      </c>
      <c r="V154" s="34">
        <v>-12.67</v>
      </c>
      <c r="W154" s="34">
        <v>3.2</v>
      </c>
      <c r="X154" s="34">
        <v>6.45</v>
      </c>
      <c r="Y154" s="35">
        <v>-3.3856999999999999</v>
      </c>
      <c r="Z154" s="35">
        <v>-25.220099999999999</v>
      </c>
      <c r="AA154" s="35">
        <v>-8954.3307999999997</v>
      </c>
    </row>
    <row r="155" spans="1:27" ht="15.75" hidden="1" customHeight="1" x14ac:dyDescent="0.2">
      <c r="A155" s="2"/>
      <c r="B155" s="31">
        <v>150</v>
      </c>
      <c r="C155" s="36" t="s">
        <v>287</v>
      </c>
      <c r="D155" s="36" t="s">
        <v>298</v>
      </c>
      <c r="E155" s="36" t="s">
        <v>299</v>
      </c>
      <c r="F155" s="36" t="s">
        <v>436</v>
      </c>
      <c r="G155" s="36" t="s">
        <v>437</v>
      </c>
      <c r="H155" s="37" t="s">
        <v>80</v>
      </c>
      <c r="I155" s="37" t="s">
        <v>81</v>
      </c>
      <c r="J155" s="37" t="s">
        <v>82</v>
      </c>
      <c r="K155" s="37" t="s">
        <v>87</v>
      </c>
      <c r="L155" s="36" t="s">
        <v>84</v>
      </c>
      <c r="M155" s="34">
        <v>1261.4100000000001</v>
      </c>
      <c r="N155" s="34">
        <v>490.81</v>
      </c>
      <c r="O155" s="34">
        <v>770.6</v>
      </c>
      <c r="P155" s="34">
        <v>1045.57</v>
      </c>
      <c r="Q155" s="34">
        <v>16.21</v>
      </c>
      <c r="R155" s="34">
        <v>7.42</v>
      </c>
      <c r="S155" s="34">
        <v>7.42</v>
      </c>
      <c r="T155" s="34">
        <v>31.4</v>
      </c>
      <c r="U155" s="34">
        <v>475.68</v>
      </c>
      <c r="V155" s="34">
        <v>14.33</v>
      </c>
      <c r="W155" s="34">
        <v>0.95</v>
      </c>
      <c r="X155" s="34">
        <v>0.64</v>
      </c>
      <c r="Y155" s="35">
        <v>4.0328999999999997</v>
      </c>
      <c r="Z155" s="35">
        <v>6.6014999999999997</v>
      </c>
      <c r="AA155" s="35">
        <v>4.8654000000000002</v>
      </c>
    </row>
    <row r="156" spans="1:27" ht="15.75" hidden="1" customHeight="1" x14ac:dyDescent="0.2">
      <c r="A156" s="2"/>
      <c r="B156" s="31">
        <v>151</v>
      </c>
      <c r="C156" s="36" t="s">
        <v>287</v>
      </c>
      <c r="D156" s="36" t="s">
        <v>288</v>
      </c>
      <c r="E156" s="36" t="s">
        <v>289</v>
      </c>
      <c r="F156" s="36" t="s">
        <v>438</v>
      </c>
      <c r="G156" s="36" t="s">
        <v>439</v>
      </c>
      <c r="H156" s="37" t="s">
        <v>80</v>
      </c>
      <c r="I156" s="37" t="s">
        <v>81</v>
      </c>
      <c r="J156" s="37" t="s">
        <v>82</v>
      </c>
      <c r="K156" s="37" t="s">
        <v>87</v>
      </c>
      <c r="L156" s="36" t="s">
        <v>84</v>
      </c>
      <c r="M156" s="34">
        <v>125.15</v>
      </c>
      <c r="N156" s="34">
        <v>62.72</v>
      </c>
      <c r="O156" s="34">
        <v>62.43</v>
      </c>
      <c r="P156" s="34">
        <v>92.07</v>
      </c>
      <c r="Q156" s="34">
        <v>-3.27</v>
      </c>
      <c r="R156" s="34">
        <v>-2.59</v>
      </c>
      <c r="S156" s="34">
        <v>-2.59</v>
      </c>
      <c r="T156" s="34">
        <v>-2.17</v>
      </c>
      <c r="U156" s="34">
        <v>41.62</v>
      </c>
      <c r="V156" s="34">
        <v>-16.12</v>
      </c>
      <c r="W156" s="34">
        <v>0.84</v>
      </c>
      <c r="X156" s="34">
        <v>1</v>
      </c>
      <c r="Y156" s="35">
        <v>-2.6025</v>
      </c>
      <c r="Z156" s="35">
        <v>-5.2171000000000003</v>
      </c>
      <c r="AA156" s="35">
        <v>-3.5375999999999999</v>
      </c>
    </row>
    <row r="157" spans="1:27" ht="15.75" hidden="1" customHeight="1" x14ac:dyDescent="0.2">
      <c r="A157" s="2"/>
      <c r="B157" s="31">
        <v>152</v>
      </c>
      <c r="C157" s="36" t="s">
        <v>287</v>
      </c>
      <c r="D157" s="36" t="s">
        <v>407</v>
      </c>
      <c r="E157" s="36" t="s">
        <v>408</v>
      </c>
      <c r="F157" s="36" t="s">
        <v>440</v>
      </c>
      <c r="G157" s="36" t="s">
        <v>441</v>
      </c>
      <c r="H157" s="37" t="s">
        <v>95</v>
      </c>
      <c r="I157" s="37" t="s">
        <v>81</v>
      </c>
      <c r="J157" s="37" t="s">
        <v>82</v>
      </c>
      <c r="K157" s="37" t="s">
        <v>87</v>
      </c>
      <c r="L157" s="36" t="s">
        <v>84</v>
      </c>
      <c r="M157" s="34">
        <v>5637.36</v>
      </c>
      <c r="N157" s="34">
        <v>3349.85</v>
      </c>
      <c r="O157" s="34">
        <v>2287.5100000000002</v>
      </c>
      <c r="P157" s="34">
        <v>7012.28</v>
      </c>
      <c r="Q157" s="34">
        <v>269.52999999999997</v>
      </c>
      <c r="R157" s="34">
        <v>202.63</v>
      </c>
      <c r="S157" s="34">
        <v>200.46</v>
      </c>
      <c r="T157" s="34">
        <v>58.09</v>
      </c>
      <c r="U157" s="34">
        <v>278.44</v>
      </c>
      <c r="V157" s="34">
        <v>5.0999999999999996</v>
      </c>
      <c r="W157" s="34">
        <v>1.06</v>
      </c>
      <c r="X157" s="34">
        <v>1.46</v>
      </c>
      <c r="Y157" s="35">
        <v>8.4661000000000008</v>
      </c>
      <c r="Z157" s="35">
        <v>20.864000000000001</v>
      </c>
      <c r="AA157" s="35">
        <v>6.8061999999999996</v>
      </c>
    </row>
    <row r="158" spans="1:27" ht="15.75" hidden="1" customHeight="1" x14ac:dyDescent="0.2">
      <c r="A158" s="2"/>
      <c r="B158" s="31">
        <v>153</v>
      </c>
      <c r="C158" s="36" t="s">
        <v>287</v>
      </c>
      <c r="D158" s="36" t="s">
        <v>330</v>
      </c>
      <c r="E158" s="36" t="s">
        <v>331</v>
      </c>
      <c r="F158" s="36" t="s">
        <v>442</v>
      </c>
      <c r="G158" s="36" t="s">
        <v>443</v>
      </c>
      <c r="H158" s="37" t="s">
        <v>95</v>
      </c>
      <c r="I158" s="37" t="s">
        <v>81</v>
      </c>
      <c r="J158" s="37" t="s">
        <v>82</v>
      </c>
      <c r="K158" s="37" t="s">
        <v>87</v>
      </c>
      <c r="L158" s="36" t="s">
        <v>84</v>
      </c>
      <c r="M158" s="34">
        <v>47270.09</v>
      </c>
      <c r="N158" s="34">
        <v>41139.370000000003</v>
      </c>
      <c r="O158" s="34">
        <v>6130.72</v>
      </c>
      <c r="P158" s="34">
        <v>7479.7</v>
      </c>
      <c r="Q158" s="34">
        <v>-1636.25</v>
      </c>
      <c r="R158" s="34">
        <v>-1710.44</v>
      </c>
      <c r="S158" s="34">
        <v>-1738.58</v>
      </c>
      <c r="T158" s="34">
        <v>-164.74</v>
      </c>
      <c r="U158" s="34">
        <v>316.89</v>
      </c>
      <c r="V158" s="34">
        <v>-1.89</v>
      </c>
      <c r="W158" s="34">
        <v>0.98</v>
      </c>
      <c r="X158" s="34">
        <v>6.71</v>
      </c>
      <c r="Y158" s="35">
        <v>-6.7423999999999999</v>
      </c>
      <c r="Z158" s="35">
        <v>-51.9861</v>
      </c>
      <c r="AA158" s="35">
        <v>-42.610399999999998</v>
      </c>
    </row>
    <row r="159" spans="1:27" ht="15.75" hidden="1" customHeight="1" x14ac:dyDescent="0.2">
      <c r="A159" s="2"/>
      <c r="B159" s="31">
        <v>154</v>
      </c>
      <c r="C159" s="36" t="s">
        <v>287</v>
      </c>
      <c r="D159" s="36" t="s">
        <v>330</v>
      </c>
      <c r="E159" s="36" t="s">
        <v>331</v>
      </c>
      <c r="F159" s="36" t="s">
        <v>444</v>
      </c>
      <c r="G159" s="36" t="s">
        <v>445</v>
      </c>
      <c r="H159" s="37" t="s">
        <v>80</v>
      </c>
      <c r="I159" s="37" t="s">
        <v>81</v>
      </c>
      <c r="J159" s="37" t="s">
        <v>82</v>
      </c>
      <c r="K159" s="37" t="s">
        <v>87</v>
      </c>
      <c r="L159" s="36" t="s">
        <v>84</v>
      </c>
      <c r="M159" s="34">
        <v>110.43</v>
      </c>
      <c r="N159" s="34">
        <v>16.25</v>
      </c>
      <c r="O159" s="34">
        <v>94.18</v>
      </c>
      <c r="P159" s="34">
        <v>35.82</v>
      </c>
      <c r="Q159" s="34">
        <v>-3.81</v>
      </c>
      <c r="R159" s="34">
        <v>-3.75</v>
      </c>
      <c r="S159" s="34">
        <v>-3.75</v>
      </c>
      <c r="T159" s="34">
        <v>-86.72</v>
      </c>
      <c r="U159" s="34">
        <v>981.01</v>
      </c>
      <c r="V159" s="34">
        <v>-2.95</v>
      </c>
      <c r="W159" s="34">
        <v>0.26</v>
      </c>
      <c r="X159" s="34">
        <v>0.17</v>
      </c>
      <c r="Y159" s="35">
        <v>-7.5391000000000004</v>
      </c>
      <c r="Z159" s="35">
        <v>-8.8401999999999994</v>
      </c>
      <c r="AA159" s="35">
        <v>-23.240500000000001</v>
      </c>
    </row>
    <row r="160" spans="1:27" ht="15.75" hidden="1" customHeight="1" x14ac:dyDescent="0.2">
      <c r="A160" s="2"/>
      <c r="B160" s="31">
        <v>155</v>
      </c>
      <c r="C160" s="36" t="s">
        <v>287</v>
      </c>
      <c r="D160" s="36" t="s">
        <v>288</v>
      </c>
      <c r="E160" s="36" t="s">
        <v>289</v>
      </c>
      <c r="F160" s="36" t="s">
        <v>446</v>
      </c>
      <c r="G160" s="36" t="s">
        <v>447</v>
      </c>
      <c r="H160" s="37" t="s">
        <v>80</v>
      </c>
      <c r="I160" s="37" t="s">
        <v>81</v>
      </c>
      <c r="J160" s="37" t="s">
        <v>82</v>
      </c>
      <c r="K160" s="37" t="s">
        <v>87</v>
      </c>
      <c r="L160" s="36" t="s">
        <v>90</v>
      </c>
      <c r="M160" s="34">
        <v>6652.62</v>
      </c>
      <c r="N160" s="34">
        <v>3523.15</v>
      </c>
      <c r="O160" s="34">
        <v>3129.47</v>
      </c>
      <c r="P160" s="34">
        <v>4215.97</v>
      </c>
      <c r="Q160" s="34">
        <v>125.84</v>
      </c>
      <c r="R160" s="34">
        <v>96.27</v>
      </c>
      <c r="S160" s="34">
        <v>79.599999999999994</v>
      </c>
      <c r="T160" s="34">
        <v>104.74</v>
      </c>
      <c r="U160" s="34">
        <v>2006.07</v>
      </c>
      <c r="V160" s="34">
        <v>8.07</v>
      </c>
      <c r="W160" s="34">
        <v>0.42</v>
      </c>
      <c r="X160" s="34">
        <v>1.1299999999999999</v>
      </c>
      <c r="Y160" s="35">
        <v>2.4561000000000002</v>
      </c>
      <c r="Z160" s="35">
        <v>5.2211999999999996</v>
      </c>
      <c r="AA160" s="35">
        <v>3.8755999999999999</v>
      </c>
    </row>
    <row r="161" spans="1:27" ht="15.75" hidden="1" customHeight="1" x14ac:dyDescent="0.2">
      <c r="A161" s="2"/>
      <c r="B161" s="31">
        <v>156</v>
      </c>
      <c r="C161" s="36" t="s">
        <v>287</v>
      </c>
      <c r="D161" s="36" t="s">
        <v>312</v>
      </c>
      <c r="E161" s="36" t="s">
        <v>313</v>
      </c>
      <c r="F161" s="36" t="s">
        <v>448</v>
      </c>
      <c r="G161" s="36" t="s">
        <v>449</v>
      </c>
      <c r="H161" s="37" t="s">
        <v>80</v>
      </c>
      <c r="I161" s="37" t="s">
        <v>81</v>
      </c>
      <c r="J161" s="37" t="s">
        <v>82</v>
      </c>
      <c r="K161" s="37" t="s">
        <v>104</v>
      </c>
      <c r="L161" s="36" t="s">
        <v>90</v>
      </c>
      <c r="M161" s="34">
        <v>56501.13</v>
      </c>
      <c r="N161" s="34">
        <v>18827.259999999998</v>
      </c>
      <c r="O161" s="34">
        <v>37673.879999999997</v>
      </c>
      <c r="P161" s="34">
        <v>10188.25</v>
      </c>
      <c r="Q161" s="34">
        <v>506.82</v>
      </c>
      <c r="R161" s="34">
        <v>462.77</v>
      </c>
      <c r="S161" s="34">
        <v>94.99</v>
      </c>
      <c r="T161" s="34">
        <v>1.19</v>
      </c>
      <c r="U161" s="34">
        <v>348.85</v>
      </c>
      <c r="V161" s="34">
        <v>540.5</v>
      </c>
      <c r="W161" s="34">
        <v>1.85</v>
      </c>
      <c r="X161" s="34">
        <v>0.5</v>
      </c>
      <c r="Y161" s="35">
        <v>0.2281</v>
      </c>
      <c r="Z161" s="35">
        <v>0.34210000000000002</v>
      </c>
      <c r="AA161" s="35">
        <v>1.2648999999999999</v>
      </c>
    </row>
    <row r="162" spans="1:27" ht="15.75" hidden="1" customHeight="1" x14ac:dyDescent="0.2">
      <c r="A162" s="2"/>
      <c r="B162" s="31">
        <v>157</v>
      </c>
      <c r="C162" s="36" t="s">
        <v>287</v>
      </c>
      <c r="D162" s="36" t="s">
        <v>312</v>
      </c>
      <c r="E162" s="36" t="s">
        <v>313</v>
      </c>
      <c r="F162" s="36" t="s">
        <v>450</v>
      </c>
      <c r="G162" s="36" t="s">
        <v>451</v>
      </c>
      <c r="H162" s="37" t="s">
        <v>80</v>
      </c>
      <c r="I162" s="37" t="s">
        <v>81</v>
      </c>
      <c r="J162" s="37" t="s">
        <v>82</v>
      </c>
      <c r="K162" s="37" t="s">
        <v>104</v>
      </c>
      <c r="L162" s="36" t="s">
        <v>90</v>
      </c>
      <c r="M162" s="34">
        <v>85755.03</v>
      </c>
      <c r="N162" s="34">
        <v>39184.959999999999</v>
      </c>
      <c r="O162" s="34">
        <v>46570.06</v>
      </c>
      <c r="P162" s="34">
        <v>13870.98</v>
      </c>
      <c r="Q162" s="34">
        <v>400.44</v>
      </c>
      <c r="R162" s="34">
        <v>134.66999999999999</v>
      </c>
      <c r="S162" s="34">
        <v>-256.48</v>
      </c>
      <c r="T162" s="34">
        <v>-38.93</v>
      </c>
      <c r="U162" s="34">
        <v>1902.92</v>
      </c>
      <c r="V162" s="34">
        <v>-54.2</v>
      </c>
      <c r="W162" s="34">
        <v>1.1100000000000001</v>
      </c>
      <c r="X162" s="34">
        <v>0.84</v>
      </c>
      <c r="Y162" s="35">
        <v>-1.111</v>
      </c>
      <c r="Z162" s="35">
        <v>-2.0457000000000001</v>
      </c>
      <c r="AA162" s="35">
        <v>-6.8682999999999996</v>
      </c>
    </row>
    <row r="163" spans="1:27" ht="15.75" hidden="1" customHeight="1" x14ac:dyDescent="0.2">
      <c r="A163" s="2"/>
      <c r="B163" s="31">
        <v>158</v>
      </c>
      <c r="C163" s="36" t="s">
        <v>287</v>
      </c>
      <c r="D163" s="36" t="s">
        <v>288</v>
      </c>
      <c r="E163" s="36" t="s">
        <v>289</v>
      </c>
      <c r="F163" s="36" t="s">
        <v>452</v>
      </c>
      <c r="G163" s="36" t="s">
        <v>453</v>
      </c>
      <c r="H163" s="37" t="s">
        <v>80</v>
      </c>
      <c r="I163" s="37" t="s">
        <v>81</v>
      </c>
      <c r="J163" s="37" t="s">
        <v>82</v>
      </c>
      <c r="K163" s="37" t="s">
        <v>87</v>
      </c>
      <c r="L163" s="36" t="s">
        <v>84</v>
      </c>
      <c r="M163" s="34">
        <v>1044.77</v>
      </c>
      <c r="N163" s="34">
        <v>73.099999999999994</v>
      </c>
      <c r="O163" s="34">
        <v>971.68</v>
      </c>
      <c r="P163" s="34">
        <v>151.41</v>
      </c>
      <c r="Q163" s="34">
        <v>24.14</v>
      </c>
      <c r="R163" s="34">
        <v>18.149999999999999</v>
      </c>
      <c r="S163" s="34">
        <v>17.82</v>
      </c>
      <c r="T163" s="34">
        <v>13.45</v>
      </c>
      <c r="U163" s="34">
        <v>380.2</v>
      </c>
      <c r="V163" s="34">
        <v>13.75</v>
      </c>
      <c r="W163" s="34">
        <v>0.49</v>
      </c>
      <c r="X163" s="34">
        <v>0.08</v>
      </c>
      <c r="Y163" s="35">
        <v>3.2574000000000001</v>
      </c>
      <c r="Z163" s="35">
        <v>3.5024000000000002</v>
      </c>
      <c r="AA163" s="35">
        <v>22.476900000000001</v>
      </c>
    </row>
    <row r="164" spans="1:27" ht="15.75" hidden="1" customHeight="1" x14ac:dyDescent="0.2">
      <c r="A164" s="2"/>
      <c r="B164" s="31">
        <v>159</v>
      </c>
      <c r="C164" s="36" t="s">
        <v>287</v>
      </c>
      <c r="D164" s="36" t="s">
        <v>312</v>
      </c>
      <c r="E164" s="36" t="s">
        <v>313</v>
      </c>
      <c r="F164" s="36" t="s">
        <v>454</v>
      </c>
      <c r="G164" s="36" t="s">
        <v>455</v>
      </c>
      <c r="H164" s="37" t="s">
        <v>80</v>
      </c>
      <c r="I164" s="37" t="s">
        <v>81</v>
      </c>
      <c r="J164" s="37" t="s">
        <v>82</v>
      </c>
      <c r="K164" s="37" t="s">
        <v>104</v>
      </c>
      <c r="L164" s="36" t="s">
        <v>90</v>
      </c>
      <c r="M164" s="34">
        <v>2009.71</v>
      </c>
      <c r="N164" s="34">
        <v>1158.6099999999999</v>
      </c>
      <c r="O164" s="34">
        <v>851.1</v>
      </c>
      <c r="P164" s="34">
        <v>1150.04</v>
      </c>
      <c r="Q164" s="34">
        <v>144.63</v>
      </c>
      <c r="R164" s="34">
        <v>117.98</v>
      </c>
      <c r="S164" s="34">
        <v>117.98</v>
      </c>
      <c r="T164" s="34">
        <v>68.099999999999994</v>
      </c>
      <c r="U164" s="34">
        <v>208.38</v>
      </c>
      <c r="V164" s="34">
        <v>8.08</v>
      </c>
      <c r="W164" s="34">
        <v>2.64</v>
      </c>
      <c r="X164" s="34">
        <v>1.36</v>
      </c>
      <c r="Y164" s="35">
        <v>13.841200000000001</v>
      </c>
      <c r="Z164" s="35">
        <v>32.683199999999999</v>
      </c>
      <c r="AA164" s="35">
        <v>24.1876</v>
      </c>
    </row>
    <row r="165" spans="1:27" ht="15.75" hidden="1" customHeight="1" x14ac:dyDescent="0.2">
      <c r="A165" s="2"/>
      <c r="B165" s="31">
        <v>160</v>
      </c>
      <c r="C165" s="36" t="s">
        <v>287</v>
      </c>
      <c r="D165" s="36" t="s">
        <v>288</v>
      </c>
      <c r="E165" s="36" t="s">
        <v>289</v>
      </c>
      <c r="F165" s="36" t="s">
        <v>456</v>
      </c>
      <c r="G165" s="36" t="s">
        <v>457</v>
      </c>
      <c r="H165" s="37" t="s">
        <v>95</v>
      </c>
      <c r="I165" s="37" t="s">
        <v>81</v>
      </c>
      <c r="J165" s="37" t="s">
        <v>82</v>
      </c>
      <c r="K165" s="37" t="s">
        <v>87</v>
      </c>
      <c r="L165" s="36" t="s">
        <v>84</v>
      </c>
      <c r="M165" s="34">
        <v>1799.1</v>
      </c>
      <c r="N165" s="34">
        <v>421.88</v>
      </c>
      <c r="O165" s="34">
        <v>1377.22</v>
      </c>
      <c r="P165" s="34">
        <v>698.32</v>
      </c>
      <c r="Q165" s="34">
        <v>36.86</v>
      </c>
      <c r="R165" s="34">
        <v>25.79</v>
      </c>
      <c r="S165" s="34">
        <v>19.87</v>
      </c>
      <c r="T165" s="34">
        <v>8.74</v>
      </c>
      <c r="U165" s="34">
        <v>505.58</v>
      </c>
      <c r="V165" s="34">
        <v>24.95</v>
      </c>
      <c r="W165" s="34">
        <v>0.43</v>
      </c>
      <c r="X165" s="34">
        <v>0.31</v>
      </c>
      <c r="Y165" s="35">
        <v>1.3228</v>
      </c>
      <c r="Z165" s="35">
        <v>1.728</v>
      </c>
      <c r="AA165" s="35">
        <v>3.4079000000000002</v>
      </c>
    </row>
    <row r="166" spans="1:27" ht="15.75" hidden="1" customHeight="1" x14ac:dyDescent="0.2">
      <c r="A166" s="2"/>
      <c r="B166" s="31">
        <v>161</v>
      </c>
      <c r="C166" s="36" t="s">
        <v>287</v>
      </c>
      <c r="D166" s="36" t="s">
        <v>312</v>
      </c>
      <c r="E166" s="36" t="s">
        <v>313</v>
      </c>
      <c r="F166" s="36" t="s">
        <v>458</v>
      </c>
      <c r="G166" s="36" t="s">
        <v>459</v>
      </c>
      <c r="H166" s="37" t="s">
        <v>80</v>
      </c>
      <c r="I166" s="37" t="s">
        <v>81</v>
      </c>
      <c r="J166" s="37" t="s">
        <v>82</v>
      </c>
      <c r="K166" s="37" t="s">
        <v>87</v>
      </c>
      <c r="L166" s="36" t="s">
        <v>84</v>
      </c>
      <c r="M166" s="34">
        <v>56657.2</v>
      </c>
      <c r="N166" s="34">
        <v>16952.39</v>
      </c>
      <c r="O166" s="34">
        <v>39704.81</v>
      </c>
      <c r="P166" s="34">
        <v>14095.13</v>
      </c>
      <c r="Q166" s="34">
        <v>5729.21</v>
      </c>
      <c r="R166" s="34">
        <v>5254.96</v>
      </c>
      <c r="S166" s="34">
        <v>4102.09</v>
      </c>
      <c r="T166" s="34">
        <v>121.64</v>
      </c>
      <c r="U166" s="34">
        <v>629.25</v>
      </c>
      <c r="V166" s="34">
        <v>9.7799999999999994</v>
      </c>
      <c r="W166" s="34">
        <v>1.89</v>
      </c>
      <c r="X166" s="34">
        <v>0.43</v>
      </c>
      <c r="Y166" s="35">
        <v>13.5471</v>
      </c>
      <c r="Z166" s="35">
        <v>19.331199999999999</v>
      </c>
      <c r="AA166" s="35">
        <v>54.4544</v>
      </c>
    </row>
    <row r="167" spans="1:27" ht="15.75" hidden="1" customHeight="1" x14ac:dyDescent="0.2">
      <c r="A167" s="2"/>
      <c r="B167" s="31">
        <v>162</v>
      </c>
      <c r="C167" s="36" t="s">
        <v>287</v>
      </c>
      <c r="D167" s="36" t="s">
        <v>312</v>
      </c>
      <c r="E167" s="36" t="s">
        <v>313</v>
      </c>
      <c r="F167" s="36" t="s">
        <v>460</v>
      </c>
      <c r="G167" s="36" t="s">
        <v>461</v>
      </c>
      <c r="H167" s="37" t="s">
        <v>80</v>
      </c>
      <c r="I167" s="37" t="s">
        <v>81</v>
      </c>
      <c r="J167" s="37" t="s">
        <v>82</v>
      </c>
      <c r="K167" s="37" t="s">
        <v>87</v>
      </c>
      <c r="L167" s="36" t="s">
        <v>84</v>
      </c>
      <c r="M167" s="34">
        <v>539.54999999999995</v>
      </c>
      <c r="N167" s="34">
        <v>270.77999999999997</v>
      </c>
      <c r="O167" s="34">
        <v>268.77999999999997</v>
      </c>
      <c r="P167" s="34">
        <v>478.14</v>
      </c>
      <c r="Q167" s="34">
        <v>123.78</v>
      </c>
      <c r="R167" s="34">
        <v>94.1</v>
      </c>
      <c r="S167" s="34">
        <v>94.1</v>
      </c>
      <c r="T167" s="34">
        <v>19.25</v>
      </c>
      <c r="U167" s="34">
        <v>44.19</v>
      </c>
      <c r="V167" s="34">
        <v>22.96</v>
      </c>
      <c r="W167" s="34">
        <v>10</v>
      </c>
      <c r="X167" s="34">
        <v>1.01</v>
      </c>
      <c r="Y167" s="35">
        <v>21.7011</v>
      </c>
      <c r="Z167" s="35">
        <v>43.563699999999997</v>
      </c>
      <c r="AA167" s="35">
        <v>24.488299999999999</v>
      </c>
    </row>
    <row r="168" spans="1:27" ht="15.75" hidden="1" customHeight="1" x14ac:dyDescent="0.2">
      <c r="A168" s="2"/>
      <c r="B168" s="31">
        <v>163</v>
      </c>
      <c r="C168" s="36" t="s">
        <v>287</v>
      </c>
      <c r="D168" s="36" t="s">
        <v>312</v>
      </c>
      <c r="E168" s="36" t="s">
        <v>313</v>
      </c>
      <c r="F168" s="36" t="s">
        <v>462</v>
      </c>
      <c r="G168" s="36" t="s">
        <v>463</v>
      </c>
      <c r="H168" s="37" t="s">
        <v>80</v>
      </c>
      <c r="I168" s="37" t="s">
        <v>81</v>
      </c>
      <c r="J168" s="37" t="s">
        <v>82</v>
      </c>
      <c r="K168" s="37" t="s">
        <v>87</v>
      </c>
      <c r="L168" s="36" t="s">
        <v>84</v>
      </c>
      <c r="M168" s="34">
        <v>1099.83</v>
      </c>
      <c r="N168" s="34">
        <v>150.69</v>
      </c>
      <c r="O168" s="34">
        <v>949.13</v>
      </c>
      <c r="P168" s="34">
        <v>1056.6500000000001</v>
      </c>
      <c r="Q168" s="34">
        <v>462.3</v>
      </c>
      <c r="R168" s="34">
        <v>358.07</v>
      </c>
      <c r="S168" s="34">
        <v>357.52</v>
      </c>
      <c r="T168" s="34">
        <v>56.61</v>
      </c>
      <c r="U168" s="34">
        <v>89.24</v>
      </c>
      <c r="V168" s="34">
        <v>18.55</v>
      </c>
      <c r="W168" s="34">
        <v>11.77</v>
      </c>
      <c r="X168" s="34">
        <v>0.16</v>
      </c>
      <c r="Y168" s="35">
        <v>54.744199999999999</v>
      </c>
      <c r="Z168" s="35">
        <v>63.436</v>
      </c>
      <c r="AA168" s="35">
        <v>56.981099999999998</v>
      </c>
    </row>
    <row r="169" spans="1:27" ht="15.75" hidden="1" customHeight="1" x14ac:dyDescent="0.2">
      <c r="A169" s="2"/>
      <c r="B169" s="31">
        <v>164</v>
      </c>
      <c r="C169" s="36" t="s">
        <v>287</v>
      </c>
      <c r="D169" s="36" t="s">
        <v>312</v>
      </c>
      <c r="E169" s="36" t="s">
        <v>313</v>
      </c>
      <c r="F169" s="36" t="s">
        <v>464</v>
      </c>
      <c r="G169" s="36" t="s">
        <v>465</v>
      </c>
      <c r="H169" s="37" t="s">
        <v>95</v>
      </c>
      <c r="I169" s="37" t="s">
        <v>81</v>
      </c>
      <c r="J169" s="37" t="s">
        <v>82</v>
      </c>
      <c r="K169" s="37" t="s">
        <v>87</v>
      </c>
      <c r="L169" s="36" t="s">
        <v>84</v>
      </c>
      <c r="M169" s="34">
        <v>1708.63</v>
      </c>
      <c r="N169" s="34">
        <v>813.24</v>
      </c>
      <c r="O169" s="34">
        <v>895.39</v>
      </c>
      <c r="P169" s="34">
        <v>1023.27</v>
      </c>
      <c r="Q169" s="34">
        <v>-14.44</v>
      </c>
      <c r="R169" s="34">
        <v>-12.58</v>
      </c>
      <c r="S169" s="34">
        <v>-12.58</v>
      </c>
      <c r="T169" s="34">
        <v>19.89</v>
      </c>
      <c r="U169" s="34">
        <v>354.84</v>
      </c>
      <c r="V169" s="34">
        <v>11.57</v>
      </c>
      <c r="W169" s="34">
        <v>0.65</v>
      </c>
      <c r="X169" s="34">
        <v>0.91</v>
      </c>
      <c r="Y169" s="35">
        <v>2.9369999999999998</v>
      </c>
      <c r="Z169" s="35">
        <v>5.6044999999999998</v>
      </c>
      <c r="AA169" s="35">
        <v>4.9040999999999997</v>
      </c>
    </row>
    <row r="170" spans="1:27" ht="15.75" hidden="1" customHeight="1" x14ac:dyDescent="0.2">
      <c r="A170" s="2"/>
      <c r="B170" s="31">
        <v>165</v>
      </c>
      <c r="C170" s="36" t="s">
        <v>287</v>
      </c>
      <c r="D170" s="36" t="s">
        <v>363</v>
      </c>
      <c r="E170" s="36" t="s">
        <v>364</v>
      </c>
      <c r="F170" s="36" t="s">
        <v>466</v>
      </c>
      <c r="G170" s="36" t="s">
        <v>467</v>
      </c>
      <c r="H170" s="37" t="s">
        <v>80</v>
      </c>
      <c r="I170" s="37" t="s">
        <v>81</v>
      </c>
      <c r="J170" s="37" t="s">
        <v>82</v>
      </c>
      <c r="K170" s="37" t="s">
        <v>87</v>
      </c>
      <c r="L170" s="36" t="s">
        <v>84</v>
      </c>
      <c r="M170" s="34">
        <v>317.06</v>
      </c>
      <c r="N170" s="34">
        <v>80.84</v>
      </c>
      <c r="O170" s="34">
        <v>236.21</v>
      </c>
      <c r="P170" s="34">
        <v>71.569999999999993</v>
      </c>
      <c r="Q170" s="34">
        <v>1.82</v>
      </c>
      <c r="R170" s="34">
        <v>1.42</v>
      </c>
      <c r="S170" s="34">
        <v>1.42</v>
      </c>
      <c r="T170" s="34">
        <v>1.03</v>
      </c>
      <c r="U170" s="34">
        <v>72.17</v>
      </c>
      <c r="V170" s="34">
        <v>56.19</v>
      </c>
      <c r="W170" s="34">
        <v>0.8</v>
      </c>
      <c r="X170" s="34">
        <v>0.34</v>
      </c>
      <c r="Y170" s="35">
        <v>1.0548999999999999</v>
      </c>
      <c r="Z170" s="35">
        <v>1.4159999999999999</v>
      </c>
      <c r="AA170" s="35">
        <v>4.6734999999999998</v>
      </c>
    </row>
    <row r="171" spans="1:27" ht="15.75" hidden="1" customHeight="1" x14ac:dyDescent="0.2">
      <c r="A171" s="2"/>
      <c r="B171" s="31">
        <v>166</v>
      </c>
      <c r="C171" s="36" t="s">
        <v>287</v>
      </c>
      <c r="D171" s="36" t="s">
        <v>294</v>
      </c>
      <c r="E171" s="36" t="s">
        <v>295</v>
      </c>
      <c r="F171" s="36" t="s">
        <v>468</v>
      </c>
      <c r="G171" s="36" t="s">
        <v>469</v>
      </c>
      <c r="H171" s="37" t="s">
        <v>80</v>
      </c>
      <c r="I171" s="37" t="s">
        <v>81</v>
      </c>
      <c r="J171" s="37" t="s">
        <v>82</v>
      </c>
      <c r="K171" s="37" t="s">
        <v>83</v>
      </c>
      <c r="L171" s="36" t="s">
        <v>470</v>
      </c>
      <c r="M171" s="34">
        <v>224.39</v>
      </c>
      <c r="N171" s="34">
        <v>28.95</v>
      </c>
      <c r="O171" s="34">
        <v>195.44</v>
      </c>
      <c r="P171" s="34">
        <v>83.44</v>
      </c>
      <c r="Q171" s="34">
        <v>27.28</v>
      </c>
      <c r="R171" s="34">
        <v>21.36</v>
      </c>
      <c r="S171" s="34">
        <v>21.36</v>
      </c>
      <c r="T171" s="34">
        <v>40.869999999999997</v>
      </c>
      <c r="U171" s="34">
        <v>242.48</v>
      </c>
      <c r="V171" s="34">
        <v>6.26</v>
      </c>
      <c r="W171" s="34">
        <v>1.06</v>
      </c>
      <c r="X171" s="34">
        <v>0.15</v>
      </c>
      <c r="Y171" s="35">
        <v>14.679399999999999</v>
      </c>
      <c r="Z171" s="35">
        <v>16.854099999999999</v>
      </c>
      <c r="AA171" s="35">
        <v>39.478299999999997</v>
      </c>
    </row>
    <row r="172" spans="1:27" ht="15.75" hidden="1" customHeight="1" x14ac:dyDescent="0.2">
      <c r="A172" s="2"/>
      <c r="B172" s="31">
        <v>167</v>
      </c>
      <c r="C172" s="36" t="s">
        <v>287</v>
      </c>
      <c r="D172" s="36" t="s">
        <v>294</v>
      </c>
      <c r="E172" s="36" t="s">
        <v>295</v>
      </c>
      <c r="F172" s="36" t="s">
        <v>471</v>
      </c>
      <c r="G172" s="36" t="s">
        <v>472</v>
      </c>
      <c r="H172" s="37" t="s">
        <v>80</v>
      </c>
      <c r="I172" s="37" t="s">
        <v>81</v>
      </c>
      <c r="J172" s="37" t="s">
        <v>82</v>
      </c>
      <c r="K172" s="37" t="s">
        <v>87</v>
      </c>
      <c r="L172" s="36" t="s">
        <v>84</v>
      </c>
      <c r="M172" s="34">
        <v>2941.77</v>
      </c>
      <c r="N172" s="34">
        <v>1949.28</v>
      </c>
      <c r="O172" s="34">
        <v>992.48</v>
      </c>
      <c r="P172" s="34">
        <v>1234.92</v>
      </c>
      <c r="Q172" s="34">
        <v>136.96</v>
      </c>
      <c r="R172" s="34">
        <v>95.16</v>
      </c>
      <c r="S172" s="34">
        <v>20.59</v>
      </c>
      <c r="T172" s="34">
        <v>44.5</v>
      </c>
      <c r="U172" s="34">
        <v>418.16</v>
      </c>
      <c r="V172" s="34">
        <v>3.98</v>
      </c>
      <c r="W172" s="34">
        <v>0.42</v>
      </c>
      <c r="X172" s="34">
        <v>1.96</v>
      </c>
      <c r="Y172" s="35">
        <v>3.5905</v>
      </c>
      <c r="Z172" s="35">
        <v>10.6424</v>
      </c>
      <c r="AA172" s="35">
        <v>8.5531000000000006</v>
      </c>
    </row>
    <row r="173" spans="1:27" ht="15.75" hidden="1" customHeight="1" x14ac:dyDescent="0.2">
      <c r="A173" s="2"/>
      <c r="B173" s="31">
        <v>168</v>
      </c>
      <c r="C173" s="36" t="s">
        <v>287</v>
      </c>
      <c r="D173" s="36" t="s">
        <v>330</v>
      </c>
      <c r="E173" s="36" t="s">
        <v>331</v>
      </c>
      <c r="F173" s="36" t="s">
        <v>473</v>
      </c>
      <c r="G173" s="36" t="s">
        <v>474</v>
      </c>
      <c r="H173" s="37" t="s">
        <v>80</v>
      </c>
      <c r="I173" s="37" t="s">
        <v>81</v>
      </c>
      <c r="J173" s="37" t="s">
        <v>82</v>
      </c>
      <c r="K173" s="37" t="s">
        <v>83</v>
      </c>
      <c r="L173" s="36" t="s">
        <v>84</v>
      </c>
      <c r="M173" s="34">
        <v>76.84</v>
      </c>
      <c r="N173" s="34">
        <v>0.75</v>
      </c>
      <c r="O173" s="34">
        <v>76.09</v>
      </c>
      <c r="P173" s="34">
        <v>2.44</v>
      </c>
      <c r="Q173" s="34">
        <v>-3.3</v>
      </c>
      <c r="R173" s="34">
        <v>-3.29</v>
      </c>
      <c r="S173" s="34">
        <v>-3.29</v>
      </c>
      <c r="T173" s="34">
        <v>-8.93</v>
      </c>
      <c r="U173" s="34">
        <v>76.09</v>
      </c>
      <c r="V173" s="34">
        <v>-17.36</v>
      </c>
      <c r="W173" s="34">
        <v>2.04</v>
      </c>
      <c r="X173" s="34">
        <v>0.01</v>
      </c>
      <c r="Y173" s="35">
        <v>-11.6189</v>
      </c>
      <c r="Z173" s="35">
        <v>-11.7333</v>
      </c>
      <c r="AA173" s="35">
        <v>-365.97820000000002</v>
      </c>
    </row>
    <row r="174" spans="1:27" ht="15.75" hidden="1" customHeight="1" x14ac:dyDescent="0.2">
      <c r="A174" s="2"/>
      <c r="B174" s="31">
        <v>169</v>
      </c>
      <c r="C174" s="36" t="s">
        <v>287</v>
      </c>
      <c r="D174" s="36" t="s">
        <v>298</v>
      </c>
      <c r="E174" s="36" t="s">
        <v>299</v>
      </c>
      <c r="F174" s="36" t="s">
        <v>475</v>
      </c>
      <c r="G174" s="36" t="s">
        <v>476</v>
      </c>
      <c r="H174" s="37" t="s">
        <v>95</v>
      </c>
      <c r="I174" s="37" t="s">
        <v>81</v>
      </c>
      <c r="J174" s="37" t="s">
        <v>82</v>
      </c>
      <c r="K174" s="37" t="s">
        <v>104</v>
      </c>
      <c r="L174" s="36" t="s">
        <v>90</v>
      </c>
      <c r="M174" s="34">
        <v>70.47</v>
      </c>
      <c r="N174" s="34">
        <v>7.98</v>
      </c>
      <c r="O174" s="34">
        <v>62.48</v>
      </c>
      <c r="P174" s="34">
        <v>20.55</v>
      </c>
      <c r="Q174" s="34">
        <v>3.36</v>
      </c>
      <c r="R174" s="34">
        <v>-14.39</v>
      </c>
      <c r="S174" s="34">
        <v>-14.42</v>
      </c>
      <c r="T174" s="34">
        <v>-9.27</v>
      </c>
      <c r="U174" s="34">
        <v>39.11</v>
      </c>
      <c r="V174" s="34">
        <v>-203.25</v>
      </c>
      <c r="W174" s="34">
        <v>48.19</v>
      </c>
      <c r="X174" s="34">
        <v>0.13</v>
      </c>
      <c r="Y174" s="35">
        <v>-21.023599999999998</v>
      </c>
      <c r="Z174" s="35">
        <v>-23.709900000000001</v>
      </c>
      <c r="AA174" s="35">
        <v>-72.090500000000006</v>
      </c>
    </row>
    <row r="175" spans="1:27" ht="15.75" hidden="1" customHeight="1" x14ac:dyDescent="0.2">
      <c r="A175" s="2"/>
      <c r="B175" s="31">
        <v>170</v>
      </c>
      <c r="C175" s="36" t="s">
        <v>287</v>
      </c>
      <c r="D175" s="36" t="s">
        <v>298</v>
      </c>
      <c r="E175" s="36" t="s">
        <v>299</v>
      </c>
      <c r="F175" s="36" t="s">
        <v>477</v>
      </c>
      <c r="G175" s="36" t="s">
        <v>478</v>
      </c>
      <c r="H175" s="37" t="s">
        <v>80</v>
      </c>
      <c r="I175" s="37" t="s">
        <v>81</v>
      </c>
      <c r="J175" s="37" t="s">
        <v>82</v>
      </c>
      <c r="K175" s="37" t="s">
        <v>87</v>
      </c>
      <c r="L175" s="36" t="s">
        <v>84</v>
      </c>
      <c r="M175" s="34">
        <v>3239.86</v>
      </c>
      <c r="N175" s="34">
        <v>499.21</v>
      </c>
      <c r="O175" s="34">
        <v>2740.66</v>
      </c>
      <c r="P175" s="34">
        <v>2552.1999999999998</v>
      </c>
      <c r="Q175" s="34">
        <v>249.66</v>
      </c>
      <c r="R175" s="34">
        <v>194.46</v>
      </c>
      <c r="S175" s="34">
        <v>193.5</v>
      </c>
      <c r="T175" s="34">
        <v>56.8</v>
      </c>
      <c r="U175" s="34">
        <v>365.42</v>
      </c>
      <c r="V175" s="34">
        <v>8.59</v>
      </c>
      <c r="W175" s="34">
        <v>1.34</v>
      </c>
      <c r="X175" s="34">
        <v>0.18</v>
      </c>
      <c r="Y175" s="35">
        <v>13.149699999999999</v>
      </c>
      <c r="Z175" s="35">
        <v>15.5449</v>
      </c>
      <c r="AA175" s="35">
        <v>16.692799999999998</v>
      </c>
    </row>
    <row r="176" spans="1:27" ht="15.75" hidden="1" customHeight="1" x14ac:dyDescent="0.2">
      <c r="A176" s="2"/>
      <c r="B176" s="31">
        <v>171</v>
      </c>
      <c r="C176" s="36" t="s">
        <v>287</v>
      </c>
      <c r="D176" s="36" t="s">
        <v>298</v>
      </c>
      <c r="E176" s="36" t="s">
        <v>299</v>
      </c>
      <c r="F176" s="36" t="s">
        <v>479</v>
      </c>
      <c r="G176" s="36" t="s">
        <v>480</v>
      </c>
      <c r="H176" s="37" t="s">
        <v>80</v>
      </c>
      <c r="I176" s="37" t="s">
        <v>81</v>
      </c>
      <c r="J176" s="37" t="s">
        <v>82</v>
      </c>
      <c r="K176" s="37" t="s">
        <v>87</v>
      </c>
      <c r="L176" s="36" t="s">
        <v>84</v>
      </c>
      <c r="M176" s="34">
        <v>645.98</v>
      </c>
      <c r="N176" s="34">
        <v>240.43</v>
      </c>
      <c r="O176" s="34">
        <v>405.54</v>
      </c>
      <c r="P176" s="34">
        <v>232.73</v>
      </c>
      <c r="Q176" s="34">
        <v>12.86</v>
      </c>
      <c r="R176" s="34">
        <v>9.89</v>
      </c>
      <c r="S176" s="34">
        <v>9.89</v>
      </c>
      <c r="T176" s="34">
        <v>6.51</v>
      </c>
      <c r="U176" s="34">
        <v>132.47</v>
      </c>
      <c r="V176" s="34">
        <v>74.069999999999993</v>
      </c>
      <c r="W176" s="34">
        <v>3.64</v>
      </c>
      <c r="X176" s="34">
        <v>0.59</v>
      </c>
      <c r="Y176" s="35">
        <v>3.0836999999999999</v>
      </c>
      <c r="Z176" s="35">
        <v>4.9119999999999999</v>
      </c>
      <c r="AA176" s="35">
        <v>8.5593000000000004</v>
      </c>
    </row>
    <row r="177" spans="1:27" ht="15.75" hidden="1" customHeight="1" x14ac:dyDescent="0.2">
      <c r="A177" s="2"/>
      <c r="B177" s="31">
        <v>172</v>
      </c>
      <c r="C177" s="36" t="s">
        <v>287</v>
      </c>
      <c r="D177" s="36" t="s">
        <v>298</v>
      </c>
      <c r="E177" s="36" t="s">
        <v>299</v>
      </c>
      <c r="F177" s="36" t="s">
        <v>481</v>
      </c>
      <c r="G177" s="36" t="s">
        <v>482</v>
      </c>
      <c r="H177" s="37" t="s">
        <v>80</v>
      </c>
      <c r="I177" s="37" t="s">
        <v>81</v>
      </c>
      <c r="J177" s="37" t="s">
        <v>82</v>
      </c>
      <c r="K177" s="37" t="s">
        <v>87</v>
      </c>
      <c r="L177" s="36" t="s">
        <v>84</v>
      </c>
      <c r="M177" s="34">
        <v>690.92</v>
      </c>
      <c r="N177" s="34">
        <v>477.89</v>
      </c>
      <c r="O177" s="34">
        <v>213.03</v>
      </c>
      <c r="P177" s="34">
        <v>288.91000000000003</v>
      </c>
      <c r="Q177" s="34">
        <v>6.63</v>
      </c>
      <c r="R177" s="34">
        <v>5.0199999999999996</v>
      </c>
      <c r="S177" s="34">
        <v>5.0199999999999996</v>
      </c>
      <c r="T177" s="34">
        <v>7.4</v>
      </c>
      <c r="U177" s="34">
        <v>374.8</v>
      </c>
      <c r="V177" s="34">
        <v>47.32</v>
      </c>
      <c r="W177" s="34">
        <v>0.93</v>
      </c>
      <c r="X177" s="34">
        <v>2.2400000000000002</v>
      </c>
      <c r="Y177" s="35">
        <v>0.60850000000000004</v>
      </c>
      <c r="Z177" s="35">
        <v>1.9734</v>
      </c>
      <c r="AA177" s="35">
        <v>1.4551000000000001</v>
      </c>
    </row>
    <row r="178" spans="1:27" ht="15.75" hidden="1" customHeight="1" x14ac:dyDescent="0.2">
      <c r="A178" s="2"/>
      <c r="B178" s="31">
        <v>173</v>
      </c>
      <c r="C178" s="36" t="s">
        <v>287</v>
      </c>
      <c r="D178" s="36" t="s">
        <v>298</v>
      </c>
      <c r="E178" s="36" t="s">
        <v>299</v>
      </c>
      <c r="F178" s="36" t="s">
        <v>483</v>
      </c>
      <c r="G178" s="36" t="s">
        <v>484</v>
      </c>
      <c r="H178" s="37" t="s">
        <v>80</v>
      </c>
      <c r="I178" s="37" t="s">
        <v>81</v>
      </c>
      <c r="J178" s="37" t="s">
        <v>82</v>
      </c>
      <c r="K178" s="37" t="s">
        <v>87</v>
      </c>
      <c r="L178" s="36" t="s">
        <v>84</v>
      </c>
      <c r="M178" s="34">
        <v>126.99</v>
      </c>
      <c r="N178" s="34">
        <v>30.98</v>
      </c>
      <c r="O178" s="34">
        <v>96.01</v>
      </c>
      <c r="P178" s="34">
        <v>78.42</v>
      </c>
      <c r="Q178" s="34">
        <v>2.44</v>
      </c>
      <c r="R178" s="34">
        <v>1.8</v>
      </c>
      <c r="S178" s="34">
        <v>1.8</v>
      </c>
      <c r="T178" s="34">
        <v>4.16</v>
      </c>
      <c r="U178" s="34">
        <v>89.31</v>
      </c>
      <c r="V178" s="34">
        <v>88.03</v>
      </c>
      <c r="W178" s="34">
        <v>4.0999999999999996</v>
      </c>
      <c r="X178" s="34">
        <v>0.32</v>
      </c>
      <c r="Y178" s="35">
        <v>3.5194000000000001</v>
      </c>
      <c r="Z178" s="35">
        <v>4.6553000000000004</v>
      </c>
      <c r="AA178" s="35">
        <v>5.6993</v>
      </c>
    </row>
    <row r="179" spans="1:27" ht="15.75" hidden="1" customHeight="1" x14ac:dyDescent="0.2">
      <c r="A179" s="2"/>
      <c r="B179" s="31">
        <v>174</v>
      </c>
      <c r="C179" s="36" t="s">
        <v>287</v>
      </c>
      <c r="D179" s="36" t="s">
        <v>318</v>
      </c>
      <c r="E179" s="36" t="s">
        <v>319</v>
      </c>
      <c r="F179" s="36" t="s">
        <v>485</v>
      </c>
      <c r="G179" s="36" t="s">
        <v>486</v>
      </c>
      <c r="H179" s="37" t="s">
        <v>80</v>
      </c>
      <c r="I179" s="37" t="s">
        <v>81</v>
      </c>
      <c r="J179" s="37" t="s">
        <v>82</v>
      </c>
      <c r="K179" s="37" t="s">
        <v>83</v>
      </c>
      <c r="L179" s="36" t="s">
        <v>84</v>
      </c>
      <c r="M179" s="34">
        <v>13856.69</v>
      </c>
      <c r="N179" s="34">
        <v>6849.57</v>
      </c>
      <c r="O179" s="34">
        <v>7007.13</v>
      </c>
      <c r="P179" s="34">
        <v>2277.16</v>
      </c>
      <c r="Q179" s="34">
        <v>613.41</v>
      </c>
      <c r="R179" s="34">
        <v>477.53</v>
      </c>
      <c r="S179" s="34">
        <v>319.7</v>
      </c>
      <c r="T179" s="34">
        <v>11.59</v>
      </c>
      <c r="U179" s="34">
        <v>264.82</v>
      </c>
      <c r="V179" s="34">
        <v>47.88</v>
      </c>
      <c r="W179" s="34">
        <v>2.1</v>
      </c>
      <c r="X179" s="34">
        <v>0.98</v>
      </c>
      <c r="Y179" s="35">
        <v>2.2134</v>
      </c>
      <c r="Z179" s="35">
        <v>4.3769999999999998</v>
      </c>
      <c r="AA179" s="35">
        <v>13.468400000000001</v>
      </c>
    </row>
    <row r="180" spans="1:27" ht="15.75" hidden="1" customHeight="1" x14ac:dyDescent="0.2">
      <c r="A180" s="2"/>
      <c r="B180" s="31">
        <v>175</v>
      </c>
      <c r="C180" s="36" t="s">
        <v>287</v>
      </c>
      <c r="D180" s="36" t="s">
        <v>298</v>
      </c>
      <c r="E180" s="36" t="s">
        <v>299</v>
      </c>
      <c r="F180" s="36" t="s">
        <v>487</v>
      </c>
      <c r="G180" s="36" t="s">
        <v>488</v>
      </c>
      <c r="H180" s="37" t="s">
        <v>80</v>
      </c>
      <c r="I180" s="37" t="s">
        <v>81</v>
      </c>
      <c r="J180" s="37" t="s">
        <v>82</v>
      </c>
      <c r="K180" s="37" t="s">
        <v>87</v>
      </c>
      <c r="L180" s="36" t="s">
        <v>84</v>
      </c>
      <c r="M180" s="34">
        <v>159.84</v>
      </c>
      <c r="N180" s="34">
        <v>59.3</v>
      </c>
      <c r="O180" s="34">
        <v>100.54</v>
      </c>
      <c r="P180" s="34">
        <v>63.32</v>
      </c>
      <c r="Q180" s="34">
        <v>2.19</v>
      </c>
      <c r="R180" s="34">
        <v>1.45</v>
      </c>
      <c r="S180" s="34">
        <v>1.45</v>
      </c>
      <c r="T180" s="34">
        <v>2.9</v>
      </c>
      <c r="U180" s="34">
        <v>52.72</v>
      </c>
      <c r="V180" s="34">
        <v>128.91999999999999</v>
      </c>
      <c r="W180" s="34">
        <v>7.09</v>
      </c>
      <c r="X180" s="34">
        <v>0.59</v>
      </c>
      <c r="Y180" s="35">
        <v>3.4611999999999998</v>
      </c>
      <c r="Z180" s="35">
        <v>5.5023999999999997</v>
      </c>
      <c r="AA180" s="35">
        <v>8.7370000000000001</v>
      </c>
    </row>
    <row r="181" spans="1:27" ht="15.75" hidden="1" customHeight="1" x14ac:dyDescent="0.2">
      <c r="A181" s="2"/>
      <c r="B181" s="31">
        <v>176</v>
      </c>
      <c r="C181" s="36" t="s">
        <v>287</v>
      </c>
      <c r="D181" s="36" t="s">
        <v>312</v>
      </c>
      <c r="E181" s="36" t="s">
        <v>313</v>
      </c>
      <c r="F181" s="36" t="s">
        <v>489</v>
      </c>
      <c r="G181" s="36" t="s">
        <v>490</v>
      </c>
      <c r="H181" s="37" t="s">
        <v>95</v>
      </c>
      <c r="I181" s="37" t="s">
        <v>338</v>
      </c>
      <c r="J181" s="37" t="s">
        <v>82</v>
      </c>
      <c r="K181" s="37" t="s">
        <v>87</v>
      </c>
      <c r="L181" s="36" t="s">
        <v>84</v>
      </c>
      <c r="M181" s="34">
        <v>735.25</v>
      </c>
      <c r="N181" s="34">
        <v>867.76</v>
      </c>
      <c r="O181" s="34">
        <v>-132.51</v>
      </c>
      <c r="P181" s="34">
        <v>58.1</v>
      </c>
      <c r="Q181" s="34">
        <v>-6.12</v>
      </c>
      <c r="R181" s="34">
        <v>-6.12</v>
      </c>
      <c r="S181" s="34">
        <v>-6.12</v>
      </c>
      <c r="T181" s="34">
        <v>-52.23</v>
      </c>
      <c r="U181" s="34">
        <v>-96.36</v>
      </c>
      <c r="V181" s="34">
        <v>-0.98</v>
      </c>
      <c r="W181" s="34">
        <v>-0.53</v>
      </c>
      <c r="X181" s="34">
        <v>-6.55</v>
      </c>
      <c r="Y181" s="35">
        <v>-9.7689000000000004</v>
      </c>
      <c r="Z181" s="35" t="s">
        <v>95</v>
      </c>
      <c r="AA181" s="35">
        <v>-123.6223</v>
      </c>
    </row>
    <row r="182" spans="1:27" ht="15.75" hidden="1" customHeight="1" x14ac:dyDescent="0.2">
      <c r="A182" s="2"/>
      <c r="B182" s="31">
        <v>177</v>
      </c>
      <c r="C182" s="36" t="s">
        <v>287</v>
      </c>
      <c r="D182" s="36" t="s">
        <v>363</v>
      </c>
      <c r="E182" s="36" t="s">
        <v>364</v>
      </c>
      <c r="F182" s="36" t="s">
        <v>491</v>
      </c>
      <c r="G182" s="36" t="s">
        <v>492</v>
      </c>
      <c r="H182" s="37" t="s">
        <v>80</v>
      </c>
      <c r="I182" s="37" t="s">
        <v>81</v>
      </c>
      <c r="J182" s="37" t="s">
        <v>82</v>
      </c>
      <c r="K182" s="37" t="s">
        <v>87</v>
      </c>
      <c r="L182" s="36" t="s">
        <v>84</v>
      </c>
      <c r="M182" s="34">
        <v>3157.3</v>
      </c>
      <c r="N182" s="34">
        <v>1692.76</v>
      </c>
      <c r="O182" s="34">
        <v>1464.53</v>
      </c>
      <c r="P182" s="34">
        <v>1704.46</v>
      </c>
      <c r="Q182" s="34">
        <v>137.22</v>
      </c>
      <c r="R182" s="34">
        <v>107.48</v>
      </c>
      <c r="S182" s="34">
        <v>102.88</v>
      </c>
      <c r="T182" s="34">
        <v>26.74</v>
      </c>
      <c r="U182" s="34">
        <v>142.88</v>
      </c>
      <c r="V182" s="34">
        <v>11.96</v>
      </c>
      <c r="W182" s="34">
        <v>2.2400000000000002</v>
      </c>
      <c r="X182" s="34">
        <v>1.1599999999999999</v>
      </c>
      <c r="Y182" s="35">
        <v>8.6824999999999992</v>
      </c>
      <c r="Z182" s="35">
        <v>18.7181</v>
      </c>
      <c r="AA182" s="35">
        <v>16.083300000000001</v>
      </c>
    </row>
    <row r="183" spans="1:27" ht="15.75" hidden="1" customHeight="1" x14ac:dyDescent="0.2">
      <c r="A183" s="2"/>
      <c r="B183" s="31">
        <v>178</v>
      </c>
      <c r="C183" s="36" t="s">
        <v>287</v>
      </c>
      <c r="D183" s="36" t="s">
        <v>288</v>
      </c>
      <c r="E183" s="36" t="s">
        <v>289</v>
      </c>
      <c r="F183" s="36" t="s">
        <v>493</v>
      </c>
      <c r="G183" s="36" t="s">
        <v>494</v>
      </c>
      <c r="H183" s="37" t="s">
        <v>80</v>
      </c>
      <c r="I183" s="37" t="s">
        <v>81</v>
      </c>
      <c r="J183" s="37" t="s">
        <v>82</v>
      </c>
      <c r="K183" s="37" t="s">
        <v>104</v>
      </c>
      <c r="L183" s="36" t="s">
        <v>90</v>
      </c>
      <c r="M183" s="34">
        <v>290.45</v>
      </c>
      <c r="N183" s="34">
        <v>55.84</v>
      </c>
      <c r="O183" s="34">
        <v>234.61</v>
      </c>
      <c r="P183" s="34">
        <v>67.17</v>
      </c>
      <c r="Q183" s="34">
        <v>8.82</v>
      </c>
      <c r="R183" s="34">
        <v>6.71</v>
      </c>
      <c r="S183" s="34">
        <v>6.71</v>
      </c>
      <c r="T183" s="34">
        <v>15.89</v>
      </c>
      <c r="U183" s="34">
        <v>252.29</v>
      </c>
      <c r="V183" s="34">
        <v>8.81</v>
      </c>
      <c r="W183" s="34">
        <v>0.55000000000000004</v>
      </c>
      <c r="X183" s="34">
        <v>0.24</v>
      </c>
      <c r="Y183" s="35">
        <v>5.0880000000000001</v>
      </c>
      <c r="Z183" s="35">
        <v>6.2990000000000004</v>
      </c>
      <c r="AA183" s="35">
        <v>22.0001</v>
      </c>
    </row>
    <row r="184" spans="1:27" ht="15.75" hidden="1" customHeight="1" x14ac:dyDescent="0.2">
      <c r="A184" s="2"/>
      <c r="B184" s="31">
        <v>179</v>
      </c>
      <c r="C184" s="36" t="s">
        <v>287</v>
      </c>
      <c r="D184" s="36" t="s">
        <v>298</v>
      </c>
      <c r="E184" s="36" t="s">
        <v>299</v>
      </c>
      <c r="F184" s="36" t="s">
        <v>495</v>
      </c>
      <c r="G184" s="36" t="s">
        <v>496</v>
      </c>
      <c r="H184" s="37" t="s">
        <v>95</v>
      </c>
      <c r="I184" s="37" t="s">
        <v>435</v>
      </c>
      <c r="J184" s="37" t="s">
        <v>82</v>
      </c>
      <c r="K184" s="37" t="s">
        <v>87</v>
      </c>
      <c r="L184" s="36" t="s">
        <v>84</v>
      </c>
      <c r="M184" s="34">
        <v>259.70999999999998</v>
      </c>
      <c r="N184" s="34">
        <v>261.72000000000003</v>
      </c>
      <c r="O184" s="34">
        <v>-2</v>
      </c>
      <c r="P184" s="34">
        <v>3.28</v>
      </c>
      <c r="Q184" s="34">
        <v>-17.21</v>
      </c>
      <c r="R184" s="34">
        <v>-17.21</v>
      </c>
      <c r="S184" s="34">
        <v>-17.21</v>
      </c>
      <c r="T184" s="34">
        <v>-71.739999999999995</v>
      </c>
      <c r="U184" s="34">
        <v>-4.53</v>
      </c>
      <c r="V184" s="34">
        <v>-0.7</v>
      </c>
      <c r="W184" s="34">
        <v>-11.04</v>
      </c>
      <c r="X184" s="34">
        <v>-130.53</v>
      </c>
      <c r="Y184" s="35">
        <v>-12.226100000000001</v>
      </c>
      <c r="Z184" s="35" t="s">
        <v>95</v>
      </c>
      <c r="AA184" s="35">
        <v>-968.25360000000001</v>
      </c>
    </row>
    <row r="185" spans="1:27" ht="15.75" hidden="1" customHeight="1" x14ac:dyDescent="0.2">
      <c r="A185" s="2"/>
      <c r="B185" s="31">
        <v>180</v>
      </c>
      <c r="C185" s="36" t="s">
        <v>287</v>
      </c>
      <c r="D185" s="36" t="s">
        <v>326</v>
      </c>
      <c r="E185" s="36" t="s">
        <v>327</v>
      </c>
      <c r="F185" s="36" t="s">
        <v>497</v>
      </c>
      <c r="G185" s="36" t="s">
        <v>498</v>
      </c>
      <c r="H185" s="37" t="s">
        <v>80</v>
      </c>
      <c r="I185" s="37" t="s">
        <v>81</v>
      </c>
      <c r="J185" s="37" t="s">
        <v>82</v>
      </c>
      <c r="K185" s="37" t="s">
        <v>104</v>
      </c>
      <c r="L185" s="36" t="s">
        <v>90</v>
      </c>
      <c r="M185" s="34">
        <v>4824.18</v>
      </c>
      <c r="N185" s="34">
        <v>1501.68</v>
      </c>
      <c r="O185" s="34">
        <v>3322.5</v>
      </c>
      <c r="P185" s="34">
        <v>1093.6099999999999</v>
      </c>
      <c r="Q185" s="34">
        <v>101.08</v>
      </c>
      <c r="R185" s="34">
        <v>76.930000000000007</v>
      </c>
      <c r="S185" s="34">
        <v>76.930000000000007</v>
      </c>
      <c r="T185" s="34">
        <v>20.29</v>
      </c>
      <c r="U185" s="34">
        <v>334.51</v>
      </c>
      <c r="V185" s="34">
        <v>13.7</v>
      </c>
      <c r="W185" s="34">
        <v>0.83</v>
      </c>
      <c r="X185" s="34">
        <v>0.45</v>
      </c>
      <c r="Y185" s="35">
        <v>4.1780999999999997</v>
      </c>
      <c r="Z185" s="35">
        <v>6.0664999999999996</v>
      </c>
      <c r="AA185" s="35">
        <v>18.430700000000002</v>
      </c>
    </row>
    <row r="186" spans="1:27" ht="15.75" hidden="1" customHeight="1" x14ac:dyDescent="0.2">
      <c r="A186" s="2"/>
      <c r="B186" s="31">
        <v>181</v>
      </c>
      <c r="C186" s="36" t="s">
        <v>287</v>
      </c>
      <c r="D186" s="36" t="s">
        <v>326</v>
      </c>
      <c r="E186" s="36" t="s">
        <v>327</v>
      </c>
      <c r="F186" s="36" t="s">
        <v>499</v>
      </c>
      <c r="G186" s="36" t="s">
        <v>500</v>
      </c>
      <c r="H186" s="37" t="s">
        <v>80</v>
      </c>
      <c r="I186" s="37" t="s">
        <v>81</v>
      </c>
      <c r="J186" s="37" t="s">
        <v>82</v>
      </c>
      <c r="K186" s="37" t="s">
        <v>104</v>
      </c>
      <c r="L186" s="36" t="s">
        <v>90</v>
      </c>
      <c r="M186" s="34">
        <v>20740.34</v>
      </c>
      <c r="N186" s="34">
        <v>7928.01</v>
      </c>
      <c r="O186" s="34">
        <v>12812.32</v>
      </c>
      <c r="P186" s="34">
        <v>4973.7</v>
      </c>
      <c r="Q186" s="34">
        <v>359.29</v>
      </c>
      <c r="R186" s="34">
        <v>266.52999999999997</v>
      </c>
      <c r="S186" s="34">
        <v>266.52999999999997</v>
      </c>
      <c r="T186" s="34">
        <v>94.03</v>
      </c>
      <c r="U186" s="34">
        <v>1420.53</v>
      </c>
      <c r="V186" s="34">
        <v>8.24</v>
      </c>
      <c r="W186" s="34">
        <v>0.55000000000000004</v>
      </c>
      <c r="X186" s="34">
        <v>0.62</v>
      </c>
      <c r="Y186" s="35">
        <v>4.0891000000000002</v>
      </c>
      <c r="Z186" s="35">
        <v>6.6193999999999997</v>
      </c>
      <c r="AA186" s="35">
        <v>17.051600000000001</v>
      </c>
    </row>
    <row r="187" spans="1:27" ht="15.75" hidden="1" customHeight="1" x14ac:dyDescent="0.2">
      <c r="A187" s="2"/>
      <c r="B187" s="31">
        <v>182</v>
      </c>
      <c r="C187" s="36" t="s">
        <v>287</v>
      </c>
      <c r="D187" s="36" t="s">
        <v>312</v>
      </c>
      <c r="E187" s="36" t="s">
        <v>313</v>
      </c>
      <c r="F187" s="36" t="s">
        <v>501</v>
      </c>
      <c r="G187" s="36" t="s">
        <v>502</v>
      </c>
      <c r="H187" s="37" t="s">
        <v>80</v>
      </c>
      <c r="I187" s="37" t="s">
        <v>81</v>
      </c>
      <c r="J187" s="37" t="s">
        <v>82</v>
      </c>
      <c r="K187" s="37" t="s">
        <v>87</v>
      </c>
      <c r="L187" s="36" t="s">
        <v>84</v>
      </c>
      <c r="M187" s="34">
        <v>764.63</v>
      </c>
      <c r="N187" s="34">
        <v>382.18</v>
      </c>
      <c r="O187" s="34">
        <v>382.46</v>
      </c>
      <c r="P187" s="34">
        <v>913.05</v>
      </c>
      <c r="Q187" s="34">
        <v>43.21</v>
      </c>
      <c r="R187" s="34">
        <v>31.43</v>
      </c>
      <c r="S187" s="34">
        <v>35.590000000000003</v>
      </c>
      <c r="T187" s="34">
        <v>5.42</v>
      </c>
      <c r="U187" s="34">
        <v>43.71</v>
      </c>
      <c r="V187" s="34">
        <v>18.25</v>
      </c>
      <c r="W187" s="34">
        <v>2.2599999999999998</v>
      </c>
      <c r="X187" s="34">
        <v>1</v>
      </c>
      <c r="Y187" s="35">
        <v>6.2069999999999999</v>
      </c>
      <c r="Z187" s="35">
        <v>12.4095</v>
      </c>
      <c r="AA187" s="35">
        <v>5.1980000000000004</v>
      </c>
    </row>
    <row r="188" spans="1:27" ht="15.75" hidden="1" customHeight="1" x14ac:dyDescent="0.2">
      <c r="A188" s="2"/>
      <c r="B188" s="31">
        <v>183</v>
      </c>
      <c r="C188" s="36" t="s">
        <v>287</v>
      </c>
      <c r="D188" s="36" t="s">
        <v>326</v>
      </c>
      <c r="E188" s="36" t="s">
        <v>327</v>
      </c>
      <c r="F188" s="36" t="s">
        <v>503</v>
      </c>
      <c r="G188" s="36" t="s">
        <v>504</v>
      </c>
      <c r="H188" s="37" t="s">
        <v>80</v>
      </c>
      <c r="I188" s="37" t="s">
        <v>81</v>
      </c>
      <c r="J188" s="37" t="s">
        <v>82</v>
      </c>
      <c r="K188" s="37" t="s">
        <v>87</v>
      </c>
      <c r="L188" s="36" t="s">
        <v>84</v>
      </c>
      <c r="M188" s="34">
        <v>76542.47</v>
      </c>
      <c r="N188" s="34">
        <v>29026.74</v>
      </c>
      <c r="O188" s="34">
        <v>47515.73</v>
      </c>
      <c r="P188" s="34">
        <v>15609.02</v>
      </c>
      <c r="Q188" s="34">
        <v>155.28</v>
      </c>
      <c r="R188" s="34">
        <v>37.92</v>
      </c>
      <c r="S188" s="34">
        <v>39.979999999999997</v>
      </c>
      <c r="T188" s="34">
        <v>38.25</v>
      </c>
      <c r="U188" s="34">
        <v>7037.76</v>
      </c>
      <c r="V188" s="34">
        <v>74.239999999999995</v>
      </c>
      <c r="W188" s="34">
        <v>0.4</v>
      </c>
      <c r="X188" s="34">
        <v>0.61</v>
      </c>
      <c r="Y188" s="35">
        <v>0.33739999999999998</v>
      </c>
      <c r="Z188" s="35">
        <v>0.54349999999999998</v>
      </c>
      <c r="AA188" s="35">
        <v>1.6546000000000001</v>
      </c>
    </row>
    <row r="189" spans="1:27" ht="15.75" hidden="1" customHeight="1" x14ac:dyDescent="0.2">
      <c r="A189" s="2"/>
      <c r="B189" s="31">
        <v>184</v>
      </c>
      <c r="C189" s="36" t="s">
        <v>287</v>
      </c>
      <c r="D189" s="36" t="s">
        <v>298</v>
      </c>
      <c r="E189" s="36" t="s">
        <v>299</v>
      </c>
      <c r="F189" s="36" t="s">
        <v>505</v>
      </c>
      <c r="G189" s="36" t="s">
        <v>506</v>
      </c>
      <c r="H189" s="37" t="s">
        <v>80</v>
      </c>
      <c r="I189" s="37" t="s">
        <v>81</v>
      </c>
      <c r="J189" s="37" t="s">
        <v>82</v>
      </c>
      <c r="K189" s="37" t="s">
        <v>87</v>
      </c>
      <c r="L189" s="36" t="s">
        <v>84</v>
      </c>
      <c r="M189" s="34">
        <v>2278.6</v>
      </c>
      <c r="N189" s="34">
        <v>1330.83</v>
      </c>
      <c r="O189" s="34">
        <v>947.77</v>
      </c>
      <c r="P189" s="34">
        <v>906.65</v>
      </c>
      <c r="Q189" s="34">
        <v>18.149999999999999</v>
      </c>
      <c r="R189" s="34">
        <v>12.43</v>
      </c>
      <c r="S189" s="34">
        <v>12.43</v>
      </c>
      <c r="T189" s="34">
        <v>5.17</v>
      </c>
      <c r="U189" s="34">
        <v>277.27999999999997</v>
      </c>
      <c r="V189" s="34">
        <v>32.29</v>
      </c>
      <c r="W189" s="34">
        <v>0.6</v>
      </c>
      <c r="X189" s="34">
        <v>1.4</v>
      </c>
      <c r="Y189" s="35">
        <v>0.77569999999999995</v>
      </c>
      <c r="Z189" s="35">
        <v>1.8649</v>
      </c>
      <c r="AA189" s="35">
        <v>1.9495</v>
      </c>
    </row>
    <row r="190" spans="1:27" ht="15.75" hidden="1" customHeight="1" x14ac:dyDescent="0.2">
      <c r="A190" s="2"/>
      <c r="B190" s="31">
        <v>185</v>
      </c>
      <c r="C190" s="36" t="s">
        <v>287</v>
      </c>
      <c r="D190" s="36" t="s">
        <v>288</v>
      </c>
      <c r="E190" s="36" t="s">
        <v>289</v>
      </c>
      <c r="F190" s="36" t="s">
        <v>507</v>
      </c>
      <c r="G190" s="36" t="s">
        <v>508</v>
      </c>
      <c r="H190" s="37" t="s">
        <v>80</v>
      </c>
      <c r="I190" s="37" t="s">
        <v>81</v>
      </c>
      <c r="J190" s="37" t="s">
        <v>82</v>
      </c>
      <c r="K190" s="37" t="s">
        <v>87</v>
      </c>
      <c r="L190" s="36" t="s">
        <v>84</v>
      </c>
      <c r="M190" s="34">
        <v>207.3</v>
      </c>
      <c r="N190" s="34">
        <v>99.86</v>
      </c>
      <c r="O190" s="34">
        <v>107.44</v>
      </c>
      <c r="P190" s="34">
        <v>108.69</v>
      </c>
      <c r="Q190" s="34">
        <v>0.69</v>
      </c>
      <c r="R190" s="34">
        <v>0.39</v>
      </c>
      <c r="S190" s="34">
        <v>0.39</v>
      </c>
      <c r="T190" s="34">
        <v>1.92</v>
      </c>
      <c r="U190" s="34">
        <v>46.15</v>
      </c>
      <c r="V190" s="34">
        <v>167.72</v>
      </c>
      <c r="W190" s="34">
        <v>6.98</v>
      </c>
      <c r="X190" s="34">
        <v>0.93</v>
      </c>
      <c r="Y190" s="35">
        <v>2.1562000000000001</v>
      </c>
      <c r="Z190" s="35">
        <v>4.1601999999999997</v>
      </c>
      <c r="AA190" s="35">
        <v>4.1124000000000001</v>
      </c>
    </row>
    <row r="191" spans="1:27" ht="15.75" hidden="1" customHeight="1" x14ac:dyDescent="0.2">
      <c r="A191" s="2"/>
      <c r="B191" s="31">
        <v>186</v>
      </c>
      <c r="C191" s="36" t="s">
        <v>287</v>
      </c>
      <c r="D191" s="36" t="s">
        <v>326</v>
      </c>
      <c r="E191" s="36" t="s">
        <v>327</v>
      </c>
      <c r="F191" s="36" t="s">
        <v>509</v>
      </c>
      <c r="G191" s="36" t="s">
        <v>510</v>
      </c>
      <c r="H191" s="37" t="s">
        <v>80</v>
      </c>
      <c r="I191" s="37" t="s">
        <v>81</v>
      </c>
      <c r="J191" s="37" t="s">
        <v>82</v>
      </c>
      <c r="K191" s="37" t="s">
        <v>87</v>
      </c>
      <c r="L191" s="36" t="s">
        <v>84</v>
      </c>
      <c r="M191" s="34">
        <v>212.85</v>
      </c>
      <c r="N191" s="34">
        <v>54.74</v>
      </c>
      <c r="O191" s="34">
        <v>158.12</v>
      </c>
      <c r="P191" s="34">
        <v>100.02</v>
      </c>
      <c r="Q191" s="34">
        <v>10.1</v>
      </c>
      <c r="R191" s="34">
        <v>10.1</v>
      </c>
      <c r="S191" s="34">
        <v>10.11</v>
      </c>
      <c r="T191" s="34">
        <v>6.4</v>
      </c>
      <c r="U191" s="34">
        <v>48.14</v>
      </c>
      <c r="V191" s="34">
        <v>20.48</v>
      </c>
      <c r="W191" s="34">
        <v>2.72</v>
      </c>
      <c r="X191" s="34">
        <v>0.35</v>
      </c>
      <c r="Y191" s="35">
        <v>9.8695000000000004</v>
      </c>
      <c r="Z191" s="35">
        <v>13.286</v>
      </c>
      <c r="AA191" s="35">
        <v>21.0032</v>
      </c>
    </row>
    <row r="192" spans="1:27" ht="15.75" hidden="1" customHeight="1" x14ac:dyDescent="0.2">
      <c r="A192" s="2"/>
      <c r="B192" s="31">
        <v>187</v>
      </c>
      <c r="C192" s="36" t="s">
        <v>287</v>
      </c>
      <c r="D192" s="36" t="s">
        <v>298</v>
      </c>
      <c r="E192" s="36" t="s">
        <v>299</v>
      </c>
      <c r="F192" s="36" t="s">
        <v>511</v>
      </c>
      <c r="G192" s="36" t="s">
        <v>512</v>
      </c>
      <c r="H192" s="37" t="s">
        <v>80</v>
      </c>
      <c r="I192" s="37" t="s">
        <v>81</v>
      </c>
      <c r="J192" s="37" t="s">
        <v>82</v>
      </c>
      <c r="K192" s="37" t="s">
        <v>87</v>
      </c>
      <c r="L192" s="36" t="s">
        <v>84</v>
      </c>
      <c r="M192" s="34">
        <v>3503.07</v>
      </c>
      <c r="N192" s="34">
        <v>1065.32</v>
      </c>
      <c r="O192" s="34">
        <v>2437.7399999999998</v>
      </c>
      <c r="P192" s="34">
        <v>1288.3699999999999</v>
      </c>
      <c r="Q192" s="34">
        <v>67.25</v>
      </c>
      <c r="R192" s="34">
        <v>53.06</v>
      </c>
      <c r="S192" s="34">
        <v>53.06</v>
      </c>
      <c r="T192" s="34">
        <v>34.520000000000003</v>
      </c>
      <c r="U192" s="34">
        <v>772.88</v>
      </c>
      <c r="V192" s="34">
        <v>10.02</v>
      </c>
      <c r="W192" s="34">
        <v>0.45</v>
      </c>
      <c r="X192" s="34">
        <v>0.44</v>
      </c>
      <c r="Y192" s="35">
        <v>3.1084999999999998</v>
      </c>
      <c r="Z192" s="35">
        <v>4.4669999999999996</v>
      </c>
      <c r="AA192" s="35">
        <v>8.452</v>
      </c>
    </row>
    <row r="193" spans="1:27" ht="15.75" hidden="1" customHeight="1" x14ac:dyDescent="0.2">
      <c r="A193" s="2"/>
      <c r="B193" s="31">
        <v>188</v>
      </c>
      <c r="C193" s="36" t="s">
        <v>287</v>
      </c>
      <c r="D193" s="36" t="s">
        <v>318</v>
      </c>
      <c r="E193" s="36" t="s">
        <v>319</v>
      </c>
      <c r="F193" s="36" t="s">
        <v>513</v>
      </c>
      <c r="G193" s="36" t="s">
        <v>514</v>
      </c>
      <c r="H193" s="37" t="s">
        <v>95</v>
      </c>
      <c r="I193" s="37" t="s">
        <v>338</v>
      </c>
      <c r="J193" s="37" t="s">
        <v>82</v>
      </c>
      <c r="K193" s="37" t="s">
        <v>87</v>
      </c>
      <c r="L193" s="36" t="s">
        <v>84</v>
      </c>
      <c r="M193" s="34">
        <v>535.91</v>
      </c>
      <c r="N193" s="34">
        <v>478.69</v>
      </c>
      <c r="O193" s="34">
        <v>57.22</v>
      </c>
      <c r="P193" s="34">
        <v>0.63</v>
      </c>
      <c r="Q193" s="34">
        <v>-42.75</v>
      </c>
      <c r="R193" s="34">
        <v>-47.54</v>
      </c>
      <c r="S193" s="34">
        <v>-46.65</v>
      </c>
      <c r="T193" s="34">
        <v>-5.59</v>
      </c>
      <c r="U193" s="34">
        <v>3.68</v>
      </c>
      <c r="V193" s="34">
        <v>-7.7</v>
      </c>
      <c r="W193" s="34">
        <v>11.68</v>
      </c>
      <c r="X193" s="34">
        <v>8.3699999999999992</v>
      </c>
      <c r="Y193" s="35">
        <v>-16.2012</v>
      </c>
      <c r="Z193" s="35">
        <v>-151.72749999999999</v>
      </c>
      <c r="AA193" s="35">
        <v>-13864.1139</v>
      </c>
    </row>
    <row r="194" spans="1:27" ht="15.75" hidden="1" customHeight="1" x14ac:dyDescent="0.2">
      <c r="A194" s="2"/>
      <c r="B194" s="31">
        <v>189</v>
      </c>
      <c r="C194" s="36" t="s">
        <v>287</v>
      </c>
      <c r="D194" s="36" t="s">
        <v>288</v>
      </c>
      <c r="E194" s="36" t="s">
        <v>289</v>
      </c>
      <c r="F194" s="36" t="s">
        <v>515</v>
      </c>
      <c r="G194" s="36" t="s">
        <v>516</v>
      </c>
      <c r="H194" s="37" t="s">
        <v>95</v>
      </c>
      <c r="I194" s="37" t="s">
        <v>81</v>
      </c>
      <c r="J194" s="37" t="s">
        <v>82</v>
      </c>
      <c r="K194" s="37" t="s">
        <v>87</v>
      </c>
      <c r="L194" s="36" t="s">
        <v>84</v>
      </c>
      <c r="M194" s="34">
        <v>1116.1099999999999</v>
      </c>
      <c r="N194" s="34">
        <v>358.79</v>
      </c>
      <c r="O194" s="34">
        <v>757.32</v>
      </c>
      <c r="P194" s="34">
        <v>615.80999999999995</v>
      </c>
      <c r="Q194" s="34">
        <v>32.15</v>
      </c>
      <c r="R194" s="34">
        <v>24.78</v>
      </c>
      <c r="S194" s="34">
        <v>24.78</v>
      </c>
      <c r="T194" s="34">
        <v>4.3099999999999996</v>
      </c>
      <c r="U194" s="34">
        <v>125.8</v>
      </c>
      <c r="V194" s="34">
        <v>15.79</v>
      </c>
      <c r="W194" s="34">
        <v>0.54</v>
      </c>
      <c r="X194" s="34">
        <v>0.47</v>
      </c>
      <c r="Y194" s="35">
        <v>2.3220999999999998</v>
      </c>
      <c r="Z194" s="35">
        <v>3.4222999999999999</v>
      </c>
      <c r="AA194" s="35">
        <v>4.2087000000000003</v>
      </c>
    </row>
    <row r="195" spans="1:27" ht="15.75" hidden="1" customHeight="1" x14ac:dyDescent="0.2">
      <c r="A195" s="2"/>
      <c r="B195" s="31">
        <v>190</v>
      </c>
      <c r="C195" s="36" t="s">
        <v>287</v>
      </c>
      <c r="D195" s="36" t="s">
        <v>388</v>
      </c>
      <c r="E195" s="36" t="s">
        <v>389</v>
      </c>
      <c r="F195" s="36" t="s">
        <v>517</v>
      </c>
      <c r="G195" s="36" t="s">
        <v>518</v>
      </c>
      <c r="H195" s="37" t="s">
        <v>80</v>
      </c>
      <c r="I195" s="37" t="s">
        <v>81</v>
      </c>
      <c r="J195" s="37" t="s">
        <v>82</v>
      </c>
      <c r="K195" s="37" t="s">
        <v>87</v>
      </c>
      <c r="L195" s="36" t="s">
        <v>84</v>
      </c>
      <c r="M195" s="34">
        <v>707.69</v>
      </c>
      <c r="N195" s="34">
        <v>453.6</v>
      </c>
      <c r="O195" s="34">
        <v>254.08</v>
      </c>
      <c r="P195" s="34">
        <v>115.92</v>
      </c>
      <c r="Q195" s="34">
        <v>-23.16</v>
      </c>
      <c r="R195" s="34">
        <v>-13.36</v>
      </c>
      <c r="S195" s="34">
        <v>-13.36</v>
      </c>
      <c r="T195" s="34">
        <v>-23.27</v>
      </c>
      <c r="U195" s="34">
        <v>40.200000000000003</v>
      </c>
      <c r="V195" s="34">
        <v>-4.7699999999999996</v>
      </c>
      <c r="W195" s="34">
        <v>2.76</v>
      </c>
      <c r="X195" s="34">
        <v>1.79</v>
      </c>
      <c r="Y195" s="35">
        <v>-20.785499999999999</v>
      </c>
      <c r="Z195" s="35">
        <v>-57.893099999999997</v>
      </c>
      <c r="AA195" s="35">
        <v>-126.893</v>
      </c>
    </row>
    <row r="196" spans="1:27" ht="15.75" hidden="1" customHeight="1" x14ac:dyDescent="0.2">
      <c r="A196" s="2"/>
      <c r="B196" s="31">
        <v>191</v>
      </c>
      <c r="C196" s="36" t="s">
        <v>287</v>
      </c>
      <c r="D196" s="36" t="s">
        <v>415</v>
      </c>
      <c r="E196" s="36" t="s">
        <v>416</v>
      </c>
      <c r="F196" s="36" t="s">
        <v>519</v>
      </c>
      <c r="G196" s="36" t="s">
        <v>520</v>
      </c>
      <c r="H196" s="37" t="s">
        <v>95</v>
      </c>
      <c r="I196" s="37" t="s">
        <v>338</v>
      </c>
      <c r="J196" s="37" t="s">
        <v>82</v>
      </c>
      <c r="K196" s="37" t="s">
        <v>87</v>
      </c>
      <c r="L196" s="36" t="s">
        <v>84</v>
      </c>
      <c r="M196" s="34">
        <v>609.27</v>
      </c>
      <c r="N196" s="34">
        <v>426.23</v>
      </c>
      <c r="O196" s="34">
        <v>183.03</v>
      </c>
      <c r="P196" s="34">
        <v>138.82</v>
      </c>
      <c r="Q196" s="34">
        <v>-19.72</v>
      </c>
      <c r="R196" s="34">
        <v>-19.34</v>
      </c>
      <c r="S196" s="34">
        <v>-19.32</v>
      </c>
      <c r="T196" s="34">
        <v>-9.86</v>
      </c>
      <c r="U196" s="34">
        <v>60.62</v>
      </c>
      <c r="V196" s="34">
        <v>-1.62</v>
      </c>
      <c r="W196" s="34">
        <v>0.26</v>
      </c>
      <c r="X196" s="34">
        <v>2.33</v>
      </c>
      <c r="Y196" s="35">
        <v>-4.8846999999999996</v>
      </c>
      <c r="Z196" s="35">
        <v>-16.260000000000002</v>
      </c>
      <c r="AA196" s="35">
        <v>-21.438199999999998</v>
      </c>
    </row>
    <row r="197" spans="1:27" ht="15.75" hidden="1" customHeight="1" x14ac:dyDescent="0.2">
      <c r="A197" s="2"/>
      <c r="B197" s="31">
        <v>192</v>
      </c>
      <c r="C197" s="36" t="s">
        <v>287</v>
      </c>
      <c r="D197" s="36" t="s">
        <v>298</v>
      </c>
      <c r="E197" s="36" t="s">
        <v>299</v>
      </c>
      <c r="F197" s="36" t="s">
        <v>521</v>
      </c>
      <c r="G197" s="36" t="s">
        <v>522</v>
      </c>
      <c r="H197" s="37" t="s">
        <v>80</v>
      </c>
      <c r="I197" s="37" t="s">
        <v>81</v>
      </c>
      <c r="J197" s="37" t="s">
        <v>82</v>
      </c>
      <c r="K197" s="37" t="s">
        <v>87</v>
      </c>
      <c r="L197" s="36" t="s">
        <v>84</v>
      </c>
      <c r="M197" s="34">
        <v>1854.48</v>
      </c>
      <c r="N197" s="34">
        <v>608.51</v>
      </c>
      <c r="O197" s="34">
        <v>1245.98</v>
      </c>
      <c r="P197" s="34">
        <v>700.97</v>
      </c>
      <c r="Q197" s="34">
        <v>24.37</v>
      </c>
      <c r="R197" s="34">
        <v>17.95</v>
      </c>
      <c r="S197" s="34">
        <v>17.47</v>
      </c>
      <c r="T197" s="34">
        <v>20.97</v>
      </c>
      <c r="U197" s="34">
        <v>920.6</v>
      </c>
      <c r="V197" s="34">
        <v>22.89</v>
      </c>
      <c r="W197" s="34">
        <v>0.52</v>
      </c>
      <c r="X197" s="34">
        <v>0.49</v>
      </c>
      <c r="Y197" s="35">
        <v>1.5306</v>
      </c>
      <c r="Z197" s="35">
        <v>2.2782</v>
      </c>
      <c r="AA197" s="35">
        <v>4.0495000000000001</v>
      </c>
    </row>
    <row r="198" spans="1:27" ht="15.75" hidden="1" customHeight="1" x14ac:dyDescent="0.2">
      <c r="A198" s="2"/>
      <c r="B198" s="31">
        <v>193</v>
      </c>
      <c r="C198" s="36" t="s">
        <v>287</v>
      </c>
      <c r="D198" s="36" t="s">
        <v>308</v>
      </c>
      <c r="E198" s="36" t="s">
        <v>309</v>
      </c>
      <c r="F198" s="36" t="s">
        <v>523</v>
      </c>
      <c r="G198" s="36" t="s">
        <v>524</v>
      </c>
      <c r="H198" s="37" t="s">
        <v>80</v>
      </c>
      <c r="I198" s="37" t="s">
        <v>81</v>
      </c>
      <c r="J198" s="37" t="s">
        <v>82</v>
      </c>
      <c r="K198" s="37" t="s">
        <v>87</v>
      </c>
      <c r="L198" s="36" t="s">
        <v>84</v>
      </c>
      <c r="M198" s="34">
        <v>2436.79</v>
      </c>
      <c r="N198" s="34">
        <v>1237.07</v>
      </c>
      <c r="O198" s="34">
        <v>1199.72</v>
      </c>
      <c r="P198" s="34">
        <v>6991.52</v>
      </c>
      <c r="Q198" s="34">
        <v>64.87</v>
      </c>
      <c r="R198" s="34">
        <v>50.91</v>
      </c>
      <c r="S198" s="34">
        <v>50.91</v>
      </c>
      <c r="T198" s="34">
        <v>175.25</v>
      </c>
      <c r="U198" s="34">
        <v>1632.98</v>
      </c>
      <c r="V198" s="34">
        <v>6.9</v>
      </c>
      <c r="W198" s="34">
        <v>0.74</v>
      </c>
      <c r="X198" s="34">
        <v>1.03</v>
      </c>
      <c r="Y198" s="35">
        <v>5.2838000000000003</v>
      </c>
      <c r="Z198" s="35">
        <v>10.732100000000001</v>
      </c>
      <c r="AA198" s="35">
        <v>1.8415999999999999</v>
      </c>
    </row>
    <row r="199" spans="1:27" ht="15.75" hidden="1" customHeight="1" x14ac:dyDescent="0.2">
      <c r="A199" s="2"/>
      <c r="B199" s="31">
        <v>194</v>
      </c>
      <c r="C199" s="36" t="s">
        <v>287</v>
      </c>
      <c r="D199" s="36" t="s">
        <v>288</v>
      </c>
      <c r="E199" s="36" t="s">
        <v>289</v>
      </c>
      <c r="F199" s="36" t="s">
        <v>525</v>
      </c>
      <c r="G199" s="36" t="s">
        <v>526</v>
      </c>
      <c r="H199" s="37" t="s">
        <v>95</v>
      </c>
      <c r="I199" s="37" t="s">
        <v>127</v>
      </c>
      <c r="J199" s="37" t="s">
        <v>82</v>
      </c>
      <c r="K199" s="37" t="s">
        <v>83</v>
      </c>
      <c r="L199" s="36" t="s">
        <v>84</v>
      </c>
      <c r="M199" s="34">
        <v>2212.29</v>
      </c>
      <c r="N199" s="34">
        <v>1982.81</v>
      </c>
      <c r="O199" s="34">
        <v>229.48</v>
      </c>
      <c r="P199" s="34">
        <v>550.01</v>
      </c>
      <c r="Q199" s="34">
        <v>-51.08</v>
      </c>
      <c r="R199" s="34">
        <v>-82.2</v>
      </c>
      <c r="S199" s="34">
        <v>-81.97</v>
      </c>
      <c r="T199" s="34">
        <v>-82.22</v>
      </c>
      <c r="U199" s="34">
        <v>21.89</v>
      </c>
      <c r="V199" s="34">
        <v>-1.45</v>
      </c>
      <c r="W199" s="34">
        <v>5.44</v>
      </c>
      <c r="X199" s="34">
        <v>8.64</v>
      </c>
      <c r="Y199" s="35">
        <v>-38.966999999999999</v>
      </c>
      <c r="Z199" s="35">
        <v>-375.6601</v>
      </c>
      <c r="AA199" s="35">
        <v>-156.73509999999999</v>
      </c>
    </row>
    <row r="200" spans="1:27" ht="15.75" hidden="1" customHeight="1" x14ac:dyDescent="0.2">
      <c r="A200" s="2"/>
      <c r="B200" s="31">
        <v>195</v>
      </c>
      <c r="C200" s="36" t="s">
        <v>287</v>
      </c>
      <c r="D200" s="36" t="s">
        <v>312</v>
      </c>
      <c r="E200" s="36" t="s">
        <v>313</v>
      </c>
      <c r="F200" s="36" t="s">
        <v>527</v>
      </c>
      <c r="G200" s="36" t="s">
        <v>528</v>
      </c>
      <c r="H200" s="37" t="s">
        <v>80</v>
      </c>
      <c r="I200" s="37" t="s">
        <v>81</v>
      </c>
      <c r="J200" s="37" t="s">
        <v>82</v>
      </c>
      <c r="K200" s="37" t="s">
        <v>87</v>
      </c>
      <c r="L200" s="36" t="s">
        <v>84</v>
      </c>
      <c r="M200" s="34">
        <v>12325.1</v>
      </c>
      <c r="N200" s="34">
        <v>5031.3</v>
      </c>
      <c r="O200" s="34">
        <v>7293.8</v>
      </c>
      <c r="P200" s="34">
        <v>4219.87</v>
      </c>
      <c r="Q200" s="34">
        <v>403.71</v>
      </c>
      <c r="R200" s="34">
        <v>300.07</v>
      </c>
      <c r="S200" s="34">
        <v>300.07</v>
      </c>
      <c r="T200" s="34">
        <v>141.28</v>
      </c>
      <c r="U200" s="34">
        <v>979.33</v>
      </c>
      <c r="V200" s="34">
        <v>11.36</v>
      </c>
      <c r="W200" s="34">
        <v>1.64</v>
      </c>
      <c r="X200" s="34">
        <v>0.69</v>
      </c>
      <c r="Y200" s="35">
        <v>8.5374999999999996</v>
      </c>
      <c r="Z200" s="35">
        <v>14.4267</v>
      </c>
      <c r="AA200" s="35">
        <v>24.935700000000001</v>
      </c>
    </row>
    <row r="201" spans="1:27" ht="15.75" hidden="1" customHeight="1" x14ac:dyDescent="0.2">
      <c r="A201" s="2"/>
      <c r="B201" s="31">
        <v>196</v>
      </c>
      <c r="C201" s="36" t="s">
        <v>287</v>
      </c>
      <c r="D201" s="36" t="s">
        <v>388</v>
      </c>
      <c r="E201" s="36" t="s">
        <v>389</v>
      </c>
      <c r="F201" s="36" t="s">
        <v>529</v>
      </c>
      <c r="G201" s="36" t="s">
        <v>530</v>
      </c>
      <c r="H201" s="37" t="s">
        <v>80</v>
      </c>
      <c r="I201" s="37" t="s">
        <v>81</v>
      </c>
      <c r="J201" s="37" t="s">
        <v>82</v>
      </c>
      <c r="K201" s="37" t="s">
        <v>104</v>
      </c>
      <c r="L201" s="36" t="s">
        <v>90</v>
      </c>
      <c r="M201" s="34">
        <v>164.16</v>
      </c>
      <c r="N201" s="34">
        <v>866.28</v>
      </c>
      <c r="O201" s="34">
        <v>-702.13</v>
      </c>
      <c r="P201" s="34">
        <v>0.03</v>
      </c>
      <c r="Q201" s="34">
        <v>-22.23</v>
      </c>
      <c r="R201" s="34">
        <v>-26.43</v>
      </c>
      <c r="S201" s="34">
        <v>-26.43</v>
      </c>
      <c r="T201" s="34">
        <v>-52.15</v>
      </c>
      <c r="U201" s="34">
        <v>-693.96</v>
      </c>
      <c r="V201" s="34">
        <v>-0.84</v>
      </c>
      <c r="W201" s="34">
        <v>-0.06</v>
      </c>
      <c r="X201" s="34">
        <v>-1.23</v>
      </c>
      <c r="Y201" s="35">
        <v>-32.141399999999997</v>
      </c>
      <c r="Z201" s="35" t="s">
        <v>95</v>
      </c>
      <c r="AA201" s="35">
        <v>-159601.1918</v>
      </c>
    </row>
    <row r="202" spans="1:27" ht="15.75" hidden="1" customHeight="1" x14ac:dyDescent="0.2">
      <c r="A202" s="2"/>
      <c r="B202" s="31">
        <v>197</v>
      </c>
      <c r="C202" s="36" t="s">
        <v>287</v>
      </c>
      <c r="D202" s="36" t="s">
        <v>415</v>
      </c>
      <c r="E202" s="36" t="s">
        <v>416</v>
      </c>
      <c r="F202" s="36" t="s">
        <v>531</v>
      </c>
      <c r="G202" s="36" t="s">
        <v>532</v>
      </c>
      <c r="H202" s="37" t="s">
        <v>80</v>
      </c>
      <c r="I202" s="37" t="s">
        <v>81</v>
      </c>
      <c r="J202" s="37" t="s">
        <v>82</v>
      </c>
      <c r="K202" s="37" t="s">
        <v>87</v>
      </c>
      <c r="L202" s="36" t="s">
        <v>84</v>
      </c>
      <c r="M202" s="34">
        <v>64171.82</v>
      </c>
      <c r="N202" s="34">
        <v>19169.27</v>
      </c>
      <c r="O202" s="34">
        <v>45002.559999999998</v>
      </c>
      <c r="P202" s="34">
        <v>7959.08</v>
      </c>
      <c r="Q202" s="34">
        <v>1693.25</v>
      </c>
      <c r="R202" s="34">
        <v>1596.68</v>
      </c>
      <c r="S202" s="34">
        <v>1596.68</v>
      </c>
      <c r="T202" s="34">
        <v>921.98</v>
      </c>
      <c r="U202" s="34">
        <v>14455.29</v>
      </c>
      <c r="V202" s="34">
        <v>7.57</v>
      </c>
      <c r="W202" s="34">
        <v>0.48</v>
      </c>
      <c r="X202" s="34">
        <v>0.43</v>
      </c>
      <c r="Y202" s="35">
        <v>4.4729000000000001</v>
      </c>
      <c r="Z202" s="35">
        <v>6.3781999999999996</v>
      </c>
      <c r="AA202" s="35">
        <v>36.063699999999997</v>
      </c>
    </row>
    <row r="203" spans="1:27" ht="15.75" hidden="1" customHeight="1" x14ac:dyDescent="0.2">
      <c r="A203" s="2"/>
      <c r="B203" s="31">
        <v>198</v>
      </c>
      <c r="C203" s="36" t="s">
        <v>287</v>
      </c>
      <c r="D203" s="36" t="s">
        <v>288</v>
      </c>
      <c r="E203" s="36" t="s">
        <v>289</v>
      </c>
      <c r="F203" s="36" t="s">
        <v>533</v>
      </c>
      <c r="G203" s="36" t="s">
        <v>534</v>
      </c>
      <c r="H203" s="37" t="s">
        <v>80</v>
      </c>
      <c r="I203" s="37" t="s">
        <v>81</v>
      </c>
      <c r="J203" s="37" t="s">
        <v>82</v>
      </c>
      <c r="K203" s="37" t="s">
        <v>104</v>
      </c>
      <c r="L203" s="36" t="s">
        <v>90</v>
      </c>
      <c r="M203" s="34">
        <v>173428.14</v>
      </c>
      <c r="N203" s="34">
        <v>96086.5</v>
      </c>
      <c r="O203" s="34">
        <v>77341.64</v>
      </c>
      <c r="P203" s="34">
        <v>47287.25</v>
      </c>
      <c r="Q203" s="34">
        <v>25588.61</v>
      </c>
      <c r="R203" s="34">
        <v>26395.27</v>
      </c>
      <c r="S203" s="34">
        <v>20464.04</v>
      </c>
      <c r="T203" s="34">
        <v>232.62</v>
      </c>
      <c r="U203" s="34">
        <v>894</v>
      </c>
      <c r="V203" s="34">
        <v>33.21</v>
      </c>
      <c r="W203" s="34">
        <v>8.64</v>
      </c>
      <c r="X203" s="34">
        <v>1.24</v>
      </c>
      <c r="Y203" s="35">
        <v>11.603899999999999</v>
      </c>
      <c r="Z203" s="35">
        <v>26.020199999999999</v>
      </c>
      <c r="AA203" s="35">
        <v>42.5578</v>
      </c>
    </row>
    <row r="204" spans="1:27" ht="15.75" hidden="1" customHeight="1" x14ac:dyDescent="0.2">
      <c r="A204" s="2"/>
      <c r="B204" s="31">
        <v>199</v>
      </c>
      <c r="C204" s="36" t="s">
        <v>287</v>
      </c>
      <c r="D204" s="36" t="s">
        <v>298</v>
      </c>
      <c r="E204" s="36" t="s">
        <v>299</v>
      </c>
      <c r="F204" s="36" t="s">
        <v>535</v>
      </c>
      <c r="G204" s="36" t="s">
        <v>536</v>
      </c>
      <c r="H204" s="37" t="s">
        <v>80</v>
      </c>
      <c r="I204" s="37" t="s">
        <v>81</v>
      </c>
      <c r="J204" s="37" t="s">
        <v>82</v>
      </c>
      <c r="K204" s="37" t="s">
        <v>87</v>
      </c>
      <c r="L204" s="36" t="s">
        <v>84</v>
      </c>
      <c r="M204" s="34">
        <v>5405.65</v>
      </c>
      <c r="N204" s="34">
        <v>2777.23</v>
      </c>
      <c r="O204" s="34">
        <v>2628.42</v>
      </c>
      <c r="P204" s="34">
        <v>1770.75</v>
      </c>
      <c r="Q204" s="34">
        <v>-38.76</v>
      </c>
      <c r="R204" s="34">
        <v>-44.11</v>
      </c>
      <c r="S204" s="34">
        <v>-43.4</v>
      </c>
      <c r="T204" s="34">
        <v>-1.25</v>
      </c>
      <c r="U204" s="34">
        <v>936.05</v>
      </c>
      <c r="V204" s="34">
        <v>-386.87</v>
      </c>
      <c r="W204" s="34">
        <v>0.52</v>
      </c>
      <c r="X204" s="34">
        <v>1.06</v>
      </c>
      <c r="Y204" s="35">
        <v>-6.5000000000000002E-2</v>
      </c>
      <c r="Z204" s="35">
        <v>-0.13370000000000001</v>
      </c>
      <c r="AA204" s="35">
        <v>-0.19839999999999999</v>
      </c>
    </row>
    <row r="205" spans="1:27" ht="15.75" hidden="1" customHeight="1" x14ac:dyDescent="0.2">
      <c r="A205" s="2"/>
      <c r="B205" s="31">
        <v>200</v>
      </c>
      <c r="C205" s="36" t="s">
        <v>287</v>
      </c>
      <c r="D205" s="36" t="s">
        <v>288</v>
      </c>
      <c r="E205" s="36" t="s">
        <v>289</v>
      </c>
      <c r="F205" s="36" t="s">
        <v>537</v>
      </c>
      <c r="G205" s="36" t="s">
        <v>538</v>
      </c>
      <c r="H205" s="37" t="s">
        <v>80</v>
      </c>
      <c r="I205" s="37" t="s">
        <v>81</v>
      </c>
      <c r="J205" s="37" t="s">
        <v>82</v>
      </c>
      <c r="K205" s="37" t="s">
        <v>87</v>
      </c>
      <c r="L205" s="36" t="s">
        <v>84</v>
      </c>
      <c r="M205" s="34">
        <v>5660.08</v>
      </c>
      <c r="N205" s="34">
        <v>747.17</v>
      </c>
      <c r="O205" s="34">
        <v>4912.8999999999996</v>
      </c>
      <c r="P205" s="34">
        <v>3157.16</v>
      </c>
      <c r="Q205" s="34">
        <v>240.95</v>
      </c>
      <c r="R205" s="34">
        <v>191.52</v>
      </c>
      <c r="S205" s="34">
        <v>193.59</v>
      </c>
      <c r="T205" s="34">
        <v>978.71</v>
      </c>
      <c r="U205" s="34">
        <v>12816.34</v>
      </c>
      <c r="V205" s="34">
        <v>9.4499999999999993</v>
      </c>
      <c r="W205" s="34">
        <v>0.72</v>
      </c>
      <c r="X205" s="34">
        <v>0.15</v>
      </c>
      <c r="Y205" s="35">
        <v>6.6283000000000003</v>
      </c>
      <c r="Z205" s="35">
        <v>7.6364000000000001</v>
      </c>
      <c r="AA205" s="35">
        <v>11.883100000000001</v>
      </c>
    </row>
    <row r="206" spans="1:27" ht="15.75" hidden="1" customHeight="1" x14ac:dyDescent="0.2">
      <c r="A206" s="2"/>
      <c r="B206" s="31">
        <v>201</v>
      </c>
      <c r="C206" s="36" t="s">
        <v>287</v>
      </c>
      <c r="D206" s="36" t="s">
        <v>326</v>
      </c>
      <c r="E206" s="36" t="s">
        <v>327</v>
      </c>
      <c r="F206" s="36" t="s">
        <v>539</v>
      </c>
      <c r="G206" s="36" t="s">
        <v>540</v>
      </c>
      <c r="H206" s="37" t="s">
        <v>95</v>
      </c>
      <c r="I206" s="37" t="s">
        <v>81</v>
      </c>
      <c r="J206" s="37" t="s">
        <v>82</v>
      </c>
      <c r="K206" s="37" t="s">
        <v>87</v>
      </c>
      <c r="L206" s="36" t="s">
        <v>84</v>
      </c>
      <c r="M206" s="34">
        <v>3294.05</v>
      </c>
      <c r="N206" s="34">
        <v>5050.57</v>
      </c>
      <c r="O206" s="34">
        <v>-1756.52</v>
      </c>
      <c r="P206" s="34">
        <v>732.65</v>
      </c>
      <c r="Q206" s="34">
        <v>-236.88</v>
      </c>
      <c r="R206" s="34">
        <v>-236.88</v>
      </c>
      <c r="S206" s="34">
        <v>-236.88</v>
      </c>
      <c r="T206" s="34">
        <v>-13.48</v>
      </c>
      <c r="U206" s="34">
        <v>-30.94</v>
      </c>
      <c r="V206" s="34">
        <v>-1.71</v>
      </c>
      <c r="W206" s="34">
        <v>-0.74</v>
      </c>
      <c r="X206" s="34">
        <v>-2.88</v>
      </c>
      <c r="Y206" s="35">
        <v>-23.242899999999999</v>
      </c>
      <c r="Z206" s="35" t="s">
        <v>95</v>
      </c>
      <c r="AA206" s="35">
        <v>-104.5014</v>
      </c>
    </row>
    <row r="207" spans="1:27" ht="15.75" hidden="1" customHeight="1" x14ac:dyDescent="0.2">
      <c r="A207" s="2"/>
      <c r="B207" s="31">
        <v>202</v>
      </c>
      <c r="C207" s="36" t="s">
        <v>287</v>
      </c>
      <c r="D207" s="36" t="s">
        <v>326</v>
      </c>
      <c r="E207" s="36" t="s">
        <v>327</v>
      </c>
      <c r="F207" s="36" t="s">
        <v>541</v>
      </c>
      <c r="G207" s="36" t="s">
        <v>542</v>
      </c>
      <c r="H207" s="37" t="s">
        <v>80</v>
      </c>
      <c r="I207" s="37" t="s">
        <v>81</v>
      </c>
      <c r="J207" s="37" t="s">
        <v>82</v>
      </c>
      <c r="K207" s="37" t="s">
        <v>87</v>
      </c>
      <c r="L207" s="36" t="s">
        <v>84</v>
      </c>
      <c r="M207" s="34">
        <v>6701.05</v>
      </c>
      <c r="N207" s="34">
        <v>3014.08</v>
      </c>
      <c r="O207" s="34">
        <v>3686.97</v>
      </c>
      <c r="P207" s="34">
        <v>1569.3</v>
      </c>
      <c r="Q207" s="34">
        <v>7.93</v>
      </c>
      <c r="R207" s="34">
        <v>0.2</v>
      </c>
      <c r="S207" s="34">
        <v>4.3499999999999996</v>
      </c>
      <c r="T207" s="34">
        <v>5.9</v>
      </c>
      <c r="U207" s="34">
        <v>423.04</v>
      </c>
      <c r="V207" s="34">
        <v>16.940000000000001</v>
      </c>
      <c r="W207" s="34">
        <v>0.24</v>
      </c>
      <c r="X207" s="34">
        <v>0.82</v>
      </c>
      <c r="Y207" s="35">
        <v>0.76780000000000004</v>
      </c>
      <c r="Z207" s="35">
        <v>1.3955</v>
      </c>
      <c r="AA207" s="35">
        <v>3.2787000000000002</v>
      </c>
    </row>
    <row r="208" spans="1:27" ht="15.75" hidden="1" customHeight="1" x14ac:dyDescent="0.2">
      <c r="A208" s="2"/>
      <c r="B208" s="31">
        <v>203</v>
      </c>
      <c r="C208" s="36" t="s">
        <v>287</v>
      </c>
      <c r="D208" s="36" t="s">
        <v>298</v>
      </c>
      <c r="E208" s="36" t="s">
        <v>299</v>
      </c>
      <c r="F208" s="36" t="s">
        <v>543</v>
      </c>
      <c r="G208" s="36" t="s">
        <v>544</v>
      </c>
      <c r="H208" s="37" t="s">
        <v>80</v>
      </c>
      <c r="I208" s="37" t="s">
        <v>81</v>
      </c>
      <c r="J208" s="37" t="s">
        <v>82</v>
      </c>
      <c r="K208" s="37" t="s">
        <v>87</v>
      </c>
      <c r="L208" s="36" t="s">
        <v>84</v>
      </c>
      <c r="M208" s="34">
        <v>278.43</v>
      </c>
      <c r="N208" s="34">
        <v>157.86000000000001</v>
      </c>
      <c r="O208" s="34">
        <v>120.57</v>
      </c>
      <c r="P208" s="34">
        <v>171.93</v>
      </c>
      <c r="Q208" s="34">
        <v>-3.51</v>
      </c>
      <c r="R208" s="34">
        <v>-3.61</v>
      </c>
      <c r="S208" s="34">
        <v>-3.61</v>
      </c>
      <c r="T208" s="34">
        <v>-5.63</v>
      </c>
      <c r="U208" s="34">
        <v>180.5</v>
      </c>
      <c r="V208" s="34">
        <v>-62.87</v>
      </c>
      <c r="W208" s="34">
        <v>1.96</v>
      </c>
      <c r="X208" s="34">
        <v>1.31</v>
      </c>
      <c r="Y208" s="35">
        <v>-1.3509</v>
      </c>
      <c r="Z208" s="35">
        <v>-3.1196999999999999</v>
      </c>
      <c r="AA208" s="35">
        <v>-2.1877</v>
      </c>
    </row>
    <row r="209" spans="1:27" ht="15.75" hidden="1" customHeight="1" x14ac:dyDescent="0.2">
      <c r="A209" s="2"/>
      <c r="B209" s="31">
        <v>204</v>
      </c>
      <c r="C209" s="36" t="s">
        <v>287</v>
      </c>
      <c r="D209" s="36" t="s">
        <v>312</v>
      </c>
      <c r="E209" s="36" t="s">
        <v>313</v>
      </c>
      <c r="F209" s="36" t="s">
        <v>545</v>
      </c>
      <c r="G209" s="36" t="s">
        <v>546</v>
      </c>
      <c r="H209" s="37" t="s">
        <v>95</v>
      </c>
      <c r="I209" s="37" t="s">
        <v>81</v>
      </c>
      <c r="J209" s="37" t="s">
        <v>82</v>
      </c>
      <c r="K209" s="37" t="s">
        <v>87</v>
      </c>
      <c r="L209" s="36" t="s">
        <v>84</v>
      </c>
      <c r="M209" s="34">
        <v>2370.5100000000002</v>
      </c>
      <c r="N209" s="34">
        <v>1864.73</v>
      </c>
      <c r="O209" s="34">
        <v>505.78</v>
      </c>
      <c r="P209" s="34" t="s">
        <v>95</v>
      </c>
      <c r="Q209" s="34">
        <v>-108.93</v>
      </c>
      <c r="R209" s="34">
        <v>-108.93</v>
      </c>
      <c r="S209" s="34">
        <v>-106.15</v>
      </c>
      <c r="T209" s="34">
        <v>-8.48</v>
      </c>
      <c r="U209" s="34">
        <v>20.03</v>
      </c>
      <c r="V209" s="34">
        <v>-4.13</v>
      </c>
      <c r="W209" s="34">
        <v>1.75</v>
      </c>
      <c r="X209" s="34">
        <v>3.69</v>
      </c>
      <c r="Y209" s="35">
        <v>-9.0338999999999992</v>
      </c>
      <c r="Z209" s="35">
        <v>-42.340699999999998</v>
      </c>
      <c r="AA209" s="35" t="s">
        <v>95</v>
      </c>
    </row>
    <row r="210" spans="1:27" ht="15.75" hidden="1" customHeight="1" x14ac:dyDescent="0.2">
      <c r="A210" s="2"/>
      <c r="B210" s="31">
        <v>205</v>
      </c>
      <c r="C210" s="36" t="s">
        <v>547</v>
      </c>
      <c r="D210" s="36" t="s">
        <v>548</v>
      </c>
      <c r="E210" s="36" t="s">
        <v>549</v>
      </c>
      <c r="F210" s="36" t="s">
        <v>550</v>
      </c>
      <c r="G210" s="36" t="s">
        <v>551</v>
      </c>
      <c r="H210" s="37" t="s">
        <v>80</v>
      </c>
      <c r="I210" s="37" t="s">
        <v>81</v>
      </c>
      <c r="J210" s="37" t="s">
        <v>82</v>
      </c>
      <c r="K210" s="37" t="s">
        <v>87</v>
      </c>
      <c r="L210" s="36" t="s">
        <v>84</v>
      </c>
      <c r="M210" s="34">
        <v>7365.45</v>
      </c>
      <c r="N210" s="34">
        <v>2816.79</v>
      </c>
      <c r="O210" s="34">
        <v>4548.66</v>
      </c>
      <c r="P210" s="34">
        <v>2367.4</v>
      </c>
      <c r="Q210" s="34">
        <v>75.41</v>
      </c>
      <c r="R210" s="34">
        <v>52.95</v>
      </c>
      <c r="S210" s="34">
        <v>52.95</v>
      </c>
      <c r="T210" s="34">
        <v>537.11</v>
      </c>
      <c r="U210" s="34">
        <v>10480.780000000001</v>
      </c>
      <c r="V210" s="34">
        <v>6.29</v>
      </c>
      <c r="W210" s="34">
        <v>0.32</v>
      </c>
      <c r="X210" s="34">
        <v>0.62</v>
      </c>
      <c r="Y210" s="35">
        <v>3.1648000000000001</v>
      </c>
      <c r="Z210" s="35">
        <v>5.1246999999999998</v>
      </c>
      <c r="AA210" s="35">
        <v>9.8463999999999992</v>
      </c>
    </row>
    <row r="211" spans="1:27" ht="15.75" hidden="1" customHeight="1" x14ac:dyDescent="0.2">
      <c r="A211" s="2"/>
      <c r="B211" s="31">
        <v>206</v>
      </c>
      <c r="C211" s="36" t="s">
        <v>547</v>
      </c>
      <c r="D211" s="36" t="s">
        <v>552</v>
      </c>
      <c r="E211" s="36" t="s">
        <v>553</v>
      </c>
      <c r="F211" s="36" t="s">
        <v>554</v>
      </c>
      <c r="G211" s="36" t="s">
        <v>555</v>
      </c>
      <c r="H211" s="37" t="s">
        <v>80</v>
      </c>
      <c r="I211" s="37" t="s">
        <v>556</v>
      </c>
      <c r="J211" s="37" t="s">
        <v>557</v>
      </c>
      <c r="K211" s="37" t="s">
        <v>87</v>
      </c>
      <c r="L211" s="36" t="s">
        <v>84</v>
      </c>
      <c r="M211" s="34">
        <v>298.99</v>
      </c>
      <c r="N211" s="34">
        <v>114</v>
      </c>
      <c r="O211" s="34">
        <v>184.99</v>
      </c>
      <c r="P211" s="34">
        <v>180.59</v>
      </c>
      <c r="Q211" s="34">
        <v>14.98</v>
      </c>
      <c r="R211" s="34">
        <v>11.73</v>
      </c>
      <c r="S211" s="34">
        <v>11.73</v>
      </c>
      <c r="T211" s="34">
        <v>18.55</v>
      </c>
      <c r="U211" s="34">
        <v>171.28</v>
      </c>
      <c r="V211" s="34">
        <v>13.04</v>
      </c>
      <c r="W211" s="34">
        <v>1.41</v>
      </c>
      <c r="X211" s="34">
        <v>0.62</v>
      </c>
      <c r="Y211" s="35">
        <v>6.7023000000000001</v>
      </c>
      <c r="Z211" s="35">
        <v>10.832800000000001</v>
      </c>
      <c r="AA211" s="35">
        <v>11.096399999999999</v>
      </c>
    </row>
    <row r="212" spans="1:27" ht="15.75" hidden="1" customHeight="1" x14ac:dyDescent="0.2">
      <c r="A212" s="2"/>
      <c r="B212" s="31">
        <v>207</v>
      </c>
      <c r="C212" s="36" t="s">
        <v>547</v>
      </c>
      <c r="D212" s="36" t="s">
        <v>552</v>
      </c>
      <c r="E212" s="36" t="s">
        <v>553</v>
      </c>
      <c r="F212" s="36" t="s">
        <v>558</v>
      </c>
      <c r="G212" s="36" t="s">
        <v>559</v>
      </c>
      <c r="H212" s="37" t="s">
        <v>80</v>
      </c>
      <c r="I212" s="37" t="s">
        <v>81</v>
      </c>
      <c r="J212" s="37" t="s">
        <v>82</v>
      </c>
      <c r="K212" s="37" t="s">
        <v>87</v>
      </c>
      <c r="L212" s="36" t="s">
        <v>84</v>
      </c>
      <c r="M212" s="34">
        <v>661.31</v>
      </c>
      <c r="N212" s="34">
        <v>232.8</v>
      </c>
      <c r="O212" s="34">
        <v>428.51</v>
      </c>
      <c r="P212" s="34">
        <v>169.19</v>
      </c>
      <c r="Q212" s="34">
        <v>13.99</v>
      </c>
      <c r="R212" s="34">
        <v>10.96</v>
      </c>
      <c r="S212" s="34">
        <v>10.83</v>
      </c>
      <c r="T212" s="34">
        <v>4.33</v>
      </c>
      <c r="U212" s="34">
        <v>398.33</v>
      </c>
      <c r="V212" s="34">
        <v>41.85</v>
      </c>
      <c r="W212" s="34">
        <v>0.45</v>
      </c>
      <c r="X212" s="34">
        <v>0.54</v>
      </c>
      <c r="Y212" s="35">
        <v>0.7036</v>
      </c>
      <c r="Z212" s="35">
        <v>1.0859000000000001</v>
      </c>
      <c r="AA212" s="35">
        <v>2.7503000000000002</v>
      </c>
    </row>
    <row r="213" spans="1:27" ht="15.75" hidden="1" customHeight="1" x14ac:dyDescent="0.2">
      <c r="A213" s="2"/>
      <c r="B213" s="31">
        <v>208</v>
      </c>
      <c r="C213" s="36" t="s">
        <v>547</v>
      </c>
      <c r="D213" s="36" t="s">
        <v>552</v>
      </c>
      <c r="E213" s="36" t="s">
        <v>553</v>
      </c>
      <c r="F213" s="36" t="s">
        <v>560</v>
      </c>
      <c r="G213" s="36" t="s">
        <v>561</v>
      </c>
      <c r="H213" s="37" t="s">
        <v>95</v>
      </c>
      <c r="I213" s="37" t="s">
        <v>81</v>
      </c>
      <c r="J213" s="37" t="s">
        <v>82</v>
      </c>
      <c r="K213" s="37" t="s">
        <v>87</v>
      </c>
      <c r="L213" s="36" t="s">
        <v>84</v>
      </c>
      <c r="M213" s="34">
        <v>416.35</v>
      </c>
      <c r="N213" s="34">
        <v>300.11</v>
      </c>
      <c r="O213" s="34">
        <v>116.24</v>
      </c>
      <c r="P213" s="34">
        <v>69.73</v>
      </c>
      <c r="Q213" s="34">
        <v>2.0499999999999998</v>
      </c>
      <c r="R213" s="34">
        <v>2.0499999999999998</v>
      </c>
      <c r="S213" s="34">
        <v>2.0499999999999998</v>
      </c>
      <c r="T213" s="34">
        <v>1.94</v>
      </c>
      <c r="U213" s="34">
        <v>58.12</v>
      </c>
      <c r="V213" s="34">
        <v>19.11</v>
      </c>
      <c r="W213" s="34">
        <v>0.64</v>
      </c>
      <c r="X213" s="34">
        <v>2.58</v>
      </c>
      <c r="Y213" s="35">
        <v>0.93020000000000003</v>
      </c>
      <c r="Z213" s="35">
        <v>3.3317000000000001</v>
      </c>
      <c r="AA213" s="35">
        <v>5.5542999999999996</v>
      </c>
    </row>
    <row r="214" spans="1:27" ht="15.75" hidden="1" customHeight="1" x14ac:dyDescent="0.2">
      <c r="A214" s="2"/>
      <c r="B214" s="31">
        <v>209</v>
      </c>
      <c r="C214" s="36" t="s">
        <v>547</v>
      </c>
      <c r="D214" s="36" t="s">
        <v>548</v>
      </c>
      <c r="E214" s="36" t="s">
        <v>549</v>
      </c>
      <c r="F214" s="36" t="s">
        <v>562</v>
      </c>
      <c r="G214" s="36" t="s">
        <v>563</v>
      </c>
      <c r="H214" s="37" t="s">
        <v>80</v>
      </c>
      <c r="I214" s="37" t="s">
        <v>81</v>
      </c>
      <c r="J214" s="37" t="s">
        <v>82</v>
      </c>
      <c r="K214" s="37" t="s">
        <v>87</v>
      </c>
      <c r="L214" s="36" t="s">
        <v>84</v>
      </c>
      <c r="M214" s="34">
        <v>2586.04</v>
      </c>
      <c r="N214" s="34">
        <v>830.35</v>
      </c>
      <c r="O214" s="34">
        <v>1755.69</v>
      </c>
      <c r="P214" s="34">
        <v>1423.5</v>
      </c>
      <c r="Q214" s="34">
        <v>264.77999999999997</v>
      </c>
      <c r="R214" s="34">
        <v>206.65</v>
      </c>
      <c r="S214" s="34">
        <v>204.17</v>
      </c>
      <c r="T214" s="34">
        <v>58.16</v>
      </c>
      <c r="U214" s="34">
        <v>239.15</v>
      </c>
      <c r="V214" s="34">
        <v>9.3699999999999992</v>
      </c>
      <c r="W214" s="34">
        <v>2.2799999999999998</v>
      </c>
      <c r="X214" s="34">
        <v>0.47</v>
      </c>
      <c r="Y214" s="35">
        <v>16.511199999999999</v>
      </c>
      <c r="Z214" s="35">
        <v>24.3202</v>
      </c>
      <c r="AA214" s="35">
        <v>29.9956</v>
      </c>
    </row>
    <row r="215" spans="1:27" ht="15.75" hidden="1" customHeight="1" x14ac:dyDescent="0.2">
      <c r="A215" s="2"/>
      <c r="B215" s="31">
        <v>210</v>
      </c>
      <c r="C215" s="36" t="s">
        <v>547</v>
      </c>
      <c r="D215" s="36" t="s">
        <v>548</v>
      </c>
      <c r="E215" s="36" t="s">
        <v>549</v>
      </c>
      <c r="F215" s="36" t="s">
        <v>564</v>
      </c>
      <c r="G215" s="36" t="s">
        <v>565</v>
      </c>
      <c r="H215" s="37" t="s">
        <v>80</v>
      </c>
      <c r="I215" s="37" t="s">
        <v>81</v>
      </c>
      <c r="J215" s="37" t="s">
        <v>82</v>
      </c>
      <c r="K215" s="37" t="s">
        <v>87</v>
      </c>
      <c r="L215" s="36" t="s">
        <v>84</v>
      </c>
      <c r="M215" s="34">
        <v>479.31</v>
      </c>
      <c r="N215" s="34">
        <v>314.42</v>
      </c>
      <c r="O215" s="34">
        <v>164.89</v>
      </c>
      <c r="P215" s="34">
        <v>156.35</v>
      </c>
      <c r="Q215" s="34">
        <v>-19.79</v>
      </c>
      <c r="R215" s="34">
        <v>-19.79</v>
      </c>
      <c r="S215" s="34">
        <v>-19.79</v>
      </c>
      <c r="T215" s="34">
        <v>-31.03</v>
      </c>
      <c r="U215" s="34">
        <v>137.03</v>
      </c>
      <c r="V215" s="34">
        <v>-5.9</v>
      </c>
      <c r="W215" s="34">
        <v>1.34</v>
      </c>
      <c r="X215" s="34">
        <v>1.91</v>
      </c>
      <c r="Y215" s="35">
        <v>-7.7888999999999999</v>
      </c>
      <c r="Z215" s="35">
        <v>-22.641300000000001</v>
      </c>
      <c r="AA215" s="35">
        <v>-23.877400000000002</v>
      </c>
    </row>
    <row r="216" spans="1:27" ht="15.75" hidden="1" customHeight="1" x14ac:dyDescent="0.2">
      <c r="A216" s="2"/>
      <c r="B216" s="31">
        <v>211</v>
      </c>
      <c r="C216" s="36" t="s">
        <v>547</v>
      </c>
      <c r="D216" s="36" t="s">
        <v>566</v>
      </c>
      <c r="E216" s="36" t="s">
        <v>567</v>
      </c>
      <c r="F216" s="36" t="s">
        <v>568</v>
      </c>
      <c r="G216" s="36" t="s">
        <v>569</v>
      </c>
      <c r="H216" s="37" t="s">
        <v>80</v>
      </c>
      <c r="I216" s="37" t="s">
        <v>81</v>
      </c>
      <c r="J216" s="37" t="s">
        <v>82</v>
      </c>
      <c r="K216" s="37" t="s">
        <v>87</v>
      </c>
      <c r="L216" s="36" t="s">
        <v>84</v>
      </c>
      <c r="M216" s="34">
        <v>660.16</v>
      </c>
      <c r="N216" s="34">
        <v>184.7</v>
      </c>
      <c r="O216" s="34">
        <v>475.46</v>
      </c>
      <c r="P216" s="34">
        <v>132.47</v>
      </c>
      <c r="Q216" s="34">
        <v>1.61</v>
      </c>
      <c r="R216" s="34">
        <v>2.54</v>
      </c>
      <c r="S216" s="34">
        <v>2.56</v>
      </c>
      <c r="T216" s="34">
        <v>12.83</v>
      </c>
      <c r="U216" s="34">
        <v>356.59</v>
      </c>
      <c r="V216" s="34">
        <v>28.21</v>
      </c>
      <c r="W216" s="34">
        <v>1.02</v>
      </c>
      <c r="X216" s="34">
        <v>0.39</v>
      </c>
      <c r="Y216" s="35">
        <v>2.5922000000000001</v>
      </c>
      <c r="Z216" s="35">
        <v>3.5992000000000002</v>
      </c>
      <c r="AA216" s="35">
        <v>12.918200000000001</v>
      </c>
    </row>
    <row r="217" spans="1:27" ht="15.75" hidden="1" customHeight="1" x14ac:dyDescent="0.2">
      <c r="A217" s="2"/>
      <c r="B217" s="31">
        <v>212</v>
      </c>
      <c r="C217" s="36" t="s">
        <v>547</v>
      </c>
      <c r="D217" s="36" t="s">
        <v>548</v>
      </c>
      <c r="E217" s="36" t="s">
        <v>549</v>
      </c>
      <c r="F217" s="36" t="s">
        <v>570</v>
      </c>
      <c r="G217" s="36" t="s">
        <v>571</v>
      </c>
      <c r="H217" s="37" t="s">
        <v>95</v>
      </c>
      <c r="I217" s="37" t="s">
        <v>81</v>
      </c>
      <c r="J217" s="37" t="s">
        <v>82</v>
      </c>
      <c r="K217" s="37" t="s">
        <v>87</v>
      </c>
      <c r="L217" s="36" t="s">
        <v>84</v>
      </c>
      <c r="M217" s="34">
        <v>710.33</v>
      </c>
      <c r="N217" s="34">
        <v>532.44000000000005</v>
      </c>
      <c r="O217" s="34">
        <v>177.89</v>
      </c>
      <c r="P217" s="34">
        <v>57.23</v>
      </c>
      <c r="Q217" s="34">
        <v>-12.95</v>
      </c>
      <c r="R217" s="34">
        <v>-12.79</v>
      </c>
      <c r="S217" s="34">
        <v>-12.79</v>
      </c>
      <c r="T217" s="34">
        <v>-20.309999999999999</v>
      </c>
      <c r="U217" s="34">
        <v>144.53</v>
      </c>
      <c r="V217" s="34">
        <v>-2.02</v>
      </c>
      <c r="W217" s="34">
        <v>0.28000000000000003</v>
      </c>
      <c r="X217" s="34">
        <v>2.99</v>
      </c>
      <c r="Y217" s="35">
        <v>-3.5186999999999999</v>
      </c>
      <c r="Z217" s="35">
        <v>-14.0504</v>
      </c>
      <c r="AA217" s="35">
        <v>-43.673499999999997</v>
      </c>
    </row>
    <row r="218" spans="1:27" ht="15.75" hidden="1" customHeight="1" x14ac:dyDescent="0.2">
      <c r="A218" s="2"/>
      <c r="B218" s="31">
        <v>213</v>
      </c>
      <c r="C218" s="36" t="s">
        <v>547</v>
      </c>
      <c r="D218" s="36" t="s">
        <v>552</v>
      </c>
      <c r="E218" s="36" t="s">
        <v>553</v>
      </c>
      <c r="F218" s="36" t="s">
        <v>572</v>
      </c>
      <c r="G218" s="36" t="s">
        <v>573</v>
      </c>
      <c r="H218" s="37" t="s">
        <v>80</v>
      </c>
      <c r="I218" s="37" t="s">
        <v>81</v>
      </c>
      <c r="J218" s="37" t="s">
        <v>82</v>
      </c>
      <c r="K218" s="37" t="s">
        <v>87</v>
      </c>
      <c r="L218" s="36" t="s">
        <v>84</v>
      </c>
      <c r="M218" s="34">
        <v>52.45</v>
      </c>
      <c r="N218" s="34">
        <v>9.6300000000000008</v>
      </c>
      <c r="O218" s="34">
        <v>42.82</v>
      </c>
      <c r="P218" s="34">
        <v>2.34</v>
      </c>
      <c r="Q218" s="34">
        <v>-2.74</v>
      </c>
      <c r="R218" s="34">
        <v>-2.74</v>
      </c>
      <c r="S218" s="34">
        <v>-2.74</v>
      </c>
      <c r="T218" s="34">
        <v>-9.18</v>
      </c>
      <c r="U218" s="34">
        <v>64.22</v>
      </c>
      <c r="V218" s="34">
        <v>-95.86</v>
      </c>
      <c r="W218" s="34">
        <v>13.7</v>
      </c>
      <c r="X218" s="34">
        <v>0.22</v>
      </c>
      <c r="Y218" s="35">
        <v>-11.669700000000001</v>
      </c>
      <c r="Z218" s="35">
        <v>-14.2942</v>
      </c>
      <c r="AA218" s="35">
        <v>-262.00020000000001</v>
      </c>
    </row>
    <row r="219" spans="1:27" ht="15.75" hidden="1" customHeight="1" x14ac:dyDescent="0.2">
      <c r="A219" s="2"/>
      <c r="B219" s="31">
        <v>214</v>
      </c>
      <c r="C219" s="36" t="s">
        <v>547</v>
      </c>
      <c r="D219" s="36" t="s">
        <v>574</v>
      </c>
      <c r="E219" s="36" t="s">
        <v>575</v>
      </c>
      <c r="F219" s="36" t="s">
        <v>576</v>
      </c>
      <c r="G219" s="36" t="s">
        <v>577</v>
      </c>
      <c r="H219" s="37" t="s">
        <v>80</v>
      </c>
      <c r="I219" s="37" t="s">
        <v>81</v>
      </c>
      <c r="J219" s="37" t="s">
        <v>578</v>
      </c>
      <c r="K219" s="37" t="s">
        <v>87</v>
      </c>
      <c r="L219" s="36" t="s">
        <v>84</v>
      </c>
      <c r="M219" s="34">
        <v>7736.64</v>
      </c>
      <c r="N219" s="34">
        <v>4848.22</v>
      </c>
      <c r="O219" s="34">
        <v>2888.42</v>
      </c>
      <c r="P219" s="34">
        <v>2002.64</v>
      </c>
      <c r="Q219" s="34">
        <v>143.77000000000001</v>
      </c>
      <c r="R219" s="34">
        <v>111.92</v>
      </c>
      <c r="S219" s="34">
        <v>111.92</v>
      </c>
      <c r="T219" s="34">
        <v>634.61</v>
      </c>
      <c r="U219" s="34">
        <v>3438.59</v>
      </c>
      <c r="V219" s="34">
        <v>7.52</v>
      </c>
      <c r="W219" s="34">
        <v>1.39</v>
      </c>
      <c r="X219" s="34">
        <v>1.68</v>
      </c>
      <c r="Y219" s="35">
        <v>6.8902999999999999</v>
      </c>
      <c r="Z219" s="35">
        <v>18.4556</v>
      </c>
      <c r="AA219" s="35">
        <v>26.618600000000001</v>
      </c>
    </row>
    <row r="220" spans="1:27" ht="15.75" hidden="1" customHeight="1" x14ac:dyDescent="0.2">
      <c r="A220" s="2"/>
      <c r="B220" s="31">
        <v>215</v>
      </c>
      <c r="C220" s="36" t="s">
        <v>547</v>
      </c>
      <c r="D220" s="36" t="s">
        <v>574</v>
      </c>
      <c r="E220" s="36" t="s">
        <v>575</v>
      </c>
      <c r="F220" s="36" t="s">
        <v>579</v>
      </c>
      <c r="G220" s="36" t="s">
        <v>580</v>
      </c>
      <c r="H220" s="37" t="s">
        <v>80</v>
      </c>
      <c r="I220" s="37" t="s">
        <v>81</v>
      </c>
      <c r="J220" s="37" t="s">
        <v>82</v>
      </c>
      <c r="K220" s="37" t="s">
        <v>87</v>
      </c>
      <c r="L220" s="36" t="s">
        <v>84</v>
      </c>
      <c r="M220" s="34">
        <v>155.18</v>
      </c>
      <c r="N220" s="34">
        <v>74.36</v>
      </c>
      <c r="O220" s="34">
        <v>80.819999999999993</v>
      </c>
      <c r="P220" s="34">
        <v>14.19</v>
      </c>
      <c r="Q220" s="34">
        <v>-11.49</v>
      </c>
      <c r="R220" s="34">
        <v>-11.47</v>
      </c>
      <c r="S220" s="34">
        <v>-11.47</v>
      </c>
      <c r="T220" s="34">
        <v>-10.83</v>
      </c>
      <c r="U220" s="34">
        <v>37.94</v>
      </c>
      <c r="V220" s="34">
        <v>-15.51</v>
      </c>
      <c r="W220" s="34">
        <v>4.43</v>
      </c>
      <c r="X220" s="34">
        <v>0.92</v>
      </c>
      <c r="Y220" s="35">
        <v>-14.869300000000001</v>
      </c>
      <c r="Z220" s="35">
        <v>-28.5489</v>
      </c>
      <c r="AA220" s="35">
        <v>-162.58670000000001</v>
      </c>
    </row>
    <row r="221" spans="1:27" ht="15.75" hidden="1" customHeight="1" x14ac:dyDescent="0.2">
      <c r="A221" s="2"/>
      <c r="B221" s="31">
        <v>216</v>
      </c>
      <c r="C221" s="36" t="s">
        <v>547</v>
      </c>
      <c r="D221" s="36" t="s">
        <v>574</v>
      </c>
      <c r="E221" s="36" t="s">
        <v>575</v>
      </c>
      <c r="F221" s="36" t="s">
        <v>581</v>
      </c>
      <c r="G221" s="36" t="s">
        <v>582</v>
      </c>
      <c r="H221" s="37" t="s">
        <v>95</v>
      </c>
      <c r="I221" s="37" t="s">
        <v>81</v>
      </c>
      <c r="J221" s="37" t="s">
        <v>82</v>
      </c>
      <c r="K221" s="37" t="s">
        <v>87</v>
      </c>
      <c r="L221" s="36" t="s">
        <v>84</v>
      </c>
      <c r="M221" s="34">
        <v>397.96</v>
      </c>
      <c r="N221" s="34">
        <v>1163.8699999999999</v>
      </c>
      <c r="O221" s="34">
        <v>-765.91</v>
      </c>
      <c r="P221" s="34">
        <v>74.989999999999995</v>
      </c>
      <c r="Q221" s="34">
        <v>-13.34</v>
      </c>
      <c r="R221" s="34">
        <v>-33.47</v>
      </c>
      <c r="S221" s="34">
        <v>-33.47</v>
      </c>
      <c r="T221" s="34">
        <v>-56.33</v>
      </c>
      <c r="U221" s="34">
        <v>-504.77</v>
      </c>
      <c r="V221" s="34">
        <v>-1.6</v>
      </c>
      <c r="W221" s="34">
        <v>-0.18</v>
      </c>
      <c r="X221" s="34">
        <v>-1.52</v>
      </c>
      <c r="Y221" s="35">
        <v>-21.4786</v>
      </c>
      <c r="Z221" s="35" t="s">
        <v>95</v>
      </c>
      <c r="AA221" s="35">
        <v>-113.9855</v>
      </c>
    </row>
    <row r="222" spans="1:27" ht="15.75" hidden="1" customHeight="1" x14ac:dyDescent="0.2">
      <c r="A222" s="2"/>
      <c r="B222" s="31">
        <v>217</v>
      </c>
      <c r="C222" s="36" t="s">
        <v>547</v>
      </c>
      <c r="D222" s="36" t="s">
        <v>548</v>
      </c>
      <c r="E222" s="36" t="s">
        <v>549</v>
      </c>
      <c r="F222" s="36" t="s">
        <v>583</v>
      </c>
      <c r="G222" s="36" t="s">
        <v>584</v>
      </c>
      <c r="H222" s="37" t="s">
        <v>80</v>
      </c>
      <c r="I222" s="37" t="s">
        <v>81</v>
      </c>
      <c r="J222" s="37" t="s">
        <v>82</v>
      </c>
      <c r="K222" s="37" t="s">
        <v>87</v>
      </c>
      <c r="L222" s="36" t="s">
        <v>84</v>
      </c>
      <c r="M222" s="34">
        <v>1101.4000000000001</v>
      </c>
      <c r="N222" s="34">
        <v>443.71</v>
      </c>
      <c r="O222" s="34">
        <v>657.68</v>
      </c>
      <c r="P222" s="34">
        <v>66.290000000000006</v>
      </c>
      <c r="Q222" s="34">
        <v>-22.32</v>
      </c>
      <c r="R222" s="34">
        <v>-22.14</v>
      </c>
      <c r="S222" s="34">
        <v>-20.37</v>
      </c>
      <c r="T222" s="34">
        <v>-5.87</v>
      </c>
      <c r="U222" s="34">
        <v>49.43</v>
      </c>
      <c r="V222" s="34">
        <v>-5.28</v>
      </c>
      <c r="W222" s="34">
        <v>0.63</v>
      </c>
      <c r="X222" s="34">
        <v>0.67</v>
      </c>
      <c r="Y222" s="35">
        <v>-7.0933999999999999</v>
      </c>
      <c r="Z222" s="35">
        <v>-11.879</v>
      </c>
      <c r="AA222" s="35">
        <v>-117.8625</v>
      </c>
    </row>
    <row r="223" spans="1:27" ht="15.75" hidden="1" customHeight="1" x14ac:dyDescent="0.2">
      <c r="A223" s="2"/>
      <c r="B223" s="31">
        <v>218</v>
      </c>
      <c r="C223" s="36" t="s">
        <v>547</v>
      </c>
      <c r="D223" s="36" t="s">
        <v>566</v>
      </c>
      <c r="E223" s="36" t="s">
        <v>567</v>
      </c>
      <c r="F223" s="36" t="s">
        <v>585</v>
      </c>
      <c r="G223" s="36" t="s">
        <v>586</v>
      </c>
      <c r="H223" s="37" t="s">
        <v>80</v>
      </c>
      <c r="I223" s="37" t="s">
        <v>81</v>
      </c>
      <c r="J223" s="37" t="s">
        <v>578</v>
      </c>
      <c r="K223" s="37" t="s">
        <v>87</v>
      </c>
      <c r="L223" s="36" t="s">
        <v>84</v>
      </c>
      <c r="M223" s="34">
        <v>1937.47</v>
      </c>
      <c r="N223" s="34">
        <v>608.83000000000004</v>
      </c>
      <c r="O223" s="34">
        <v>1328.64</v>
      </c>
      <c r="P223" s="34">
        <v>1036.6500000000001</v>
      </c>
      <c r="Q223" s="34">
        <v>48.94</v>
      </c>
      <c r="R223" s="34">
        <v>38.18</v>
      </c>
      <c r="S223" s="34">
        <v>38.18</v>
      </c>
      <c r="T223" s="34">
        <v>104.07</v>
      </c>
      <c r="U223" s="34">
        <v>1085.49</v>
      </c>
      <c r="V223" s="34">
        <v>5.14</v>
      </c>
      <c r="W223" s="34">
        <v>0.49</v>
      </c>
      <c r="X223" s="34">
        <v>0.46</v>
      </c>
      <c r="Y223" s="35">
        <v>6.5743999999999998</v>
      </c>
      <c r="Z223" s="35">
        <v>9.5869999999999997</v>
      </c>
      <c r="AA223" s="35">
        <v>12.2873</v>
      </c>
    </row>
    <row r="224" spans="1:27" ht="15.75" hidden="1" customHeight="1" x14ac:dyDescent="0.2">
      <c r="A224" s="2"/>
      <c r="B224" s="31">
        <v>219</v>
      </c>
      <c r="C224" s="36" t="s">
        <v>547</v>
      </c>
      <c r="D224" s="36" t="s">
        <v>548</v>
      </c>
      <c r="E224" s="36" t="s">
        <v>549</v>
      </c>
      <c r="F224" s="36" t="s">
        <v>587</v>
      </c>
      <c r="G224" s="36" t="s">
        <v>588</v>
      </c>
      <c r="H224" s="37" t="s">
        <v>80</v>
      </c>
      <c r="I224" s="37" t="s">
        <v>81</v>
      </c>
      <c r="J224" s="37" t="s">
        <v>82</v>
      </c>
      <c r="K224" s="37" t="s">
        <v>87</v>
      </c>
      <c r="L224" s="36" t="s">
        <v>84</v>
      </c>
      <c r="M224" s="34">
        <v>4586.62</v>
      </c>
      <c r="N224" s="34">
        <v>2134.84</v>
      </c>
      <c r="O224" s="34">
        <v>2451.77</v>
      </c>
      <c r="P224" s="34">
        <v>1900.59</v>
      </c>
      <c r="Q224" s="34">
        <v>356.55</v>
      </c>
      <c r="R224" s="34">
        <v>295.5</v>
      </c>
      <c r="S224" s="34">
        <v>295.64</v>
      </c>
      <c r="T224" s="34">
        <v>10.35</v>
      </c>
      <c r="U224" s="34">
        <v>44.68</v>
      </c>
      <c r="V224" s="34">
        <v>212.5</v>
      </c>
      <c r="W224" s="34">
        <v>49.23</v>
      </c>
      <c r="X224" s="34">
        <v>0.87</v>
      </c>
      <c r="Y224" s="35">
        <v>12.3847</v>
      </c>
      <c r="Z224" s="35">
        <v>23.168500000000002</v>
      </c>
      <c r="AA224" s="35">
        <v>29.887499999999999</v>
      </c>
    </row>
    <row r="225" spans="1:27" ht="15.75" hidden="1" customHeight="1" x14ac:dyDescent="0.2">
      <c r="A225" s="2"/>
      <c r="B225" s="31">
        <v>220</v>
      </c>
      <c r="C225" s="36" t="s">
        <v>547</v>
      </c>
      <c r="D225" s="36" t="s">
        <v>574</v>
      </c>
      <c r="E225" s="36" t="s">
        <v>575</v>
      </c>
      <c r="F225" s="36" t="s">
        <v>589</v>
      </c>
      <c r="G225" s="36" t="s">
        <v>590</v>
      </c>
      <c r="H225" s="37" t="s">
        <v>95</v>
      </c>
      <c r="I225" s="37" t="s">
        <v>81</v>
      </c>
      <c r="J225" s="37" t="s">
        <v>82</v>
      </c>
      <c r="K225" s="37" t="s">
        <v>87</v>
      </c>
      <c r="L225" s="36" t="s">
        <v>84</v>
      </c>
      <c r="M225" s="34">
        <v>2312.0500000000002</v>
      </c>
      <c r="N225" s="34">
        <v>4418.78</v>
      </c>
      <c r="O225" s="34">
        <v>-2106.7399999999998</v>
      </c>
      <c r="P225" s="34">
        <v>476.26</v>
      </c>
      <c r="Q225" s="34">
        <v>-39.32</v>
      </c>
      <c r="R225" s="34">
        <v>-59.18</v>
      </c>
      <c r="S225" s="34">
        <v>-49.9</v>
      </c>
      <c r="T225" s="34">
        <v>-33.01</v>
      </c>
      <c r="U225" s="34">
        <v>-630.02</v>
      </c>
      <c r="V225" s="34">
        <v>-1.42</v>
      </c>
      <c r="W225" s="34">
        <v>-7.0000000000000007E-2</v>
      </c>
      <c r="X225" s="34">
        <v>-2.1</v>
      </c>
      <c r="Y225" s="35">
        <v>-4.7740999999999998</v>
      </c>
      <c r="Z225" s="35" t="s">
        <v>95</v>
      </c>
      <c r="AA225" s="35">
        <v>-23.175999999999998</v>
      </c>
    </row>
    <row r="226" spans="1:27" ht="15.75" hidden="1" customHeight="1" x14ac:dyDescent="0.2">
      <c r="A226" s="2"/>
      <c r="B226" s="31">
        <v>221</v>
      </c>
      <c r="C226" s="36" t="s">
        <v>547</v>
      </c>
      <c r="D226" s="36" t="s">
        <v>566</v>
      </c>
      <c r="E226" s="36" t="s">
        <v>567</v>
      </c>
      <c r="F226" s="36" t="s">
        <v>591</v>
      </c>
      <c r="G226" s="36" t="s">
        <v>592</v>
      </c>
      <c r="H226" s="37" t="s">
        <v>80</v>
      </c>
      <c r="I226" s="37" t="s">
        <v>81</v>
      </c>
      <c r="J226" s="37" t="s">
        <v>82</v>
      </c>
      <c r="K226" s="37" t="s">
        <v>87</v>
      </c>
      <c r="L226" s="36" t="s">
        <v>84</v>
      </c>
      <c r="M226" s="34">
        <v>2622.53</v>
      </c>
      <c r="N226" s="34">
        <v>1751.49</v>
      </c>
      <c r="O226" s="34">
        <v>871.04</v>
      </c>
      <c r="P226" s="34">
        <v>1890.59</v>
      </c>
      <c r="Q226" s="34">
        <v>61.23</v>
      </c>
      <c r="R226" s="34">
        <v>47.92</v>
      </c>
      <c r="S226" s="34">
        <v>47.92</v>
      </c>
      <c r="T226" s="34">
        <v>126.56</v>
      </c>
      <c r="U226" s="34">
        <v>1152.1600000000001</v>
      </c>
      <c r="V226" s="34">
        <v>8.34</v>
      </c>
      <c r="W226" s="34">
        <v>0.92</v>
      </c>
      <c r="X226" s="34">
        <v>2.0099999999999998</v>
      </c>
      <c r="Y226" s="35">
        <v>3.6484000000000001</v>
      </c>
      <c r="Z226" s="35">
        <v>10.9847</v>
      </c>
      <c r="AA226" s="35">
        <v>5.0609000000000002</v>
      </c>
    </row>
    <row r="227" spans="1:27" ht="15.75" hidden="1" customHeight="1" x14ac:dyDescent="0.2">
      <c r="A227" s="2"/>
      <c r="B227" s="31">
        <v>222</v>
      </c>
      <c r="C227" s="36" t="s">
        <v>547</v>
      </c>
      <c r="D227" s="36" t="s">
        <v>566</v>
      </c>
      <c r="E227" s="36" t="s">
        <v>567</v>
      </c>
      <c r="F227" s="36" t="s">
        <v>593</v>
      </c>
      <c r="G227" s="36" t="s">
        <v>594</v>
      </c>
      <c r="H227" s="37" t="s">
        <v>80</v>
      </c>
      <c r="I227" s="37" t="s">
        <v>81</v>
      </c>
      <c r="J227" s="37" t="s">
        <v>82</v>
      </c>
      <c r="K227" s="37" t="s">
        <v>87</v>
      </c>
      <c r="L227" s="36" t="s">
        <v>84</v>
      </c>
      <c r="M227" s="34">
        <v>3190.84</v>
      </c>
      <c r="N227" s="34">
        <v>380.1</v>
      </c>
      <c r="O227" s="34">
        <v>2810.74</v>
      </c>
      <c r="P227" s="34">
        <v>1717.44</v>
      </c>
      <c r="Q227" s="34">
        <v>104.24</v>
      </c>
      <c r="R227" s="34">
        <v>84.41</v>
      </c>
      <c r="S227" s="34">
        <v>84.16</v>
      </c>
      <c r="T227" s="34">
        <v>52.05</v>
      </c>
      <c r="U227" s="34">
        <v>701.42</v>
      </c>
      <c r="V227" s="34">
        <v>7.03</v>
      </c>
      <c r="W227" s="34">
        <v>0.52</v>
      </c>
      <c r="X227" s="34">
        <v>0.14000000000000001</v>
      </c>
      <c r="Y227" s="35">
        <v>6.5369000000000002</v>
      </c>
      <c r="Z227" s="35">
        <v>7.4208999999999996</v>
      </c>
      <c r="AA227" s="35">
        <v>12.1449</v>
      </c>
    </row>
    <row r="228" spans="1:27" ht="15.75" hidden="1" customHeight="1" x14ac:dyDescent="0.2">
      <c r="A228" s="2"/>
      <c r="B228" s="31">
        <v>223</v>
      </c>
      <c r="C228" s="36" t="s">
        <v>547</v>
      </c>
      <c r="D228" s="36" t="s">
        <v>566</v>
      </c>
      <c r="E228" s="36" t="s">
        <v>567</v>
      </c>
      <c r="F228" s="36" t="s">
        <v>595</v>
      </c>
      <c r="G228" s="36" t="s">
        <v>596</v>
      </c>
      <c r="H228" s="37" t="s">
        <v>80</v>
      </c>
      <c r="I228" s="37" t="s">
        <v>81</v>
      </c>
      <c r="J228" s="37" t="s">
        <v>82</v>
      </c>
      <c r="K228" s="37" t="s">
        <v>87</v>
      </c>
      <c r="L228" s="36" t="s">
        <v>84</v>
      </c>
      <c r="M228" s="34">
        <v>1757.43</v>
      </c>
      <c r="N228" s="34">
        <v>330.17</v>
      </c>
      <c r="O228" s="34">
        <v>1427.26</v>
      </c>
      <c r="P228" s="34">
        <v>875.87</v>
      </c>
      <c r="Q228" s="34">
        <v>36.03</v>
      </c>
      <c r="R228" s="34">
        <v>27.85</v>
      </c>
      <c r="S228" s="34">
        <v>27.85</v>
      </c>
      <c r="T228" s="34">
        <v>67.069999999999993</v>
      </c>
      <c r="U228" s="34">
        <v>1274.3399999999999</v>
      </c>
      <c r="V228" s="34">
        <v>5.64</v>
      </c>
      <c r="W228" s="34">
        <v>0.3</v>
      </c>
      <c r="X228" s="34">
        <v>0.23</v>
      </c>
      <c r="Y228" s="35">
        <v>4.2742000000000004</v>
      </c>
      <c r="Z228" s="35">
        <v>5.2629999999999999</v>
      </c>
      <c r="AA228" s="35">
        <v>8.5761000000000003</v>
      </c>
    </row>
    <row r="229" spans="1:27" ht="15.75" hidden="1" customHeight="1" x14ac:dyDescent="0.2">
      <c r="A229" s="2"/>
      <c r="B229" s="31">
        <v>224</v>
      </c>
      <c r="C229" s="36" t="s">
        <v>547</v>
      </c>
      <c r="D229" s="36" t="s">
        <v>548</v>
      </c>
      <c r="E229" s="36" t="s">
        <v>549</v>
      </c>
      <c r="F229" s="36" t="s">
        <v>597</v>
      </c>
      <c r="G229" s="36" t="s">
        <v>598</v>
      </c>
      <c r="H229" s="37" t="s">
        <v>80</v>
      </c>
      <c r="I229" s="37" t="s">
        <v>81</v>
      </c>
      <c r="J229" s="37" t="s">
        <v>82</v>
      </c>
      <c r="K229" s="37" t="s">
        <v>87</v>
      </c>
      <c r="L229" s="36" t="s">
        <v>84</v>
      </c>
      <c r="M229" s="34">
        <v>969.09</v>
      </c>
      <c r="N229" s="34">
        <v>185.26</v>
      </c>
      <c r="O229" s="34">
        <v>783.83</v>
      </c>
      <c r="P229" s="34">
        <v>297.87</v>
      </c>
      <c r="Q229" s="34">
        <v>-11.69</v>
      </c>
      <c r="R229" s="34">
        <v>-11.69</v>
      </c>
      <c r="S229" s="34">
        <v>-11.8</v>
      </c>
      <c r="T229" s="34">
        <v>-1.1200000000000001</v>
      </c>
      <c r="U229" s="34">
        <v>52.5</v>
      </c>
      <c r="V229" s="34">
        <v>-18.72</v>
      </c>
      <c r="W229" s="34">
        <v>0.4</v>
      </c>
      <c r="X229" s="34">
        <v>0.24</v>
      </c>
      <c r="Y229" s="35">
        <v>-1.7285999999999999</v>
      </c>
      <c r="Z229" s="35">
        <v>-2.1371000000000002</v>
      </c>
      <c r="AA229" s="35">
        <v>-5.6237000000000004</v>
      </c>
    </row>
    <row r="230" spans="1:27" ht="15.75" hidden="1" customHeight="1" x14ac:dyDescent="0.2">
      <c r="A230" s="2"/>
      <c r="B230" s="31">
        <v>225</v>
      </c>
      <c r="C230" s="36" t="s">
        <v>547</v>
      </c>
      <c r="D230" s="36" t="s">
        <v>574</v>
      </c>
      <c r="E230" s="36" t="s">
        <v>575</v>
      </c>
      <c r="F230" s="36" t="s">
        <v>599</v>
      </c>
      <c r="G230" s="36" t="s">
        <v>600</v>
      </c>
      <c r="H230" s="37" t="s">
        <v>95</v>
      </c>
      <c r="I230" s="37" t="s">
        <v>81</v>
      </c>
      <c r="J230" s="37" t="s">
        <v>82</v>
      </c>
      <c r="K230" s="37" t="s">
        <v>87</v>
      </c>
      <c r="L230" s="36" t="s">
        <v>84</v>
      </c>
      <c r="M230" s="34">
        <v>3278.86</v>
      </c>
      <c r="N230" s="34">
        <v>2977.34</v>
      </c>
      <c r="O230" s="34">
        <v>301.52</v>
      </c>
      <c r="P230" s="34">
        <v>900.64</v>
      </c>
      <c r="Q230" s="34">
        <v>-91.81</v>
      </c>
      <c r="R230" s="34">
        <v>-91.81</v>
      </c>
      <c r="S230" s="34">
        <v>-91.79</v>
      </c>
      <c r="T230" s="34">
        <v>-16.510000000000002</v>
      </c>
      <c r="U230" s="34">
        <v>132.68</v>
      </c>
      <c r="V230" s="34">
        <v>-8.7200000000000006</v>
      </c>
      <c r="W230" s="34">
        <v>1.0900000000000001</v>
      </c>
      <c r="X230" s="34">
        <v>9.8699999999999992</v>
      </c>
      <c r="Y230" s="35">
        <v>-1.1443000000000001</v>
      </c>
      <c r="Z230" s="35">
        <v>-12.443899999999999</v>
      </c>
      <c r="AA230" s="35">
        <v>-4.1660000000000004</v>
      </c>
    </row>
    <row r="231" spans="1:27" ht="15.75" hidden="1" customHeight="1" x14ac:dyDescent="0.2">
      <c r="A231" s="2"/>
      <c r="B231" s="31">
        <v>226</v>
      </c>
      <c r="C231" s="36" t="s">
        <v>547</v>
      </c>
      <c r="D231" s="36" t="s">
        <v>548</v>
      </c>
      <c r="E231" s="36" t="s">
        <v>549</v>
      </c>
      <c r="F231" s="36" t="s">
        <v>601</v>
      </c>
      <c r="G231" s="36" t="s">
        <v>602</v>
      </c>
      <c r="H231" s="37" t="s">
        <v>80</v>
      </c>
      <c r="I231" s="37" t="s">
        <v>81</v>
      </c>
      <c r="J231" s="37" t="s">
        <v>82</v>
      </c>
      <c r="K231" s="37" t="s">
        <v>87</v>
      </c>
      <c r="L231" s="36" t="s">
        <v>84</v>
      </c>
      <c r="M231" s="34">
        <v>872.19</v>
      </c>
      <c r="N231" s="34">
        <v>968.06</v>
      </c>
      <c r="O231" s="34">
        <v>-95.87</v>
      </c>
      <c r="P231" s="34">
        <v>1347.49</v>
      </c>
      <c r="Q231" s="34">
        <v>-9.73</v>
      </c>
      <c r="R231" s="34">
        <v>-9.73</v>
      </c>
      <c r="S231" s="34">
        <v>-9.73</v>
      </c>
      <c r="T231" s="34">
        <v>-17.12</v>
      </c>
      <c r="U231" s="34">
        <v>-97.74</v>
      </c>
      <c r="V231" s="34">
        <v>-4.38</v>
      </c>
      <c r="W231" s="34">
        <v>-0.77</v>
      </c>
      <c r="X231" s="34">
        <v>-10.1</v>
      </c>
      <c r="Y231" s="35">
        <v>-1.9253</v>
      </c>
      <c r="Z231" s="35" t="s">
        <v>95</v>
      </c>
      <c r="AA231" s="35">
        <v>-1.2462</v>
      </c>
    </row>
    <row r="232" spans="1:27" ht="15.75" hidden="1" customHeight="1" x14ac:dyDescent="0.2">
      <c r="A232" s="2"/>
      <c r="B232" s="31">
        <v>227</v>
      </c>
      <c r="C232" s="36" t="s">
        <v>547</v>
      </c>
      <c r="D232" s="36" t="s">
        <v>548</v>
      </c>
      <c r="E232" s="36" t="s">
        <v>549</v>
      </c>
      <c r="F232" s="36" t="s">
        <v>603</v>
      </c>
      <c r="G232" s="36" t="s">
        <v>604</v>
      </c>
      <c r="H232" s="37" t="s">
        <v>80</v>
      </c>
      <c r="I232" s="37" t="s">
        <v>81</v>
      </c>
      <c r="J232" s="37" t="s">
        <v>82</v>
      </c>
      <c r="K232" s="37" t="s">
        <v>87</v>
      </c>
      <c r="L232" s="36" t="s">
        <v>84</v>
      </c>
      <c r="M232" s="34">
        <v>290.57</v>
      </c>
      <c r="N232" s="34">
        <v>126.17</v>
      </c>
      <c r="O232" s="34">
        <v>164.4</v>
      </c>
      <c r="P232" s="34">
        <v>88.57</v>
      </c>
      <c r="Q232" s="34">
        <v>4.5</v>
      </c>
      <c r="R232" s="34">
        <v>3.46</v>
      </c>
      <c r="S232" s="34">
        <v>3.46</v>
      </c>
      <c r="T232" s="34">
        <v>9</v>
      </c>
      <c r="U232" s="34">
        <v>127.16</v>
      </c>
      <c r="V232" s="34">
        <v>7.89</v>
      </c>
      <c r="W232" s="34">
        <v>0.56000000000000005</v>
      </c>
      <c r="X232" s="34">
        <v>0.77</v>
      </c>
      <c r="Y232" s="35">
        <v>4.0026999999999999</v>
      </c>
      <c r="Z232" s="35">
        <v>7.0747</v>
      </c>
      <c r="AA232" s="35">
        <v>13.132</v>
      </c>
    </row>
    <row r="233" spans="1:27" ht="15.75" hidden="1" customHeight="1" x14ac:dyDescent="0.2">
      <c r="A233" s="2"/>
      <c r="B233" s="31">
        <v>228</v>
      </c>
      <c r="C233" s="36" t="s">
        <v>547</v>
      </c>
      <c r="D233" s="36" t="s">
        <v>552</v>
      </c>
      <c r="E233" s="36" t="s">
        <v>553</v>
      </c>
      <c r="F233" s="36" t="s">
        <v>605</v>
      </c>
      <c r="G233" s="36" t="s">
        <v>606</v>
      </c>
      <c r="H233" s="37" t="s">
        <v>80</v>
      </c>
      <c r="I233" s="37" t="s">
        <v>81</v>
      </c>
      <c r="J233" s="37" t="s">
        <v>82</v>
      </c>
      <c r="K233" s="37" t="s">
        <v>87</v>
      </c>
      <c r="L233" s="36" t="s">
        <v>84</v>
      </c>
      <c r="M233" s="34">
        <v>92.49</v>
      </c>
      <c r="N233" s="34">
        <v>29.96</v>
      </c>
      <c r="O233" s="34">
        <v>62.53</v>
      </c>
      <c r="P233" s="34">
        <v>16</v>
      </c>
      <c r="Q233" s="34">
        <v>2.75</v>
      </c>
      <c r="R233" s="34">
        <v>2.75</v>
      </c>
      <c r="S233" s="34">
        <v>1.65</v>
      </c>
      <c r="T233" s="34">
        <v>-4.42</v>
      </c>
      <c r="U233" s="34">
        <v>56.67</v>
      </c>
      <c r="V233" s="34">
        <v>-81.06</v>
      </c>
      <c r="W233" s="34">
        <v>6.32</v>
      </c>
      <c r="X233" s="34">
        <v>0.48</v>
      </c>
      <c r="Y233" s="35">
        <v>-5.2686999999999999</v>
      </c>
      <c r="Z233" s="35">
        <v>-7.7926000000000002</v>
      </c>
      <c r="AA233" s="35">
        <v>-30.459700000000002</v>
      </c>
    </row>
    <row r="234" spans="1:27" ht="15.75" hidden="1" customHeight="1" x14ac:dyDescent="0.2">
      <c r="A234" s="2"/>
      <c r="B234" s="31">
        <v>229</v>
      </c>
      <c r="C234" s="36" t="s">
        <v>547</v>
      </c>
      <c r="D234" s="36" t="s">
        <v>552</v>
      </c>
      <c r="E234" s="36" t="s">
        <v>553</v>
      </c>
      <c r="F234" s="36" t="s">
        <v>607</v>
      </c>
      <c r="G234" s="36" t="s">
        <v>608</v>
      </c>
      <c r="H234" s="37" t="s">
        <v>80</v>
      </c>
      <c r="I234" s="37" t="s">
        <v>81</v>
      </c>
      <c r="J234" s="37" t="s">
        <v>82</v>
      </c>
      <c r="K234" s="37" t="s">
        <v>87</v>
      </c>
      <c r="L234" s="36" t="s">
        <v>84</v>
      </c>
      <c r="M234" s="34">
        <v>986.06</v>
      </c>
      <c r="N234" s="34">
        <v>108.46</v>
      </c>
      <c r="O234" s="34">
        <v>877.61</v>
      </c>
      <c r="P234" s="34">
        <v>380.81</v>
      </c>
      <c r="Q234" s="34">
        <v>167.83</v>
      </c>
      <c r="R234" s="34">
        <v>131.29</v>
      </c>
      <c r="S234" s="34">
        <v>131.26</v>
      </c>
      <c r="T234" s="34">
        <v>71.209999999999994</v>
      </c>
      <c r="U234" s="34">
        <v>230.95</v>
      </c>
      <c r="V234" s="34">
        <v>8.92</v>
      </c>
      <c r="W234" s="34">
        <v>2.75</v>
      </c>
      <c r="X234" s="34">
        <v>0.12</v>
      </c>
      <c r="Y234" s="35">
        <v>27.441800000000001</v>
      </c>
      <c r="Z234" s="35">
        <v>30.833100000000002</v>
      </c>
      <c r="AA234" s="35">
        <v>71.058000000000007</v>
      </c>
    </row>
    <row r="235" spans="1:27" ht="15.75" hidden="1" customHeight="1" x14ac:dyDescent="0.2">
      <c r="A235" s="2"/>
      <c r="B235" s="31">
        <v>230</v>
      </c>
      <c r="C235" s="36" t="s">
        <v>547</v>
      </c>
      <c r="D235" s="36" t="s">
        <v>548</v>
      </c>
      <c r="E235" s="36" t="s">
        <v>549</v>
      </c>
      <c r="F235" s="36" t="s">
        <v>609</v>
      </c>
      <c r="G235" s="36" t="s">
        <v>610</v>
      </c>
      <c r="H235" s="37" t="s">
        <v>80</v>
      </c>
      <c r="I235" s="37" t="s">
        <v>81</v>
      </c>
      <c r="J235" s="37" t="s">
        <v>82</v>
      </c>
      <c r="K235" s="37" t="s">
        <v>87</v>
      </c>
      <c r="L235" s="36" t="s">
        <v>84</v>
      </c>
      <c r="M235" s="34">
        <v>7173.74</v>
      </c>
      <c r="N235" s="34">
        <v>1832.64</v>
      </c>
      <c r="O235" s="34">
        <v>5341.1</v>
      </c>
      <c r="P235" s="34">
        <v>2001.55</v>
      </c>
      <c r="Q235" s="34">
        <v>38.880000000000003</v>
      </c>
      <c r="R235" s="34">
        <v>29.08</v>
      </c>
      <c r="S235" s="34">
        <v>29.08</v>
      </c>
      <c r="T235" s="34">
        <v>25.17</v>
      </c>
      <c r="U235" s="34">
        <v>807.42</v>
      </c>
      <c r="V235" s="34">
        <v>13.82</v>
      </c>
      <c r="W235" s="34">
        <v>0.43</v>
      </c>
      <c r="X235" s="34">
        <v>0.34</v>
      </c>
      <c r="Y235" s="35">
        <v>2.3214000000000001</v>
      </c>
      <c r="Z235" s="35">
        <v>3.1179000000000001</v>
      </c>
      <c r="AA235" s="35">
        <v>8.32</v>
      </c>
    </row>
    <row r="236" spans="1:27" ht="15.75" hidden="1" customHeight="1" x14ac:dyDescent="0.2">
      <c r="A236" s="2"/>
      <c r="B236" s="31">
        <v>231</v>
      </c>
      <c r="C236" s="36" t="s">
        <v>547</v>
      </c>
      <c r="D236" s="36" t="s">
        <v>574</v>
      </c>
      <c r="E236" s="36" t="s">
        <v>575</v>
      </c>
      <c r="F236" s="36" t="s">
        <v>611</v>
      </c>
      <c r="G236" s="36" t="s">
        <v>612</v>
      </c>
      <c r="H236" s="37" t="s">
        <v>80</v>
      </c>
      <c r="I236" s="37" t="s">
        <v>81</v>
      </c>
      <c r="J236" s="37" t="s">
        <v>82</v>
      </c>
      <c r="K236" s="37" t="s">
        <v>87</v>
      </c>
      <c r="L236" s="36" t="s">
        <v>84</v>
      </c>
      <c r="M236" s="34">
        <v>156.33000000000001</v>
      </c>
      <c r="N236" s="34">
        <v>61.05</v>
      </c>
      <c r="O236" s="34">
        <v>95.29</v>
      </c>
      <c r="P236" s="34">
        <v>45.2</v>
      </c>
      <c r="Q236" s="34">
        <v>0.23</v>
      </c>
      <c r="R236" s="34">
        <v>0.05</v>
      </c>
      <c r="S236" s="34">
        <v>0.05</v>
      </c>
      <c r="T236" s="34">
        <v>0.25</v>
      </c>
      <c r="U236" s="34">
        <v>35.29</v>
      </c>
      <c r="V236" s="34">
        <v>231.88</v>
      </c>
      <c r="W236" s="34">
        <v>1.64</v>
      </c>
      <c r="X236" s="34">
        <v>0.64</v>
      </c>
      <c r="Y236" s="35">
        <v>0.432</v>
      </c>
      <c r="Z236" s="35">
        <v>0.70879999999999999</v>
      </c>
      <c r="AA236" s="35">
        <v>1.4942</v>
      </c>
    </row>
    <row r="237" spans="1:27" ht="15.75" hidden="1" customHeight="1" x14ac:dyDescent="0.2">
      <c r="A237" s="2"/>
      <c r="B237" s="31">
        <v>232</v>
      </c>
      <c r="C237" s="36" t="s">
        <v>547</v>
      </c>
      <c r="D237" s="36" t="s">
        <v>548</v>
      </c>
      <c r="E237" s="36" t="s">
        <v>549</v>
      </c>
      <c r="F237" s="36" t="s">
        <v>613</v>
      </c>
      <c r="G237" s="36" t="s">
        <v>614</v>
      </c>
      <c r="H237" s="37" t="s">
        <v>80</v>
      </c>
      <c r="I237" s="37" t="s">
        <v>81</v>
      </c>
      <c r="J237" s="37" t="s">
        <v>82</v>
      </c>
      <c r="K237" s="37" t="s">
        <v>87</v>
      </c>
      <c r="L237" s="36" t="s">
        <v>84</v>
      </c>
      <c r="M237" s="34">
        <v>172.49</v>
      </c>
      <c r="N237" s="34">
        <v>25.29</v>
      </c>
      <c r="O237" s="34">
        <v>147.19999999999999</v>
      </c>
      <c r="P237" s="34">
        <v>11.39</v>
      </c>
      <c r="Q237" s="34">
        <v>0.4</v>
      </c>
      <c r="R237" s="34">
        <v>0.4</v>
      </c>
      <c r="S237" s="34">
        <v>0.4</v>
      </c>
      <c r="T237" s="34">
        <v>0.62</v>
      </c>
      <c r="U237" s="34">
        <v>42.97</v>
      </c>
      <c r="V237" s="34">
        <v>416.47</v>
      </c>
      <c r="W237" s="34">
        <v>6</v>
      </c>
      <c r="X237" s="34">
        <v>0.17</v>
      </c>
      <c r="Y237" s="35">
        <v>1.2303999999999999</v>
      </c>
      <c r="Z237" s="35">
        <v>1.4418</v>
      </c>
      <c r="AA237" s="35">
        <v>18.641500000000001</v>
      </c>
    </row>
    <row r="238" spans="1:27" ht="15.75" hidden="1" customHeight="1" x14ac:dyDescent="0.2">
      <c r="A238" s="2"/>
      <c r="B238" s="31">
        <v>233</v>
      </c>
      <c r="C238" s="36" t="s">
        <v>547</v>
      </c>
      <c r="D238" s="36" t="s">
        <v>552</v>
      </c>
      <c r="E238" s="36" t="s">
        <v>553</v>
      </c>
      <c r="F238" s="36" t="s">
        <v>615</v>
      </c>
      <c r="G238" s="36" t="s">
        <v>616</v>
      </c>
      <c r="H238" s="37" t="s">
        <v>80</v>
      </c>
      <c r="I238" s="37" t="s">
        <v>81</v>
      </c>
      <c r="J238" s="37" t="s">
        <v>82</v>
      </c>
      <c r="K238" s="37" t="s">
        <v>87</v>
      </c>
      <c r="L238" s="36" t="s">
        <v>84</v>
      </c>
      <c r="M238" s="34">
        <v>338.75</v>
      </c>
      <c r="N238" s="34">
        <v>104.19</v>
      </c>
      <c r="O238" s="34">
        <v>234.57</v>
      </c>
      <c r="P238" s="34">
        <v>97.31</v>
      </c>
      <c r="Q238" s="34">
        <v>3.99</v>
      </c>
      <c r="R238" s="34">
        <v>2.4500000000000002</v>
      </c>
      <c r="S238" s="34">
        <v>2.13</v>
      </c>
      <c r="T238" s="34">
        <v>3.44</v>
      </c>
      <c r="U238" s="34">
        <v>74.010000000000005</v>
      </c>
      <c r="V238" s="34">
        <v>27.58</v>
      </c>
      <c r="W238" s="34">
        <v>1.28</v>
      </c>
      <c r="X238" s="34">
        <v>0.44</v>
      </c>
      <c r="Y238" s="35">
        <v>3.2225999999999999</v>
      </c>
      <c r="Z238" s="35">
        <v>4.6539000000000001</v>
      </c>
      <c r="AA238" s="35">
        <v>11.2178</v>
      </c>
    </row>
    <row r="239" spans="1:27" ht="15.75" hidden="1" customHeight="1" x14ac:dyDescent="0.2">
      <c r="A239" s="2"/>
      <c r="B239" s="31">
        <v>234</v>
      </c>
      <c r="C239" s="36" t="s">
        <v>547</v>
      </c>
      <c r="D239" s="36" t="s">
        <v>566</v>
      </c>
      <c r="E239" s="36" t="s">
        <v>567</v>
      </c>
      <c r="F239" s="36" t="s">
        <v>617</v>
      </c>
      <c r="G239" s="36" t="s">
        <v>618</v>
      </c>
      <c r="H239" s="37" t="s">
        <v>80</v>
      </c>
      <c r="I239" s="37" t="s">
        <v>81</v>
      </c>
      <c r="J239" s="37" t="s">
        <v>82</v>
      </c>
      <c r="K239" s="37" t="s">
        <v>87</v>
      </c>
      <c r="L239" s="36" t="s">
        <v>84</v>
      </c>
      <c r="M239" s="34">
        <v>5874.6</v>
      </c>
      <c r="N239" s="34">
        <v>403.35</v>
      </c>
      <c r="O239" s="34">
        <v>5471.25</v>
      </c>
      <c r="P239" s="34">
        <v>3847.35</v>
      </c>
      <c r="Q239" s="34">
        <v>236.93</v>
      </c>
      <c r="R239" s="34">
        <v>183</v>
      </c>
      <c r="S239" s="34">
        <v>182.6</v>
      </c>
      <c r="T239" s="34">
        <v>394.09</v>
      </c>
      <c r="U239" s="34">
        <v>6653.32</v>
      </c>
      <c r="V239" s="34">
        <v>5.84</v>
      </c>
      <c r="W239" s="34">
        <v>0.35</v>
      </c>
      <c r="X239" s="34">
        <v>7.0000000000000007E-2</v>
      </c>
      <c r="Y239" s="35">
        <v>5.5166000000000004</v>
      </c>
      <c r="Z239" s="35">
        <v>5.9231999999999996</v>
      </c>
      <c r="AA239" s="35">
        <v>8.4234000000000009</v>
      </c>
    </row>
    <row r="240" spans="1:27" ht="15.75" hidden="1" customHeight="1" x14ac:dyDescent="0.2">
      <c r="A240" s="2"/>
      <c r="B240" s="31">
        <v>235</v>
      </c>
      <c r="C240" s="36" t="s">
        <v>547</v>
      </c>
      <c r="D240" s="36" t="s">
        <v>548</v>
      </c>
      <c r="E240" s="36" t="s">
        <v>549</v>
      </c>
      <c r="F240" s="36" t="s">
        <v>619</v>
      </c>
      <c r="G240" s="36" t="s">
        <v>620</v>
      </c>
      <c r="H240" s="37" t="s">
        <v>95</v>
      </c>
      <c r="I240" s="37" t="s">
        <v>81</v>
      </c>
      <c r="J240" s="37" t="s">
        <v>82</v>
      </c>
      <c r="K240" s="37" t="s">
        <v>87</v>
      </c>
      <c r="L240" s="36" t="s">
        <v>84</v>
      </c>
      <c r="M240" s="34">
        <v>1104.1300000000001</v>
      </c>
      <c r="N240" s="34">
        <v>1776.6</v>
      </c>
      <c r="O240" s="34">
        <v>-672.46</v>
      </c>
      <c r="P240" s="34">
        <v>186.56</v>
      </c>
      <c r="Q240" s="34">
        <v>-24</v>
      </c>
      <c r="R240" s="34">
        <v>-26.41</v>
      </c>
      <c r="S240" s="34">
        <v>-24.96</v>
      </c>
      <c r="T240" s="34">
        <v>-76.25</v>
      </c>
      <c r="U240" s="34">
        <v>-1398.05</v>
      </c>
      <c r="V240" s="34">
        <v>-52.46</v>
      </c>
      <c r="W240" s="34">
        <v>-2.86</v>
      </c>
      <c r="X240" s="34">
        <v>-2.64</v>
      </c>
      <c r="Y240" s="35">
        <v>-3.3216000000000001</v>
      </c>
      <c r="Z240" s="35" t="s">
        <v>95</v>
      </c>
      <c r="AA240" s="35">
        <v>-19.6585</v>
      </c>
    </row>
    <row r="241" spans="1:27" ht="15.75" hidden="1" customHeight="1" x14ac:dyDescent="0.2">
      <c r="A241" s="2"/>
      <c r="B241" s="31">
        <v>236</v>
      </c>
      <c r="C241" s="36" t="s">
        <v>547</v>
      </c>
      <c r="D241" s="36" t="s">
        <v>574</v>
      </c>
      <c r="E241" s="36" t="s">
        <v>575</v>
      </c>
      <c r="F241" s="36" t="s">
        <v>621</v>
      </c>
      <c r="G241" s="36" t="s">
        <v>622</v>
      </c>
      <c r="H241" s="37" t="s">
        <v>80</v>
      </c>
      <c r="I241" s="37" t="s">
        <v>81</v>
      </c>
      <c r="J241" s="37" t="s">
        <v>82</v>
      </c>
      <c r="K241" s="37" t="s">
        <v>87</v>
      </c>
      <c r="L241" s="36" t="s">
        <v>84</v>
      </c>
      <c r="M241" s="34">
        <v>1445.58</v>
      </c>
      <c r="N241" s="34">
        <v>885.85</v>
      </c>
      <c r="O241" s="34">
        <v>559.74</v>
      </c>
      <c r="P241" s="34">
        <v>414.33</v>
      </c>
      <c r="Q241" s="34">
        <v>147.91999999999999</v>
      </c>
      <c r="R241" s="34">
        <v>137.56</v>
      </c>
      <c r="S241" s="34">
        <v>137.56</v>
      </c>
      <c r="T241" s="34">
        <v>34.22</v>
      </c>
      <c r="U241" s="34">
        <v>74.63</v>
      </c>
      <c r="V241" s="34">
        <v>14.61</v>
      </c>
      <c r="W241" s="34">
        <v>6.7</v>
      </c>
      <c r="X241" s="34">
        <v>1.58</v>
      </c>
      <c r="Y241" s="35">
        <v>17.7563</v>
      </c>
      <c r="Z241" s="35">
        <v>45.857799999999997</v>
      </c>
      <c r="AA241" s="35">
        <v>61.950899999999997</v>
      </c>
    </row>
    <row r="242" spans="1:27" ht="15.75" hidden="1" customHeight="1" x14ac:dyDescent="0.2">
      <c r="A242" s="2"/>
      <c r="B242" s="31">
        <v>237</v>
      </c>
      <c r="C242" s="36" t="s">
        <v>547</v>
      </c>
      <c r="D242" s="36" t="s">
        <v>574</v>
      </c>
      <c r="E242" s="36" t="s">
        <v>575</v>
      </c>
      <c r="F242" s="36" t="s">
        <v>623</v>
      </c>
      <c r="G242" s="36" t="s">
        <v>624</v>
      </c>
      <c r="H242" s="37" t="s">
        <v>80</v>
      </c>
      <c r="I242" s="37" t="s">
        <v>81</v>
      </c>
      <c r="J242" s="37" t="s">
        <v>82</v>
      </c>
      <c r="K242" s="37" t="s">
        <v>87</v>
      </c>
      <c r="L242" s="36" t="s">
        <v>84</v>
      </c>
      <c r="M242" s="34">
        <v>1149.79</v>
      </c>
      <c r="N242" s="34">
        <v>409.11</v>
      </c>
      <c r="O242" s="34">
        <v>740.68</v>
      </c>
      <c r="P242" s="34">
        <v>210.25</v>
      </c>
      <c r="Q242" s="34">
        <v>62.27</v>
      </c>
      <c r="R242" s="34">
        <v>50.36</v>
      </c>
      <c r="S242" s="34">
        <v>50.36</v>
      </c>
      <c r="T242" s="34">
        <v>10.77</v>
      </c>
      <c r="U242" s="34">
        <v>84.63</v>
      </c>
      <c r="V242" s="34">
        <v>69.150000000000006</v>
      </c>
      <c r="W242" s="34">
        <v>8.8000000000000007</v>
      </c>
      <c r="X242" s="34">
        <v>0.55000000000000004</v>
      </c>
      <c r="Y242" s="35">
        <v>8.2006999999999994</v>
      </c>
      <c r="Z242" s="35">
        <v>12.7303</v>
      </c>
      <c r="AA242" s="35">
        <v>44.845999999999997</v>
      </c>
    </row>
    <row r="243" spans="1:27" ht="15.75" hidden="1" customHeight="1" x14ac:dyDescent="0.2">
      <c r="A243" s="2"/>
      <c r="B243" s="31">
        <v>238</v>
      </c>
      <c r="C243" s="36" t="s">
        <v>547</v>
      </c>
      <c r="D243" s="36" t="s">
        <v>548</v>
      </c>
      <c r="E243" s="36" t="s">
        <v>549</v>
      </c>
      <c r="F243" s="36" t="s">
        <v>625</v>
      </c>
      <c r="G243" s="36" t="s">
        <v>626</v>
      </c>
      <c r="H243" s="37" t="s">
        <v>80</v>
      </c>
      <c r="I243" s="37" t="s">
        <v>81</v>
      </c>
      <c r="J243" s="37" t="s">
        <v>82</v>
      </c>
      <c r="K243" s="37" t="s">
        <v>87</v>
      </c>
      <c r="L243" s="36" t="s">
        <v>84</v>
      </c>
      <c r="M243" s="34">
        <v>3438.89</v>
      </c>
      <c r="N243" s="34">
        <v>1060.69</v>
      </c>
      <c r="O243" s="34">
        <v>2378.21</v>
      </c>
      <c r="P243" s="34">
        <v>1326.33</v>
      </c>
      <c r="Q243" s="34">
        <v>146.84</v>
      </c>
      <c r="R243" s="34">
        <v>120.76</v>
      </c>
      <c r="S243" s="34">
        <v>107.61</v>
      </c>
      <c r="T243" s="34">
        <v>103.58</v>
      </c>
      <c r="U243" s="34">
        <v>880.82</v>
      </c>
      <c r="V243" s="34">
        <v>6.28</v>
      </c>
      <c r="W243" s="34">
        <v>0.74</v>
      </c>
      <c r="X243" s="34">
        <v>0.45</v>
      </c>
      <c r="Y243" s="35">
        <v>8.1326000000000001</v>
      </c>
      <c r="Z243" s="35">
        <v>11.7597</v>
      </c>
      <c r="AA243" s="35">
        <v>21.085899999999999</v>
      </c>
    </row>
    <row r="244" spans="1:27" ht="15.75" hidden="1" customHeight="1" x14ac:dyDescent="0.2">
      <c r="A244" s="2"/>
      <c r="B244" s="31">
        <v>239</v>
      </c>
      <c r="C244" s="36" t="s">
        <v>547</v>
      </c>
      <c r="D244" s="36" t="s">
        <v>548</v>
      </c>
      <c r="E244" s="36" t="s">
        <v>549</v>
      </c>
      <c r="F244" s="36" t="s">
        <v>627</v>
      </c>
      <c r="G244" s="36" t="s">
        <v>628</v>
      </c>
      <c r="H244" s="37" t="s">
        <v>80</v>
      </c>
      <c r="I244" s="37" t="s">
        <v>81</v>
      </c>
      <c r="J244" s="37" t="s">
        <v>82</v>
      </c>
      <c r="K244" s="37" t="s">
        <v>87</v>
      </c>
      <c r="L244" s="36" t="s">
        <v>84</v>
      </c>
      <c r="M244" s="34">
        <v>3525.37</v>
      </c>
      <c r="N244" s="34">
        <v>1018.26</v>
      </c>
      <c r="O244" s="34">
        <v>2507.11</v>
      </c>
      <c r="P244" s="34">
        <v>1204.53</v>
      </c>
      <c r="Q244" s="34">
        <v>216.79</v>
      </c>
      <c r="R244" s="34">
        <v>169.1</v>
      </c>
      <c r="S244" s="34">
        <v>169.1</v>
      </c>
      <c r="T244" s="34">
        <v>36.479999999999997</v>
      </c>
      <c r="U244" s="34">
        <v>242.94</v>
      </c>
      <c r="V244" s="34">
        <v>7.13</v>
      </c>
      <c r="W244" s="34">
        <v>1.07</v>
      </c>
      <c r="X244" s="34">
        <v>0.41</v>
      </c>
      <c r="Y244" s="35">
        <v>10.677899999999999</v>
      </c>
      <c r="Z244" s="35">
        <v>15.014799999999999</v>
      </c>
      <c r="AA244" s="35">
        <v>31.251799999999999</v>
      </c>
    </row>
    <row r="245" spans="1:27" ht="15.75" hidden="1" customHeight="1" x14ac:dyDescent="0.2">
      <c r="A245" s="2"/>
      <c r="B245" s="31">
        <v>240</v>
      </c>
      <c r="C245" s="36" t="s">
        <v>547</v>
      </c>
      <c r="D245" s="36" t="s">
        <v>574</v>
      </c>
      <c r="E245" s="36" t="s">
        <v>575</v>
      </c>
      <c r="F245" s="36" t="s">
        <v>629</v>
      </c>
      <c r="G245" s="36" t="s">
        <v>630</v>
      </c>
      <c r="H245" s="37" t="s">
        <v>80</v>
      </c>
      <c r="I245" s="37" t="s">
        <v>81</v>
      </c>
      <c r="J245" s="37" t="s">
        <v>82</v>
      </c>
      <c r="K245" s="37" t="s">
        <v>83</v>
      </c>
      <c r="L245" s="36" t="s">
        <v>90</v>
      </c>
      <c r="M245" s="34">
        <v>174651.13</v>
      </c>
      <c r="N245" s="34">
        <v>73367.460000000006</v>
      </c>
      <c r="O245" s="34">
        <v>101283.67</v>
      </c>
      <c r="P245" s="34">
        <v>68525.289999999994</v>
      </c>
      <c r="Q245" s="34">
        <v>11005.84</v>
      </c>
      <c r="R245" s="34">
        <v>8369.4699999999993</v>
      </c>
      <c r="S245" s="34">
        <v>8130.06</v>
      </c>
      <c r="T245" s="34">
        <v>4860.17</v>
      </c>
      <c r="U245" s="34">
        <v>27152.82</v>
      </c>
      <c r="V245" s="34">
        <v>5.51</v>
      </c>
      <c r="W245" s="34">
        <v>0.99</v>
      </c>
      <c r="X245" s="34">
        <v>0.72</v>
      </c>
      <c r="Y245" s="35">
        <v>10.3802</v>
      </c>
      <c r="Z245" s="35">
        <v>17.8993</v>
      </c>
      <c r="AA245" s="35">
        <v>26.456099999999999</v>
      </c>
    </row>
    <row r="246" spans="1:27" ht="15.75" hidden="1" customHeight="1" x14ac:dyDescent="0.2">
      <c r="A246" s="2"/>
      <c r="B246" s="31">
        <v>241</v>
      </c>
      <c r="C246" s="36" t="s">
        <v>547</v>
      </c>
      <c r="D246" s="36" t="s">
        <v>566</v>
      </c>
      <c r="E246" s="36" t="s">
        <v>567</v>
      </c>
      <c r="F246" s="36" t="s">
        <v>631</v>
      </c>
      <c r="G246" s="36" t="s">
        <v>632</v>
      </c>
      <c r="H246" s="37" t="s">
        <v>80</v>
      </c>
      <c r="I246" s="37" t="s">
        <v>81</v>
      </c>
      <c r="J246" s="37" t="s">
        <v>82</v>
      </c>
      <c r="K246" s="37" t="s">
        <v>87</v>
      </c>
      <c r="L246" s="36" t="s">
        <v>84</v>
      </c>
      <c r="M246" s="34">
        <v>2083.2199999999998</v>
      </c>
      <c r="N246" s="34">
        <v>1459.81</v>
      </c>
      <c r="O246" s="34">
        <v>623.41</v>
      </c>
      <c r="P246" s="34">
        <v>1129.96</v>
      </c>
      <c r="Q246" s="34">
        <v>-26.32</v>
      </c>
      <c r="R246" s="34">
        <v>-25.12</v>
      </c>
      <c r="S246" s="34">
        <v>-25.12</v>
      </c>
      <c r="T246" s="34">
        <v>-20.83</v>
      </c>
      <c r="U246" s="34">
        <v>150.02000000000001</v>
      </c>
      <c r="V246" s="34">
        <v>-14.98</v>
      </c>
      <c r="W246" s="34">
        <v>2.08</v>
      </c>
      <c r="X246" s="34">
        <v>2.34</v>
      </c>
      <c r="Y246" s="35">
        <v>-4.1561000000000003</v>
      </c>
      <c r="Z246" s="35">
        <v>-13.8881</v>
      </c>
      <c r="AA246" s="35">
        <v>-7.6622000000000003</v>
      </c>
    </row>
    <row r="247" spans="1:27" ht="15.75" hidden="1" customHeight="1" x14ac:dyDescent="0.2">
      <c r="A247" s="2"/>
      <c r="B247" s="31">
        <v>242</v>
      </c>
      <c r="C247" s="36" t="s">
        <v>547</v>
      </c>
      <c r="D247" s="36" t="s">
        <v>574</v>
      </c>
      <c r="E247" s="36" t="s">
        <v>575</v>
      </c>
      <c r="F247" s="36" t="s">
        <v>633</v>
      </c>
      <c r="G247" s="36" t="s">
        <v>634</v>
      </c>
      <c r="H247" s="37" t="s">
        <v>95</v>
      </c>
      <c r="I247" s="37" t="s">
        <v>81</v>
      </c>
      <c r="J247" s="37" t="s">
        <v>82</v>
      </c>
      <c r="K247" s="37" t="s">
        <v>87</v>
      </c>
      <c r="L247" s="36" t="s">
        <v>84</v>
      </c>
      <c r="M247" s="34">
        <v>46.39</v>
      </c>
      <c r="N247" s="34">
        <v>0.83</v>
      </c>
      <c r="O247" s="34">
        <v>45.55</v>
      </c>
      <c r="P247" s="34">
        <v>6.2</v>
      </c>
      <c r="Q247" s="34">
        <v>-1.9</v>
      </c>
      <c r="R247" s="34">
        <v>-1.9</v>
      </c>
      <c r="S247" s="34">
        <v>-1.9</v>
      </c>
      <c r="T247" s="34">
        <v>-1.08</v>
      </c>
      <c r="U247" s="34">
        <v>28.47</v>
      </c>
      <c r="V247" s="34">
        <v>-51.98</v>
      </c>
      <c r="W247" s="34">
        <v>1.97</v>
      </c>
      <c r="X247" s="34">
        <v>0.02</v>
      </c>
      <c r="Y247" s="35">
        <v>-3.7164000000000001</v>
      </c>
      <c r="Z247" s="35">
        <v>-3.7844000000000002</v>
      </c>
      <c r="AA247" s="35">
        <v>-27.7866</v>
      </c>
    </row>
    <row r="248" spans="1:27" ht="15.75" hidden="1" customHeight="1" x14ac:dyDescent="0.2">
      <c r="A248" s="2"/>
      <c r="B248" s="31">
        <v>243</v>
      </c>
      <c r="C248" s="36" t="s">
        <v>547</v>
      </c>
      <c r="D248" s="36" t="s">
        <v>635</v>
      </c>
      <c r="E248" s="36" t="s">
        <v>636</v>
      </c>
      <c r="F248" s="36" t="s">
        <v>637</v>
      </c>
      <c r="G248" s="36" t="s">
        <v>638</v>
      </c>
      <c r="H248" s="37" t="s">
        <v>80</v>
      </c>
      <c r="I248" s="37" t="s">
        <v>81</v>
      </c>
      <c r="J248" s="37" t="s">
        <v>82</v>
      </c>
      <c r="K248" s="37" t="s">
        <v>87</v>
      </c>
      <c r="L248" s="36" t="s">
        <v>84</v>
      </c>
      <c r="M248" s="34">
        <v>2864.89</v>
      </c>
      <c r="N248" s="34">
        <v>901.43</v>
      </c>
      <c r="O248" s="34">
        <v>1963.46</v>
      </c>
      <c r="P248" s="34">
        <v>1525.88</v>
      </c>
      <c r="Q248" s="34">
        <v>139.69</v>
      </c>
      <c r="R248" s="34">
        <v>106.2</v>
      </c>
      <c r="S248" s="34">
        <v>106.2</v>
      </c>
      <c r="T248" s="34">
        <v>169.57</v>
      </c>
      <c r="U248" s="34">
        <v>1455.73</v>
      </c>
      <c r="V248" s="34">
        <v>6.87</v>
      </c>
      <c r="W248" s="34">
        <v>0.8</v>
      </c>
      <c r="X248" s="34">
        <v>0.46</v>
      </c>
      <c r="Y248" s="35">
        <v>7.9831000000000003</v>
      </c>
      <c r="Z248" s="35">
        <v>11.648199999999999</v>
      </c>
      <c r="AA248" s="35">
        <v>14.9886</v>
      </c>
    </row>
    <row r="249" spans="1:27" ht="15.75" hidden="1" customHeight="1" x14ac:dyDescent="0.2">
      <c r="A249" s="2"/>
      <c r="B249" s="31">
        <v>244</v>
      </c>
      <c r="C249" s="36" t="s">
        <v>547</v>
      </c>
      <c r="D249" s="36" t="s">
        <v>639</v>
      </c>
      <c r="E249" s="36" t="s">
        <v>640</v>
      </c>
      <c r="F249" s="36" t="s">
        <v>641</v>
      </c>
      <c r="G249" s="36" t="s">
        <v>642</v>
      </c>
      <c r="H249" s="37" t="s">
        <v>80</v>
      </c>
      <c r="I249" s="37" t="s">
        <v>81</v>
      </c>
      <c r="J249" s="37" t="s">
        <v>82</v>
      </c>
      <c r="K249" s="37" t="s">
        <v>87</v>
      </c>
      <c r="L249" s="36" t="s">
        <v>84</v>
      </c>
      <c r="M249" s="34">
        <v>522.53</v>
      </c>
      <c r="N249" s="34">
        <v>113.99</v>
      </c>
      <c r="O249" s="34">
        <v>408.54</v>
      </c>
      <c r="P249" s="34">
        <v>161.56</v>
      </c>
      <c r="Q249" s="34">
        <v>-4.1399999999999997</v>
      </c>
      <c r="R249" s="34">
        <v>-4.1399999999999997</v>
      </c>
      <c r="S249" s="34">
        <v>-3.74</v>
      </c>
      <c r="T249" s="34">
        <v>-20.03</v>
      </c>
      <c r="U249" s="34">
        <v>177.76</v>
      </c>
      <c r="V249" s="34">
        <v>-6.34</v>
      </c>
      <c r="W249" s="34">
        <v>0.71</v>
      </c>
      <c r="X249" s="34">
        <v>0.28000000000000003</v>
      </c>
      <c r="Y249" s="35">
        <v>-8.7207000000000008</v>
      </c>
      <c r="Z249" s="35">
        <v>-11.1541</v>
      </c>
      <c r="AA249" s="35">
        <v>-28.205300000000001</v>
      </c>
    </row>
    <row r="250" spans="1:27" ht="15.75" hidden="1" customHeight="1" x14ac:dyDescent="0.2">
      <c r="A250" s="2"/>
      <c r="B250" s="31">
        <v>245</v>
      </c>
      <c r="C250" s="36" t="s">
        <v>547</v>
      </c>
      <c r="D250" s="36" t="s">
        <v>639</v>
      </c>
      <c r="E250" s="36" t="s">
        <v>640</v>
      </c>
      <c r="F250" s="36" t="s">
        <v>643</v>
      </c>
      <c r="G250" s="36" t="s">
        <v>644</v>
      </c>
      <c r="H250" s="37" t="s">
        <v>80</v>
      </c>
      <c r="I250" s="37" t="s">
        <v>81</v>
      </c>
      <c r="J250" s="37" t="s">
        <v>82</v>
      </c>
      <c r="K250" s="37" t="s">
        <v>87</v>
      </c>
      <c r="L250" s="36" t="s">
        <v>90</v>
      </c>
      <c r="M250" s="34">
        <v>112.49</v>
      </c>
      <c r="N250" s="34">
        <v>7.48</v>
      </c>
      <c r="O250" s="34">
        <v>105</v>
      </c>
      <c r="P250" s="34">
        <v>66.42</v>
      </c>
      <c r="Q250" s="34">
        <v>8.56</v>
      </c>
      <c r="R250" s="34">
        <v>8.56</v>
      </c>
      <c r="S250" s="34">
        <v>8.56</v>
      </c>
      <c r="T250" s="34">
        <v>34.159999999999997</v>
      </c>
      <c r="U250" s="34">
        <v>251.2</v>
      </c>
      <c r="V250" s="34">
        <v>21.96</v>
      </c>
      <c r="W250" s="34">
        <v>2.99</v>
      </c>
      <c r="X250" s="34">
        <v>7.0000000000000007E-2</v>
      </c>
      <c r="Y250" s="35">
        <v>12.6936</v>
      </c>
      <c r="Z250" s="35">
        <v>13.5983</v>
      </c>
      <c r="AA250" s="35">
        <v>21.496200000000002</v>
      </c>
    </row>
    <row r="251" spans="1:27" ht="15.75" hidden="1" customHeight="1" x14ac:dyDescent="0.2">
      <c r="A251" s="2"/>
      <c r="B251" s="31">
        <v>246</v>
      </c>
      <c r="C251" s="36" t="s">
        <v>547</v>
      </c>
      <c r="D251" s="36" t="s">
        <v>645</v>
      </c>
      <c r="E251" s="36" t="s">
        <v>646</v>
      </c>
      <c r="F251" s="36" t="s">
        <v>647</v>
      </c>
      <c r="G251" s="36" t="s">
        <v>648</v>
      </c>
      <c r="H251" s="37" t="s">
        <v>80</v>
      </c>
      <c r="I251" s="37" t="s">
        <v>81</v>
      </c>
      <c r="J251" s="37" t="s">
        <v>82</v>
      </c>
      <c r="K251" s="37" t="s">
        <v>87</v>
      </c>
      <c r="L251" s="36" t="s">
        <v>84</v>
      </c>
      <c r="M251" s="34">
        <v>370.24</v>
      </c>
      <c r="N251" s="34">
        <v>141.36000000000001</v>
      </c>
      <c r="O251" s="34">
        <v>228.88</v>
      </c>
      <c r="P251" s="34">
        <v>229.13</v>
      </c>
      <c r="Q251" s="34">
        <v>10.210000000000001</v>
      </c>
      <c r="R251" s="34">
        <v>4.9800000000000004</v>
      </c>
      <c r="S251" s="34">
        <v>5.1100000000000003</v>
      </c>
      <c r="T251" s="34">
        <v>9.4700000000000006</v>
      </c>
      <c r="U251" s="34">
        <v>79.14</v>
      </c>
      <c r="V251" s="34">
        <v>11.41</v>
      </c>
      <c r="W251" s="34">
        <v>1.36</v>
      </c>
      <c r="X251" s="34">
        <v>0.62</v>
      </c>
      <c r="Y251" s="35">
        <v>7.3943000000000003</v>
      </c>
      <c r="Z251" s="35">
        <v>11.9613</v>
      </c>
      <c r="AA251" s="35">
        <v>11.9483</v>
      </c>
    </row>
    <row r="252" spans="1:27" ht="15.75" hidden="1" customHeight="1" x14ac:dyDescent="0.2">
      <c r="A252" s="2"/>
      <c r="B252" s="31">
        <v>247</v>
      </c>
      <c r="C252" s="36" t="s">
        <v>547</v>
      </c>
      <c r="D252" s="36" t="s">
        <v>635</v>
      </c>
      <c r="E252" s="36" t="s">
        <v>636</v>
      </c>
      <c r="F252" s="36" t="s">
        <v>649</v>
      </c>
      <c r="G252" s="36" t="s">
        <v>650</v>
      </c>
      <c r="H252" s="37" t="s">
        <v>80</v>
      </c>
      <c r="I252" s="37" t="s">
        <v>81</v>
      </c>
      <c r="J252" s="37" t="s">
        <v>82</v>
      </c>
      <c r="K252" s="37" t="s">
        <v>87</v>
      </c>
      <c r="L252" s="36" t="s">
        <v>84</v>
      </c>
      <c r="M252" s="34">
        <v>1172.6600000000001</v>
      </c>
      <c r="N252" s="34">
        <v>453.34</v>
      </c>
      <c r="O252" s="34">
        <v>719.32</v>
      </c>
      <c r="P252" s="34">
        <v>668.27</v>
      </c>
      <c r="Q252" s="34">
        <v>23.81</v>
      </c>
      <c r="R252" s="34">
        <v>19.23</v>
      </c>
      <c r="S252" s="34">
        <v>32.4</v>
      </c>
      <c r="T252" s="34">
        <v>9.91</v>
      </c>
      <c r="U252" s="34">
        <v>168.34</v>
      </c>
      <c r="V252" s="34">
        <v>8.8800000000000008</v>
      </c>
      <c r="W252" s="34">
        <v>0.52</v>
      </c>
      <c r="X252" s="34">
        <v>0.63</v>
      </c>
      <c r="Y252" s="35">
        <v>3.6128</v>
      </c>
      <c r="Z252" s="35">
        <v>5.8897000000000004</v>
      </c>
      <c r="AA252" s="35">
        <v>6.3396999999999997</v>
      </c>
    </row>
    <row r="253" spans="1:27" ht="15.75" hidden="1" customHeight="1" x14ac:dyDescent="0.2">
      <c r="A253" s="2"/>
      <c r="B253" s="31">
        <v>248</v>
      </c>
      <c r="C253" s="36" t="s">
        <v>547</v>
      </c>
      <c r="D253" s="36" t="s">
        <v>651</v>
      </c>
      <c r="E253" s="36" t="s">
        <v>652</v>
      </c>
      <c r="F253" s="36" t="s">
        <v>653</v>
      </c>
      <c r="G253" s="36" t="s">
        <v>654</v>
      </c>
      <c r="H253" s="37" t="s">
        <v>80</v>
      </c>
      <c r="I253" s="37" t="s">
        <v>81</v>
      </c>
      <c r="J253" s="37" t="s">
        <v>82</v>
      </c>
      <c r="K253" s="37" t="s">
        <v>87</v>
      </c>
      <c r="L253" s="36" t="s">
        <v>84</v>
      </c>
      <c r="M253" s="34">
        <v>220.33</v>
      </c>
      <c r="N253" s="34">
        <v>62.01</v>
      </c>
      <c r="O253" s="34">
        <v>158.32</v>
      </c>
      <c r="P253" s="34">
        <v>172.41</v>
      </c>
      <c r="Q253" s="34">
        <v>7.44</v>
      </c>
      <c r="R253" s="34">
        <v>6.02</v>
      </c>
      <c r="S253" s="34">
        <v>6</v>
      </c>
      <c r="T253" s="34">
        <v>7.65</v>
      </c>
      <c r="U253" s="34">
        <v>62.7</v>
      </c>
      <c r="V253" s="34">
        <v>22.23</v>
      </c>
      <c r="W253" s="34">
        <v>2.71</v>
      </c>
      <c r="X253" s="34">
        <v>0.39</v>
      </c>
      <c r="Y253" s="35">
        <v>8.7642000000000007</v>
      </c>
      <c r="Z253" s="35">
        <v>12.196899999999999</v>
      </c>
      <c r="AA253" s="35">
        <v>11.2005</v>
      </c>
    </row>
    <row r="254" spans="1:27" ht="15.75" hidden="1" customHeight="1" x14ac:dyDescent="0.2">
      <c r="A254" s="2"/>
      <c r="B254" s="31">
        <v>249</v>
      </c>
      <c r="C254" s="36" t="s">
        <v>547</v>
      </c>
      <c r="D254" s="36" t="s">
        <v>635</v>
      </c>
      <c r="E254" s="36" t="s">
        <v>636</v>
      </c>
      <c r="F254" s="36" t="s">
        <v>655</v>
      </c>
      <c r="G254" s="36" t="s">
        <v>656</v>
      </c>
      <c r="H254" s="37" t="s">
        <v>80</v>
      </c>
      <c r="I254" s="37" t="s">
        <v>81</v>
      </c>
      <c r="J254" s="37" t="s">
        <v>82</v>
      </c>
      <c r="K254" s="37" t="s">
        <v>87</v>
      </c>
      <c r="L254" s="36" t="s">
        <v>90</v>
      </c>
      <c r="M254" s="34">
        <v>367.61</v>
      </c>
      <c r="N254" s="34">
        <v>149.88</v>
      </c>
      <c r="O254" s="34">
        <v>217.73</v>
      </c>
      <c r="P254" s="34">
        <v>109.4</v>
      </c>
      <c r="Q254" s="34">
        <v>-0.33</v>
      </c>
      <c r="R254" s="34">
        <v>-0.33</v>
      </c>
      <c r="S254" s="34">
        <v>-0.62</v>
      </c>
      <c r="T254" s="34">
        <v>-6.17</v>
      </c>
      <c r="U254" s="34">
        <v>199.8</v>
      </c>
      <c r="V254" s="34">
        <v>-8.59</v>
      </c>
      <c r="W254" s="34">
        <v>0.27</v>
      </c>
      <c r="X254" s="34">
        <v>0.69</v>
      </c>
      <c r="Y254" s="35">
        <v>-1.8294999999999999</v>
      </c>
      <c r="Z254" s="35">
        <v>-3.0889000000000002</v>
      </c>
      <c r="AA254" s="35">
        <v>-6.1477000000000004</v>
      </c>
    </row>
    <row r="255" spans="1:27" ht="15.75" hidden="1" customHeight="1" x14ac:dyDescent="0.2">
      <c r="A255" s="2"/>
      <c r="B255" s="31">
        <v>250</v>
      </c>
      <c r="C255" s="36" t="s">
        <v>547</v>
      </c>
      <c r="D255" s="36" t="s">
        <v>645</v>
      </c>
      <c r="E255" s="36" t="s">
        <v>646</v>
      </c>
      <c r="F255" s="36" t="s">
        <v>657</v>
      </c>
      <c r="G255" s="36" t="s">
        <v>658</v>
      </c>
      <c r="H255" s="37" t="s">
        <v>80</v>
      </c>
      <c r="I255" s="37" t="s">
        <v>81</v>
      </c>
      <c r="J255" s="37" t="s">
        <v>82</v>
      </c>
      <c r="K255" s="37" t="s">
        <v>87</v>
      </c>
      <c r="L255" s="36" t="s">
        <v>84</v>
      </c>
      <c r="M255" s="34">
        <v>46.47</v>
      </c>
      <c r="N255" s="34">
        <v>21.99</v>
      </c>
      <c r="O255" s="34">
        <v>24.48</v>
      </c>
      <c r="P255" s="34">
        <v>0.15</v>
      </c>
      <c r="Q255" s="34">
        <v>-4.5199999999999996</v>
      </c>
      <c r="R255" s="34">
        <v>-4.5199999999999996</v>
      </c>
      <c r="S255" s="34">
        <v>-4.5199999999999996</v>
      </c>
      <c r="T255" s="34">
        <v>-18.41</v>
      </c>
      <c r="U255" s="34">
        <v>55.9</v>
      </c>
      <c r="V255" s="34">
        <v>-14.99</v>
      </c>
      <c r="W255" s="34">
        <v>4.9400000000000004</v>
      </c>
      <c r="X255" s="34">
        <v>0.9</v>
      </c>
      <c r="Y255" s="35">
        <v>-17.352799999999998</v>
      </c>
      <c r="Z255" s="35">
        <v>-32.943600000000004</v>
      </c>
      <c r="AA255" s="35">
        <v>-5278.1786000000002</v>
      </c>
    </row>
    <row r="256" spans="1:27" ht="15.75" hidden="1" customHeight="1" x14ac:dyDescent="0.2">
      <c r="A256" s="2"/>
      <c r="B256" s="31">
        <v>251</v>
      </c>
      <c r="C256" s="36" t="s">
        <v>547</v>
      </c>
      <c r="D256" s="36" t="s">
        <v>659</v>
      </c>
      <c r="E256" s="36" t="s">
        <v>660</v>
      </c>
      <c r="F256" s="36" t="s">
        <v>661</v>
      </c>
      <c r="G256" s="36" t="s">
        <v>662</v>
      </c>
      <c r="H256" s="37" t="s">
        <v>80</v>
      </c>
      <c r="I256" s="37" t="s">
        <v>81</v>
      </c>
      <c r="J256" s="37" t="s">
        <v>82</v>
      </c>
      <c r="K256" s="37" t="s">
        <v>87</v>
      </c>
      <c r="L256" s="36" t="s">
        <v>84</v>
      </c>
      <c r="M256" s="34">
        <v>2115.0500000000002</v>
      </c>
      <c r="N256" s="34">
        <v>768.02</v>
      </c>
      <c r="O256" s="34">
        <v>1347.03</v>
      </c>
      <c r="P256" s="34">
        <v>666.51</v>
      </c>
      <c r="Q256" s="34">
        <v>107.12</v>
      </c>
      <c r="R256" s="34">
        <v>85.79</v>
      </c>
      <c r="S256" s="34">
        <v>79.900000000000006</v>
      </c>
      <c r="T256" s="34">
        <v>34.67</v>
      </c>
      <c r="U256" s="34">
        <v>196.59</v>
      </c>
      <c r="V256" s="34">
        <v>9.6300000000000008</v>
      </c>
      <c r="W256" s="34">
        <v>1.7</v>
      </c>
      <c r="X256" s="34">
        <v>0.56999999999999995</v>
      </c>
      <c r="Y256" s="35">
        <v>11.2311</v>
      </c>
      <c r="Z256" s="35">
        <v>17.634699999999999</v>
      </c>
      <c r="AA256" s="35">
        <v>35.640099999999997</v>
      </c>
    </row>
    <row r="257" spans="1:27" ht="15.75" hidden="1" customHeight="1" x14ac:dyDescent="0.2">
      <c r="A257" s="2"/>
      <c r="B257" s="31">
        <v>252</v>
      </c>
      <c r="C257" s="36" t="s">
        <v>547</v>
      </c>
      <c r="D257" s="36" t="s">
        <v>663</v>
      </c>
      <c r="E257" s="36" t="s">
        <v>664</v>
      </c>
      <c r="F257" s="36" t="s">
        <v>665</v>
      </c>
      <c r="G257" s="36" t="s">
        <v>666</v>
      </c>
      <c r="H257" s="37" t="s">
        <v>95</v>
      </c>
      <c r="I257" s="37" t="s">
        <v>81</v>
      </c>
      <c r="J257" s="37" t="s">
        <v>82</v>
      </c>
      <c r="K257" s="37" t="s">
        <v>87</v>
      </c>
      <c r="L257" s="36" t="s">
        <v>84</v>
      </c>
      <c r="M257" s="34">
        <v>148.91</v>
      </c>
      <c r="N257" s="34">
        <v>41.8</v>
      </c>
      <c r="O257" s="34">
        <v>107.12</v>
      </c>
      <c r="P257" s="34">
        <v>66.92</v>
      </c>
      <c r="Q257" s="34">
        <v>2.3199999999999998</v>
      </c>
      <c r="R257" s="34">
        <v>1.91</v>
      </c>
      <c r="S257" s="34">
        <v>1.91</v>
      </c>
      <c r="T257" s="34">
        <v>2.2400000000000002</v>
      </c>
      <c r="U257" s="34">
        <v>41.18</v>
      </c>
      <c r="V257" s="34">
        <v>91.78</v>
      </c>
      <c r="W257" s="34">
        <v>5</v>
      </c>
      <c r="X257" s="34">
        <v>0.39</v>
      </c>
      <c r="Y257" s="35">
        <v>3.92</v>
      </c>
      <c r="Z257" s="35">
        <v>5.4494999999999996</v>
      </c>
      <c r="AA257" s="35">
        <v>8.7224000000000004</v>
      </c>
    </row>
    <row r="258" spans="1:27" ht="15.75" hidden="1" customHeight="1" x14ac:dyDescent="0.2">
      <c r="A258" s="2"/>
      <c r="B258" s="31">
        <v>253</v>
      </c>
      <c r="C258" s="36" t="s">
        <v>547</v>
      </c>
      <c r="D258" s="36" t="s">
        <v>639</v>
      </c>
      <c r="E258" s="36" t="s">
        <v>640</v>
      </c>
      <c r="F258" s="36" t="s">
        <v>667</v>
      </c>
      <c r="G258" s="36" t="s">
        <v>668</v>
      </c>
      <c r="H258" s="37" t="s">
        <v>80</v>
      </c>
      <c r="I258" s="37" t="s">
        <v>81</v>
      </c>
      <c r="J258" s="37" t="s">
        <v>82</v>
      </c>
      <c r="K258" s="37" t="s">
        <v>87</v>
      </c>
      <c r="L258" s="36" t="s">
        <v>84</v>
      </c>
      <c r="M258" s="34">
        <v>178.11</v>
      </c>
      <c r="N258" s="34">
        <v>17.329999999999998</v>
      </c>
      <c r="O258" s="34">
        <v>160.77000000000001</v>
      </c>
      <c r="P258" s="34">
        <v>125.61</v>
      </c>
      <c r="Q258" s="34">
        <v>4.72</v>
      </c>
      <c r="R258" s="34">
        <v>3.65</v>
      </c>
      <c r="S258" s="34">
        <v>3.65</v>
      </c>
      <c r="T258" s="34">
        <v>60.12</v>
      </c>
      <c r="U258" s="34">
        <v>515.29</v>
      </c>
      <c r="V258" s="34">
        <v>30.77</v>
      </c>
      <c r="W258" s="34">
        <v>3.59</v>
      </c>
      <c r="X258" s="34">
        <v>0.11</v>
      </c>
      <c r="Y258" s="35">
        <v>10.531599999999999</v>
      </c>
      <c r="Z258" s="35">
        <v>11.6671</v>
      </c>
      <c r="AA258" s="35">
        <v>14.933400000000001</v>
      </c>
    </row>
    <row r="259" spans="1:27" ht="15.75" hidden="1" customHeight="1" x14ac:dyDescent="0.2">
      <c r="A259" s="2"/>
      <c r="B259" s="31">
        <v>254</v>
      </c>
      <c r="C259" s="36" t="s">
        <v>547</v>
      </c>
      <c r="D259" s="36" t="s">
        <v>639</v>
      </c>
      <c r="E259" s="36" t="s">
        <v>640</v>
      </c>
      <c r="F259" s="36" t="s">
        <v>669</v>
      </c>
      <c r="G259" s="36" t="s">
        <v>670</v>
      </c>
      <c r="H259" s="37" t="s">
        <v>80</v>
      </c>
      <c r="I259" s="37" t="s">
        <v>81</v>
      </c>
      <c r="J259" s="37" t="s">
        <v>82</v>
      </c>
      <c r="K259" s="37" t="s">
        <v>87</v>
      </c>
      <c r="L259" s="36" t="s">
        <v>84</v>
      </c>
      <c r="M259" s="34">
        <v>642.29</v>
      </c>
      <c r="N259" s="34">
        <v>164.04</v>
      </c>
      <c r="O259" s="34">
        <v>478.25</v>
      </c>
      <c r="P259" s="34">
        <v>176.62</v>
      </c>
      <c r="Q259" s="34">
        <v>-21.89</v>
      </c>
      <c r="R259" s="34">
        <v>-22.8</v>
      </c>
      <c r="S259" s="34">
        <v>-22.8</v>
      </c>
      <c r="T259" s="34">
        <v>-20.47</v>
      </c>
      <c r="U259" s="34">
        <v>919.43</v>
      </c>
      <c r="V259" s="34">
        <v>-33.22</v>
      </c>
      <c r="W259" s="34">
        <v>0.74</v>
      </c>
      <c r="X259" s="34">
        <v>0.34</v>
      </c>
      <c r="Y259" s="35">
        <v>-1.6577</v>
      </c>
      <c r="Z259" s="35">
        <v>-2.2263000000000002</v>
      </c>
      <c r="AA259" s="35">
        <v>-6.0286</v>
      </c>
    </row>
    <row r="260" spans="1:27" ht="15.75" hidden="1" customHeight="1" x14ac:dyDescent="0.2">
      <c r="A260" s="2"/>
      <c r="B260" s="31">
        <v>255</v>
      </c>
      <c r="C260" s="36" t="s">
        <v>547</v>
      </c>
      <c r="D260" s="36" t="s">
        <v>639</v>
      </c>
      <c r="E260" s="36" t="s">
        <v>640</v>
      </c>
      <c r="F260" s="36" t="s">
        <v>671</v>
      </c>
      <c r="G260" s="36" t="s">
        <v>672</v>
      </c>
      <c r="H260" s="37" t="s">
        <v>95</v>
      </c>
      <c r="I260" s="37" t="s">
        <v>81</v>
      </c>
      <c r="J260" s="37" t="s">
        <v>82</v>
      </c>
      <c r="K260" s="37" t="s">
        <v>87</v>
      </c>
      <c r="L260" s="36" t="s">
        <v>84</v>
      </c>
      <c r="M260" s="34">
        <v>186.18</v>
      </c>
      <c r="N260" s="34">
        <v>477.52</v>
      </c>
      <c r="O260" s="34">
        <v>-291.33999999999997</v>
      </c>
      <c r="P260" s="34">
        <v>19.89</v>
      </c>
      <c r="Q260" s="34">
        <v>17.86</v>
      </c>
      <c r="R260" s="34">
        <v>17.86</v>
      </c>
      <c r="S260" s="34">
        <v>17.86</v>
      </c>
      <c r="T260" s="34">
        <v>3.12</v>
      </c>
      <c r="U260" s="34">
        <v>-38.17</v>
      </c>
      <c r="V260" s="34">
        <v>15.72</v>
      </c>
      <c r="W260" s="34">
        <v>-1.28</v>
      </c>
      <c r="X260" s="34">
        <v>-1.64</v>
      </c>
      <c r="Y260" s="35">
        <v>12.7798</v>
      </c>
      <c r="Z260" s="35" t="s">
        <v>95</v>
      </c>
      <c r="AA260" s="35">
        <v>119.64709999999999</v>
      </c>
    </row>
    <row r="261" spans="1:27" ht="15.75" hidden="1" customHeight="1" x14ac:dyDescent="0.2">
      <c r="A261" s="2"/>
      <c r="B261" s="31">
        <v>256</v>
      </c>
      <c r="C261" s="36" t="s">
        <v>547</v>
      </c>
      <c r="D261" s="36" t="s">
        <v>635</v>
      </c>
      <c r="E261" s="36" t="s">
        <v>636</v>
      </c>
      <c r="F261" s="36" t="s">
        <v>673</v>
      </c>
      <c r="G261" s="36" t="s">
        <v>674</v>
      </c>
      <c r="H261" s="37" t="s">
        <v>80</v>
      </c>
      <c r="I261" s="37" t="s">
        <v>81</v>
      </c>
      <c r="J261" s="37" t="s">
        <v>82</v>
      </c>
      <c r="K261" s="37" t="s">
        <v>87</v>
      </c>
      <c r="L261" s="36" t="s">
        <v>84</v>
      </c>
      <c r="M261" s="34">
        <v>471.09</v>
      </c>
      <c r="N261" s="34">
        <v>361.19</v>
      </c>
      <c r="O261" s="34">
        <v>109.9</v>
      </c>
      <c r="P261" s="34">
        <v>88.2</v>
      </c>
      <c r="Q261" s="34">
        <v>13.59</v>
      </c>
      <c r="R261" s="34">
        <v>8.3000000000000007</v>
      </c>
      <c r="S261" s="34">
        <v>8.3000000000000007</v>
      </c>
      <c r="T261" s="34">
        <v>26.79</v>
      </c>
      <c r="U261" s="34">
        <v>145.07</v>
      </c>
      <c r="V261" s="34">
        <v>48.52</v>
      </c>
      <c r="W261" s="34">
        <v>8.9600000000000009</v>
      </c>
      <c r="X261" s="34">
        <v>3.29</v>
      </c>
      <c r="Y261" s="35">
        <v>4.3089000000000004</v>
      </c>
      <c r="Z261" s="35">
        <v>18.470400000000001</v>
      </c>
      <c r="AA261" s="35">
        <v>23.014299999999999</v>
      </c>
    </row>
    <row r="262" spans="1:27" ht="15.75" hidden="1" customHeight="1" x14ac:dyDescent="0.2">
      <c r="A262" s="2"/>
      <c r="B262" s="31">
        <v>257</v>
      </c>
      <c r="C262" s="36" t="s">
        <v>547</v>
      </c>
      <c r="D262" s="36" t="s">
        <v>651</v>
      </c>
      <c r="E262" s="36" t="s">
        <v>652</v>
      </c>
      <c r="F262" s="36" t="s">
        <v>675</v>
      </c>
      <c r="G262" s="36" t="s">
        <v>676</v>
      </c>
      <c r="H262" s="37" t="s">
        <v>80</v>
      </c>
      <c r="I262" s="37" t="s">
        <v>81</v>
      </c>
      <c r="J262" s="37" t="s">
        <v>82</v>
      </c>
      <c r="K262" s="37" t="s">
        <v>87</v>
      </c>
      <c r="L262" s="36" t="s">
        <v>84</v>
      </c>
      <c r="M262" s="34">
        <v>502</v>
      </c>
      <c r="N262" s="34">
        <v>30.62</v>
      </c>
      <c r="O262" s="34">
        <v>471.39</v>
      </c>
      <c r="P262" s="34">
        <v>100.77</v>
      </c>
      <c r="Q262" s="34">
        <v>25.37</v>
      </c>
      <c r="R262" s="34">
        <v>19.899999999999999</v>
      </c>
      <c r="S262" s="34">
        <v>19.899999999999999</v>
      </c>
      <c r="T262" s="34">
        <v>10.210000000000001</v>
      </c>
      <c r="U262" s="34">
        <v>125.7</v>
      </c>
      <c r="V262" s="34">
        <v>17.63</v>
      </c>
      <c r="W262" s="34">
        <v>1.43</v>
      </c>
      <c r="X262" s="34">
        <v>0.06</v>
      </c>
      <c r="Y262" s="35">
        <v>7.6279000000000003</v>
      </c>
      <c r="Z262" s="35">
        <v>8.1234000000000002</v>
      </c>
      <c r="AA262" s="35">
        <v>38.001199999999997</v>
      </c>
    </row>
    <row r="263" spans="1:27" ht="15.75" hidden="1" customHeight="1" x14ac:dyDescent="0.2">
      <c r="A263" s="2"/>
      <c r="B263" s="31">
        <v>258</v>
      </c>
      <c r="C263" s="36" t="s">
        <v>547</v>
      </c>
      <c r="D263" s="36" t="s">
        <v>645</v>
      </c>
      <c r="E263" s="36" t="s">
        <v>646</v>
      </c>
      <c r="F263" s="36" t="s">
        <v>677</v>
      </c>
      <c r="G263" s="36" t="s">
        <v>678</v>
      </c>
      <c r="H263" s="37" t="s">
        <v>80</v>
      </c>
      <c r="I263" s="37" t="s">
        <v>81</v>
      </c>
      <c r="J263" s="37" t="s">
        <v>82</v>
      </c>
      <c r="K263" s="37" t="s">
        <v>87</v>
      </c>
      <c r="L263" s="36" t="s">
        <v>84</v>
      </c>
      <c r="M263" s="34">
        <v>314.3</v>
      </c>
      <c r="N263" s="34">
        <v>91.47</v>
      </c>
      <c r="O263" s="34">
        <v>222.82</v>
      </c>
      <c r="P263" s="34">
        <v>151.16</v>
      </c>
      <c r="Q263" s="34">
        <v>19.16</v>
      </c>
      <c r="R263" s="34">
        <v>13.59</v>
      </c>
      <c r="S263" s="34">
        <v>13.57</v>
      </c>
      <c r="T263" s="34">
        <v>8.3800000000000008</v>
      </c>
      <c r="U263" s="34">
        <v>70.900000000000006</v>
      </c>
      <c r="V263" s="34">
        <v>12.17</v>
      </c>
      <c r="W263" s="34">
        <v>1.44</v>
      </c>
      <c r="X263" s="34">
        <v>0.41</v>
      </c>
      <c r="Y263" s="35">
        <v>8.3797999999999995</v>
      </c>
      <c r="Z263" s="35">
        <v>11.819900000000001</v>
      </c>
      <c r="AA263" s="35">
        <v>17.4236</v>
      </c>
    </row>
    <row r="264" spans="1:27" ht="15.75" hidden="1" customHeight="1" x14ac:dyDescent="0.2">
      <c r="A264" s="2"/>
      <c r="B264" s="31">
        <v>259</v>
      </c>
      <c r="C264" s="36" t="s">
        <v>547</v>
      </c>
      <c r="D264" s="36" t="s">
        <v>679</v>
      </c>
      <c r="E264" s="36" t="s">
        <v>680</v>
      </c>
      <c r="F264" s="36" t="s">
        <v>681</v>
      </c>
      <c r="G264" s="36" t="s">
        <v>682</v>
      </c>
      <c r="H264" s="37" t="s">
        <v>80</v>
      </c>
      <c r="I264" s="37" t="s">
        <v>81</v>
      </c>
      <c r="J264" s="37" t="s">
        <v>82</v>
      </c>
      <c r="K264" s="37" t="s">
        <v>104</v>
      </c>
      <c r="L264" s="36" t="s">
        <v>90</v>
      </c>
      <c r="M264" s="34">
        <v>233.85</v>
      </c>
      <c r="N264" s="34">
        <v>40.869999999999997</v>
      </c>
      <c r="O264" s="34">
        <v>192.98</v>
      </c>
      <c r="P264" s="34">
        <v>102.91</v>
      </c>
      <c r="Q264" s="34">
        <v>15.99</v>
      </c>
      <c r="R264" s="34">
        <v>14.25</v>
      </c>
      <c r="S264" s="34">
        <v>14.25</v>
      </c>
      <c r="T264" s="34">
        <v>10.85</v>
      </c>
      <c r="U264" s="34">
        <v>58</v>
      </c>
      <c r="V264" s="34">
        <v>12.44</v>
      </c>
      <c r="W264" s="34">
        <v>2.33</v>
      </c>
      <c r="X264" s="34">
        <v>0.21</v>
      </c>
      <c r="Y264" s="35">
        <v>15.437900000000001</v>
      </c>
      <c r="Z264" s="35">
        <v>18.7072</v>
      </c>
      <c r="AA264" s="35">
        <v>35.079099999999997</v>
      </c>
    </row>
    <row r="265" spans="1:27" ht="15.75" hidden="1" customHeight="1" x14ac:dyDescent="0.2">
      <c r="A265" s="2"/>
      <c r="B265" s="31">
        <v>260</v>
      </c>
      <c r="C265" s="36" t="s">
        <v>547</v>
      </c>
      <c r="D265" s="36" t="s">
        <v>663</v>
      </c>
      <c r="E265" s="36" t="s">
        <v>664</v>
      </c>
      <c r="F265" s="36" t="s">
        <v>683</v>
      </c>
      <c r="G265" s="36" t="s">
        <v>684</v>
      </c>
      <c r="H265" s="37" t="s">
        <v>80</v>
      </c>
      <c r="I265" s="37" t="s">
        <v>81</v>
      </c>
      <c r="J265" s="37" t="s">
        <v>82</v>
      </c>
      <c r="K265" s="37" t="s">
        <v>87</v>
      </c>
      <c r="L265" s="36" t="s">
        <v>84</v>
      </c>
      <c r="M265" s="34">
        <v>265.29000000000002</v>
      </c>
      <c r="N265" s="34">
        <v>147.63999999999999</v>
      </c>
      <c r="O265" s="34">
        <v>117.65</v>
      </c>
      <c r="P265" s="34">
        <v>504.36</v>
      </c>
      <c r="Q265" s="34">
        <v>0.57999999999999996</v>
      </c>
      <c r="R265" s="34">
        <v>0.14000000000000001</v>
      </c>
      <c r="S265" s="34">
        <v>0.14000000000000001</v>
      </c>
      <c r="T265" s="34">
        <v>-3.36</v>
      </c>
      <c r="U265" s="34">
        <v>37.35</v>
      </c>
      <c r="V265" s="34">
        <v>-27.42</v>
      </c>
      <c r="W265" s="34">
        <v>2.46</v>
      </c>
      <c r="X265" s="34">
        <v>1.25</v>
      </c>
      <c r="Y265" s="35">
        <v>-3.9836999999999998</v>
      </c>
      <c r="Z265" s="35">
        <v>-8.9829000000000008</v>
      </c>
      <c r="AA265" s="35">
        <v>-2.0954000000000002</v>
      </c>
    </row>
    <row r="266" spans="1:27" ht="15.75" hidden="1" customHeight="1" x14ac:dyDescent="0.2">
      <c r="A266" s="2"/>
      <c r="B266" s="31">
        <v>261</v>
      </c>
      <c r="C266" s="36" t="s">
        <v>547</v>
      </c>
      <c r="D266" s="36" t="s">
        <v>663</v>
      </c>
      <c r="E266" s="36" t="s">
        <v>664</v>
      </c>
      <c r="F266" s="36" t="s">
        <v>685</v>
      </c>
      <c r="G266" s="36" t="s">
        <v>686</v>
      </c>
      <c r="H266" s="37" t="s">
        <v>80</v>
      </c>
      <c r="I266" s="37" t="s">
        <v>81</v>
      </c>
      <c r="J266" s="37" t="s">
        <v>82</v>
      </c>
      <c r="K266" s="37" t="s">
        <v>87</v>
      </c>
      <c r="L266" s="36" t="s">
        <v>84</v>
      </c>
      <c r="M266" s="34">
        <v>556.85</v>
      </c>
      <c r="N266" s="34">
        <v>253.88</v>
      </c>
      <c r="O266" s="34">
        <v>302.95999999999998</v>
      </c>
      <c r="P266" s="34">
        <v>985.27</v>
      </c>
      <c r="Q266" s="34">
        <v>8.64</v>
      </c>
      <c r="R266" s="34">
        <v>5.27</v>
      </c>
      <c r="S266" s="34">
        <v>7.11</v>
      </c>
      <c r="T266" s="34">
        <v>8.64</v>
      </c>
      <c r="U266" s="34">
        <v>378.98</v>
      </c>
      <c r="V266" s="34">
        <v>100.75</v>
      </c>
      <c r="W266" s="34">
        <v>2.2999999999999998</v>
      </c>
      <c r="X266" s="34">
        <v>0.84</v>
      </c>
      <c r="Y266" s="35">
        <v>1.2397</v>
      </c>
      <c r="Z266" s="35">
        <v>2.2785000000000002</v>
      </c>
      <c r="AA266" s="35">
        <v>0.7006</v>
      </c>
    </row>
    <row r="267" spans="1:27" ht="15.75" hidden="1" customHeight="1" x14ac:dyDescent="0.2">
      <c r="A267" s="2"/>
      <c r="B267" s="31">
        <v>262</v>
      </c>
      <c r="C267" s="36" t="s">
        <v>547</v>
      </c>
      <c r="D267" s="36" t="s">
        <v>679</v>
      </c>
      <c r="E267" s="36" t="s">
        <v>680</v>
      </c>
      <c r="F267" s="36" t="s">
        <v>687</v>
      </c>
      <c r="G267" s="36" t="s">
        <v>688</v>
      </c>
      <c r="H267" s="37" t="s">
        <v>80</v>
      </c>
      <c r="I267" s="37" t="s">
        <v>81</v>
      </c>
      <c r="J267" s="37" t="s">
        <v>82</v>
      </c>
      <c r="K267" s="37" t="s">
        <v>87</v>
      </c>
      <c r="L267" s="36" t="s">
        <v>84</v>
      </c>
      <c r="M267" s="34">
        <v>381.53</v>
      </c>
      <c r="N267" s="34">
        <v>213.76</v>
      </c>
      <c r="O267" s="34">
        <v>167.77</v>
      </c>
      <c r="P267" s="34">
        <v>134.71</v>
      </c>
      <c r="Q267" s="34">
        <v>0.34</v>
      </c>
      <c r="R267" s="34">
        <v>0.47</v>
      </c>
      <c r="S267" s="34">
        <v>0.47</v>
      </c>
      <c r="T267" s="34">
        <v>1.64</v>
      </c>
      <c r="U267" s="34">
        <v>285.32</v>
      </c>
      <c r="V267" s="34">
        <v>1014.91</v>
      </c>
      <c r="W267" s="34">
        <v>5.82</v>
      </c>
      <c r="X267" s="34">
        <v>1.27</v>
      </c>
      <c r="Y267" s="35">
        <v>0.25209999999999999</v>
      </c>
      <c r="Z267" s="35">
        <v>0.57330000000000003</v>
      </c>
      <c r="AA267" s="35">
        <v>0.71389999999999998</v>
      </c>
    </row>
    <row r="268" spans="1:27" ht="15.75" hidden="1" customHeight="1" x14ac:dyDescent="0.2">
      <c r="A268" s="2"/>
      <c r="B268" s="31">
        <v>263</v>
      </c>
      <c r="C268" s="36" t="s">
        <v>547</v>
      </c>
      <c r="D268" s="36" t="s">
        <v>679</v>
      </c>
      <c r="E268" s="36" t="s">
        <v>680</v>
      </c>
      <c r="F268" s="36" t="s">
        <v>689</v>
      </c>
      <c r="G268" s="36" t="s">
        <v>690</v>
      </c>
      <c r="H268" s="37" t="s">
        <v>95</v>
      </c>
      <c r="I268" s="37" t="s">
        <v>691</v>
      </c>
      <c r="J268" s="37" t="s">
        <v>82</v>
      </c>
      <c r="K268" s="37" t="s">
        <v>87</v>
      </c>
      <c r="L268" s="36" t="s">
        <v>84</v>
      </c>
      <c r="M268" s="34">
        <v>124.89</v>
      </c>
      <c r="N268" s="34">
        <v>17.78</v>
      </c>
      <c r="O268" s="34">
        <v>107.11</v>
      </c>
      <c r="P268" s="34">
        <v>19.5</v>
      </c>
      <c r="Q268" s="34">
        <v>-0.36</v>
      </c>
      <c r="R268" s="34">
        <v>-0.82</v>
      </c>
      <c r="S268" s="34">
        <v>-1.74</v>
      </c>
      <c r="T268" s="34">
        <v>-2.75</v>
      </c>
      <c r="U268" s="34">
        <v>89.26</v>
      </c>
      <c r="V268" s="34">
        <v>-18.16</v>
      </c>
      <c r="W268" s="34">
        <v>0.56000000000000005</v>
      </c>
      <c r="X268" s="34">
        <v>0.17</v>
      </c>
      <c r="Y268" s="35">
        <v>-2.6459000000000001</v>
      </c>
      <c r="Z268" s="35">
        <v>-3.0851000000000002</v>
      </c>
      <c r="AA268" s="35">
        <v>-16.944600000000001</v>
      </c>
    </row>
    <row r="269" spans="1:27" ht="15.75" hidden="1" customHeight="1" x14ac:dyDescent="0.2">
      <c r="A269" s="2"/>
      <c r="B269" s="31">
        <v>264</v>
      </c>
      <c r="C269" s="36" t="s">
        <v>547</v>
      </c>
      <c r="D269" s="36" t="s">
        <v>639</v>
      </c>
      <c r="E269" s="36" t="s">
        <v>640</v>
      </c>
      <c r="F269" s="36" t="s">
        <v>692</v>
      </c>
      <c r="G269" s="36" t="s">
        <v>693</v>
      </c>
      <c r="H269" s="37" t="s">
        <v>80</v>
      </c>
      <c r="I269" s="37" t="s">
        <v>81</v>
      </c>
      <c r="J269" s="37" t="s">
        <v>82</v>
      </c>
      <c r="K269" s="37" t="s">
        <v>87</v>
      </c>
      <c r="L269" s="36" t="s">
        <v>84</v>
      </c>
      <c r="M269" s="34">
        <v>280.60000000000002</v>
      </c>
      <c r="N269" s="34">
        <v>94.18</v>
      </c>
      <c r="O269" s="34">
        <v>186.43</v>
      </c>
      <c r="P269" s="34">
        <v>156.29</v>
      </c>
      <c r="Q269" s="34">
        <v>0.4</v>
      </c>
      <c r="R269" s="34">
        <v>0.33</v>
      </c>
      <c r="S269" s="34">
        <v>0.33</v>
      </c>
      <c r="T269" s="34">
        <v>0.74</v>
      </c>
      <c r="U269" s="34">
        <v>60.63</v>
      </c>
      <c r="V269" s="34">
        <v>212.21</v>
      </c>
      <c r="W269" s="34">
        <v>2.59</v>
      </c>
      <c r="X269" s="34">
        <v>0.51</v>
      </c>
      <c r="Y269" s="35">
        <v>0.81079999999999997</v>
      </c>
      <c r="Z269" s="35">
        <v>1.2202999999999999</v>
      </c>
      <c r="AA269" s="35">
        <v>1.4556</v>
      </c>
    </row>
    <row r="270" spans="1:27" ht="15.75" hidden="1" customHeight="1" x14ac:dyDescent="0.2">
      <c r="A270" s="2"/>
      <c r="B270" s="31">
        <v>265</v>
      </c>
      <c r="C270" s="36" t="s">
        <v>547</v>
      </c>
      <c r="D270" s="36" t="s">
        <v>694</v>
      </c>
      <c r="E270" s="36" t="s">
        <v>695</v>
      </c>
      <c r="F270" s="36" t="s">
        <v>696</v>
      </c>
      <c r="G270" s="36" t="s">
        <v>697</v>
      </c>
      <c r="H270" s="37" t="s">
        <v>80</v>
      </c>
      <c r="I270" s="37" t="s">
        <v>81</v>
      </c>
      <c r="J270" s="37" t="s">
        <v>82</v>
      </c>
      <c r="K270" s="37" t="s">
        <v>87</v>
      </c>
      <c r="L270" s="36" t="s">
        <v>84</v>
      </c>
      <c r="M270" s="34">
        <v>487794</v>
      </c>
      <c r="N270" s="34">
        <v>209040</v>
      </c>
      <c r="O270" s="34">
        <v>278754</v>
      </c>
      <c r="P270" s="34">
        <v>162857</v>
      </c>
      <c r="Q270" s="34">
        <v>24007</v>
      </c>
      <c r="R270" s="34">
        <v>19481</v>
      </c>
      <c r="S270" s="34">
        <v>15515</v>
      </c>
      <c r="T270" s="34">
        <v>832.68</v>
      </c>
      <c r="U270" s="34">
        <v>6885.61</v>
      </c>
      <c r="V270" s="34">
        <v>6.94</v>
      </c>
      <c r="W270" s="34">
        <v>0.84</v>
      </c>
      <c r="X270" s="34">
        <v>0.75</v>
      </c>
      <c r="Y270" s="35">
        <v>6.9107000000000003</v>
      </c>
      <c r="Z270" s="35">
        <v>12.0931</v>
      </c>
      <c r="AA270" s="35">
        <v>20.699100000000001</v>
      </c>
    </row>
    <row r="271" spans="1:27" ht="15.75" hidden="1" customHeight="1" x14ac:dyDescent="0.2">
      <c r="A271" s="2"/>
      <c r="B271" s="31">
        <v>266</v>
      </c>
      <c r="C271" s="36" t="s">
        <v>547</v>
      </c>
      <c r="D271" s="36" t="s">
        <v>694</v>
      </c>
      <c r="E271" s="36" t="s">
        <v>695</v>
      </c>
      <c r="F271" s="36" t="s">
        <v>698</v>
      </c>
      <c r="G271" s="36" t="s">
        <v>699</v>
      </c>
      <c r="H271" s="37" t="s">
        <v>95</v>
      </c>
      <c r="I271" s="37" t="s">
        <v>81</v>
      </c>
      <c r="J271" s="37" t="s">
        <v>82</v>
      </c>
      <c r="K271" s="37" t="s">
        <v>87</v>
      </c>
      <c r="L271" s="36" t="s">
        <v>84</v>
      </c>
      <c r="M271" s="34">
        <v>76441.490000000005</v>
      </c>
      <c r="N271" s="34">
        <v>33682.61</v>
      </c>
      <c r="O271" s="34">
        <v>42758.879999999997</v>
      </c>
      <c r="P271" s="34">
        <v>7610.6</v>
      </c>
      <c r="Q271" s="34">
        <v>735.25</v>
      </c>
      <c r="R271" s="34">
        <v>690.49</v>
      </c>
      <c r="S271" s="34">
        <v>192.88</v>
      </c>
      <c r="T271" s="34">
        <v>1.38</v>
      </c>
      <c r="U271" s="34">
        <v>496.8</v>
      </c>
      <c r="V271" s="34">
        <v>26.85</v>
      </c>
      <c r="W271" s="34">
        <v>7.0000000000000007E-2</v>
      </c>
      <c r="X271" s="34">
        <v>0.79</v>
      </c>
      <c r="Y271" s="35">
        <v>0.1552</v>
      </c>
      <c r="Z271" s="35">
        <v>0.27739999999999998</v>
      </c>
      <c r="AA271" s="35">
        <v>1.5585</v>
      </c>
    </row>
    <row r="272" spans="1:27" ht="15.75" hidden="1" customHeight="1" x14ac:dyDescent="0.2">
      <c r="A272" s="2"/>
      <c r="B272" s="31">
        <v>267</v>
      </c>
      <c r="C272" s="36" t="s">
        <v>547</v>
      </c>
      <c r="D272" s="36" t="s">
        <v>694</v>
      </c>
      <c r="E272" s="36" t="s">
        <v>695</v>
      </c>
      <c r="F272" s="36" t="s">
        <v>700</v>
      </c>
      <c r="G272" s="36" t="s">
        <v>701</v>
      </c>
      <c r="H272" s="37" t="s">
        <v>80</v>
      </c>
      <c r="I272" s="37" t="s">
        <v>81</v>
      </c>
      <c r="J272" s="37" t="s">
        <v>82</v>
      </c>
      <c r="K272" s="37" t="s">
        <v>87</v>
      </c>
      <c r="L272" s="36" t="s">
        <v>84</v>
      </c>
      <c r="M272" s="34">
        <v>6894.06</v>
      </c>
      <c r="N272" s="34">
        <v>2664.08</v>
      </c>
      <c r="O272" s="34">
        <v>4229.99</v>
      </c>
      <c r="P272" s="34">
        <v>1777.34</v>
      </c>
      <c r="Q272" s="34">
        <v>72.09</v>
      </c>
      <c r="R272" s="34">
        <v>61.88</v>
      </c>
      <c r="S272" s="34">
        <v>55.87</v>
      </c>
      <c r="T272" s="34">
        <v>1.4</v>
      </c>
      <c r="U272" s="34">
        <v>24.15</v>
      </c>
      <c r="V272" s="34">
        <v>39.15</v>
      </c>
      <c r="W272" s="34">
        <v>2.2799999999999998</v>
      </c>
      <c r="X272" s="34">
        <v>0.63</v>
      </c>
      <c r="Y272" s="35">
        <v>3.5339</v>
      </c>
      <c r="Z272" s="35">
        <v>5.7595999999999998</v>
      </c>
      <c r="AA272" s="35">
        <v>13.707599999999999</v>
      </c>
    </row>
    <row r="273" spans="1:27" ht="15.75" hidden="1" customHeight="1" x14ac:dyDescent="0.2">
      <c r="A273" s="2"/>
      <c r="B273" s="31">
        <v>268</v>
      </c>
      <c r="C273" s="36" t="s">
        <v>547</v>
      </c>
      <c r="D273" s="36" t="s">
        <v>694</v>
      </c>
      <c r="E273" s="36" t="s">
        <v>695</v>
      </c>
      <c r="F273" s="36" t="s">
        <v>702</v>
      </c>
      <c r="G273" s="36" t="s">
        <v>703</v>
      </c>
      <c r="H273" s="37" t="s">
        <v>80</v>
      </c>
      <c r="I273" s="37" t="s">
        <v>81</v>
      </c>
      <c r="J273" s="37" t="s">
        <v>82</v>
      </c>
      <c r="K273" s="37" t="s">
        <v>87</v>
      </c>
      <c r="L273" s="36" t="s">
        <v>84</v>
      </c>
      <c r="M273" s="34">
        <v>89.15</v>
      </c>
      <c r="N273" s="34">
        <v>10.47</v>
      </c>
      <c r="O273" s="34">
        <v>78.680000000000007</v>
      </c>
      <c r="P273" s="34">
        <v>10.33</v>
      </c>
      <c r="Q273" s="34">
        <v>-6.21</v>
      </c>
      <c r="R273" s="34">
        <v>-6.18</v>
      </c>
      <c r="S273" s="34">
        <v>-5.54</v>
      </c>
      <c r="T273" s="34">
        <v>-3.94</v>
      </c>
      <c r="U273" s="34">
        <v>19.93</v>
      </c>
      <c r="V273" s="34">
        <v>-29.96</v>
      </c>
      <c r="W273" s="34">
        <v>5.92</v>
      </c>
      <c r="X273" s="34">
        <v>0.13</v>
      </c>
      <c r="Y273" s="35">
        <v>-17.439800000000002</v>
      </c>
      <c r="Z273" s="35">
        <v>-19.761199999999999</v>
      </c>
      <c r="AA273" s="35">
        <v>-150.48519999999999</v>
      </c>
    </row>
    <row r="274" spans="1:27" ht="15.75" hidden="1" customHeight="1" x14ac:dyDescent="0.2">
      <c r="A274" s="2"/>
      <c r="B274" s="31">
        <v>269</v>
      </c>
      <c r="C274" s="36" t="s">
        <v>547</v>
      </c>
      <c r="D274" s="36" t="s">
        <v>694</v>
      </c>
      <c r="E274" s="36" t="s">
        <v>695</v>
      </c>
      <c r="F274" s="36" t="s">
        <v>704</v>
      </c>
      <c r="G274" s="36" t="s">
        <v>705</v>
      </c>
      <c r="H274" s="37" t="s">
        <v>95</v>
      </c>
      <c r="I274" s="37" t="s">
        <v>338</v>
      </c>
      <c r="J274" s="37" t="s">
        <v>82</v>
      </c>
      <c r="K274" s="37" t="s">
        <v>87</v>
      </c>
      <c r="L274" s="36" t="s">
        <v>90</v>
      </c>
      <c r="M274" s="34">
        <v>3337.78</v>
      </c>
      <c r="N274" s="34">
        <v>2158.09</v>
      </c>
      <c r="O274" s="34">
        <v>1179.68</v>
      </c>
      <c r="P274" s="34">
        <v>1160.3900000000001</v>
      </c>
      <c r="Q274" s="34">
        <v>-80.13</v>
      </c>
      <c r="R274" s="34">
        <v>-80.319999999999993</v>
      </c>
      <c r="S274" s="34">
        <v>-83.33</v>
      </c>
      <c r="T274" s="34">
        <v>-62.83</v>
      </c>
      <c r="U274" s="34">
        <v>469.86</v>
      </c>
      <c r="V274" s="34">
        <v>-0.8</v>
      </c>
      <c r="W274" s="34">
        <v>0.11</v>
      </c>
      <c r="X274" s="34">
        <v>1.83</v>
      </c>
      <c r="Y274" s="35">
        <v>-4.7263999999999999</v>
      </c>
      <c r="Z274" s="35">
        <v>-13.3729</v>
      </c>
      <c r="AA274" s="35">
        <v>-13.5952</v>
      </c>
    </row>
    <row r="275" spans="1:27" ht="15.75" hidden="1" customHeight="1" x14ac:dyDescent="0.2">
      <c r="A275" s="2"/>
      <c r="B275" s="31">
        <v>270</v>
      </c>
      <c r="C275" s="36" t="s">
        <v>706</v>
      </c>
      <c r="D275" s="36" t="s">
        <v>707</v>
      </c>
      <c r="E275" s="36" t="s">
        <v>708</v>
      </c>
      <c r="F275" s="36" t="s">
        <v>709</v>
      </c>
      <c r="G275" s="36" t="s">
        <v>710</v>
      </c>
      <c r="H275" s="37" t="s">
        <v>95</v>
      </c>
      <c r="I275" s="37" t="s">
        <v>81</v>
      </c>
      <c r="J275" s="37" t="s">
        <v>82</v>
      </c>
      <c r="K275" s="37" t="s">
        <v>87</v>
      </c>
      <c r="L275" s="36" t="s">
        <v>84</v>
      </c>
      <c r="M275" s="34">
        <v>39491.800000000003</v>
      </c>
      <c r="N275" s="34">
        <v>21353.35</v>
      </c>
      <c r="O275" s="34">
        <v>18138.439999999999</v>
      </c>
      <c r="P275" s="34">
        <v>63812.73</v>
      </c>
      <c r="Q275" s="34">
        <v>2392.0700000000002</v>
      </c>
      <c r="R275" s="34">
        <v>1956.13</v>
      </c>
      <c r="S275" s="34">
        <v>1883.81</v>
      </c>
      <c r="T275" s="34">
        <v>77.97</v>
      </c>
      <c r="U275" s="34">
        <v>436.81</v>
      </c>
      <c r="V275" s="34">
        <v>24.75</v>
      </c>
      <c r="W275" s="34">
        <v>4.42</v>
      </c>
      <c r="X275" s="34">
        <v>1.18</v>
      </c>
      <c r="Y275" s="35">
        <v>8.1981999999999999</v>
      </c>
      <c r="Z275" s="35">
        <v>17.849399999999999</v>
      </c>
      <c r="AA275" s="35">
        <v>5.0735999999999999</v>
      </c>
    </row>
    <row r="276" spans="1:27" ht="15.75" hidden="1" customHeight="1" x14ac:dyDescent="0.2">
      <c r="A276" s="2"/>
      <c r="B276" s="31">
        <v>271</v>
      </c>
      <c r="C276" s="36" t="s">
        <v>706</v>
      </c>
      <c r="D276" s="36" t="s">
        <v>711</v>
      </c>
      <c r="E276" s="36" t="s">
        <v>712</v>
      </c>
      <c r="F276" s="36" t="s">
        <v>713</v>
      </c>
      <c r="G276" s="36" t="s">
        <v>714</v>
      </c>
      <c r="H276" s="37" t="s">
        <v>80</v>
      </c>
      <c r="I276" s="37" t="s">
        <v>81</v>
      </c>
      <c r="J276" s="37" t="s">
        <v>82</v>
      </c>
      <c r="K276" s="37" t="s">
        <v>87</v>
      </c>
      <c r="L276" s="36" t="s">
        <v>84</v>
      </c>
      <c r="M276" s="34">
        <v>420.64</v>
      </c>
      <c r="N276" s="34">
        <v>229.6</v>
      </c>
      <c r="O276" s="34">
        <v>191.04</v>
      </c>
      <c r="P276" s="34">
        <v>1436.51</v>
      </c>
      <c r="Q276" s="34">
        <v>28.86</v>
      </c>
      <c r="R276" s="34">
        <v>21.66</v>
      </c>
      <c r="S276" s="34">
        <v>21.66</v>
      </c>
      <c r="T276" s="34">
        <v>39.380000000000003</v>
      </c>
      <c r="U276" s="34">
        <v>189.13</v>
      </c>
      <c r="V276" s="34">
        <v>35.56</v>
      </c>
      <c r="W276" s="34">
        <v>7.4</v>
      </c>
      <c r="X276" s="34">
        <v>1.2</v>
      </c>
      <c r="Y276" s="35">
        <v>9.3607999999999993</v>
      </c>
      <c r="Z276" s="35">
        <v>20.6111</v>
      </c>
      <c r="AA276" s="35">
        <v>2.7410000000000001</v>
      </c>
    </row>
    <row r="277" spans="1:27" ht="15.75" hidden="1" customHeight="1" x14ac:dyDescent="0.2">
      <c r="A277" s="2"/>
      <c r="B277" s="31">
        <v>272</v>
      </c>
      <c r="C277" s="36" t="s">
        <v>706</v>
      </c>
      <c r="D277" s="36" t="s">
        <v>715</v>
      </c>
      <c r="E277" s="36" t="s">
        <v>716</v>
      </c>
      <c r="F277" s="36" t="s">
        <v>717</v>
      </c>
      <c r="G277" s="36" t="s">
        <v>718</v>
      </c>
      <c r="H277" s="37" t="s">
        <v>80</v>
      </c>
      <c r="I277" s="37" t="s">
        <v>81</v>
      </c>
      <c r="J277" s="37" t="s">
        <v>82</v>
      </c>
      <c r="K277" s="37" t="s">
        <v>87</v>
      </c>
      <c r="L277" s="36" t="s">
        <v>84</v>
      </c>
      <c r="M277" s="34">
        <v>942.53</v>
      </c>
      <c r="N277" s="34">
        <v>849.62</v>
      </c>
      <c r="O277" s="34">
        <v>92.91</v>
      </c>
      <c r="P277" s="34">
        <v>1336.94</v>
      </c>
      <c r="Q277" s="34">
        <v>39.71</v>
      </c>
      <c r="R277" s="34">
        <v>29.71</v>
      </c>
      <c r="S277" s="34">
        <v>29.71</v>
      </c>
      <c r="T277" s="34">
        <v>24.09</v>
      </c>
      <c r="U277" s="34">
        <v>38.380000000000003</v>
      </c>
      <c r="V277" s="34">
        <v>41.93</v>
      </c>
      <c r="W277" s="34">
        <v>26.31</v>
      </c>
      <c r="X277" s="34">
        <v>9.14</v>
      </c>
      <c r="Y277" s="35">
        <v>6.1867999999999999</v>
      </c>
      <c r="Z277" s="35">
        <v>62.762</v>
      </c>
      <c r="AA277" s="35">
        <v>4.3616000000000001</v>
      </c>
    </row>
    <row r="278" spans="1:27" ht="15.75" hidden="1" customHeight="1" x14ac:dyDescent="0.2">
      <c r="A278" s="2"/>
      <c r="B278" s="31">
        <v>273</v>
      </c>
      <c r="C278" s="36" t="s">
        <v>706</v>
      </c>
      <c r="D278" s="36" t="s">
        <v>711</v>
      </c>
      <c r="E278" s="36" t="s">
        <v>712</v>
      </c>
      <c r="F278" s="36" t="s">
        <v>719</v>
      </c>
      <c r="G278" s="36" t="s">
        <v>720</v>
      </c>
      <c r="H278" s="37" t="s">
        <v>80</v>
      </c>
      <c r="I278" s="37" t="s">
        <v>81</v>
      </c>
      <c r="J278" s="37" t="s">
        <v>82</v>
      </c>
      <c r="K278" s="37" t="s">
        <v>87</v>
      </c>
      <c r="L278" s="36" t="s">
        <v>84</v>
      </c>
      <c r="M278" s="34">
        <v>7982.85</v>
      </c>
      <c r="N278" s="34">
        <v>1708.85</v>
      </c>
      <c r="O278" s="34">
        <v>6274</v>
      </c>
      <c r="P278" s="34">
        <v>5160.83</v>
      </c>
      <c r="Q278" s="34">
        <v>173.39</v>
      </c>
      <c r="R278" s="34">
        <v>135.83000000000001</v>
      </c>
      <c r="S278" s="34">
        <v>135.08000000000001</v>
      </c>
      <c r="T278" s="34">
        <v>39.409999999999997</v>
      </c>
      <c r="U278" s="34">
        <v>662.63</v>
      </c>
      <c r="V278" s="34">
        <v>14.59</v>
      </c>
      <c r="W278" s="34">
        <v>0.87</v>
      </c>
      <c r="X278" s="34">
        <v>0.27</v>
      </c>
      <c r="Y278" s="35">
        <v>4.6738999999999997</v>
      </c>
      <c r="Z278" s="35">
        <v>5.9469000000000003</v>
      </c>
      <c r="AA278" s="35">
        <v>7.2295999999999996</v>
      </c>
    </row>
    <row r="279" spans="1:27" ht="15.75" hidden="1" customHeight="1" x14ac:dyDescent="0.2">
      <c r="A279" s="2"/>
      <c r="B279" s="31">
        <v>274</v>
      </c>
      <c r="C279" s="36" t="s">
        <v>706</v>
      </c>
      <c r="D279" s="36" t="s">
        <v>715</v>
      </c>
      <c r="E279" s="36" t="s">
        <v>716</v>
      </c>
      <c r="F279" s="36" t="s">
        <v>721</v>
      </c>
      <c r="G279" s="36" t="s">
        <v>722</v>
      </c>
      <c r="H279" s="37" t="s">
        <v>80</v>
      </c>
      <c r="I279" s="37" t="s">
        <v>81</v>
      </c>
      <c r="J279" s="37" t="s">
        <v>82</v>
      </c>
      <c r="K279" s="37" t="s">
        <v>87</v>
      </c>
      <c r="L279" s="36" t="s">
        <v>84</v>
      </c>
      <c r="M279" s="34">
        <v>12238.64</v>
      </c>
      <c r="N279" s="34">
        <v>4753.1899999999996</v>
      </c>
      <c r="O279" s="34">
        <v>7485.46</v>
      </c>
      <c r="P279" s="34">
        <v>16056.77</v>
      </c>
      <c r="Q279" s="34">
        <v>506.98</v>
      </c>
      <c r="R279" s="34">
        <v>392.94</v>
      </c>
      <c r="S279" s="34">
        <v>393.25</v>
      </c>
      <c r="T279" s="34">
        <v>283.74</v>
      </c>
      <c r="U279" s="34">
        <v>2763.55</v>
      </c>
      <c r="V279" s="34">
        <v>8.11</v>
      </c>
      <c r="W279" s="34">
        <v>0.83</v>
      </c>
      <c r="X279" s="34">
        <v>0.63</v>
      </c>
      <c r="Y279" s="35">
        <v>6.2796000000000003</v>
      </c>
      <c r="Z279" s="35">
        <v>10.267099999999999</v>
      </c>
      <c r="AA279" s="35">
        <v>4.7864000000000004</v>
      </c>
    </row>
    <row r="280" spans="1:27" ht="15.75" hidden="1" customHeight="1" x14ac:dyDescent="0.2">
      <c r="A280" s="2"/>
      <c r="B280" s="31">
        <v>275</v>
      </c>
      <c r="C280" s="36" t="s">
        <v>706</v>
      </c>
      <c r="D280" s="36" t="s">
        <v>707</v>
      </c>
      <c r="E280" s="36" t="s">
        <v>708</v>
      </c>
      <c r="F280" s="36" t="s">
        <v>723</v>
      </c>
      <c r="G280" s="36" t="s">
        <v>724</v>
      </c>
      <c r="H280" s="37" t="s">
        <v>80</v>
      </c>
      <c r="I280" s="37" t="s">
        <v>81</v>
      </c>
      <c r="J280" s="37" t="s">
        <v>82</v>
      </c>
      <c r="K280" s="37" t="s">
        <v>87</v>
      </c>
      <c r="L280" s="36" t="s">
        <v>84</v>
      </c>
      <c r="M280" s="34">
        <v>4496.99</v>
      </c>
      <c r="N280" s="34">
        <v>2926.79</v>
      </c>
      <c r="O280" s="34">
        <v>1570.2</v>
      </c>
      <c r="P280" s="34">
        <v>2354.48</v>
      </c>
      <c r="Q280" s="34">
        <v>87.02</v>
      </c>
      <c r="R280" s="34">
        <v>75.180000000000007</v>
      </c>
      <c r="S280" s="34">
        <v>75.180000000000007</v>
      </c>
      <c r="T280" s="34">
        <v>-22.13</v>
      </c>
      <c r="U280" s="34">
        <v>375.32</v>
      </c>
      <c r="V280" s="34">
        <v>-35.03</v>
      </c>
      <c r="W280" s="34">
        <v>2.06</v>
      </c>
      <c r="X280" s="34">
        <v>1.86</v>
      </c>
      <c r="Y280" s="35">
        <v>-2.0585</v>
      </c>
      <c r="Z280" s="35">
        <v>-5.8955000000000002</v>
      </c>
      <c r="AA280" s="35">
        <v>-3.9317000000000002</v>
      </c>
    </row>
    <row r="281" spans="1:27" ht="15.75" hidden="1" customHeight="1" x14ac:dyDescent="0.2">
      <c r="A281" s="2"/>
      <c r="B281" s="31">
        <v>276</v>
      </c>
      <c r="C281" s="36" t="s">
        <v>706</v>
      </c>
      <c r="D281" s="36" t="s">
        <v>711</v>
      </c>
      <c r="E281" s="36" t="s">
        <v>712</v>
      </c>
      <c r="F281" s="36" t="s">
        <v>725</v>
      </c>
      <c r="G281" s="36" t="s">
        <v>726</v>
      </c>
      <c r="H281" s="37" t="s">
        <v>80</v>
      </c>
      <c r="I281" s="37" t="s">
        <v>81</v>
      </c>
      <c r="J281" s="37" t="s">
        <v>82</v>
      </c>
      <c r="K281" s="37" t="s">
        <v>87</v>
      </c>
      <c r="L281" s="36" t="s">
        <v>84</v>
      </c>
      <c r="M281" s="34">
        <v>307.11</v>
      </c>
      <c r="N281" s="34">
        <v>76.94</v>
      </c>
      <c r="O281" s="34">
        <v>230.17</v>
      </c>
      <c r="P281" s="34">
        <v>194.21</v>
      </c>
      <c r="Q281" s="34">
        <v>35.32</v>
      </c>
      <c r="R281" s="34">
        <v>27.95</v>
      </c>
      <c r="S281" s="34">
        <v>27.95</v>
      </c>
      <c r="T281" s="34">
        <v>72.290000000000006</v>
      </c>
      <c r="U281" s="34">
        <v>287.70999999999998</v>
      </c>
      <c r="V281" s="34">
        <v>8.92</v>
      </c>
      <c r="W281" s="34">
        <v>2.2400000000000002</v>
      </c>
      <c r="X281" s="34">
        <v>0.33</v>
      </c>
      <c r="Y281" s="35">
        <v>18.830200000000001</v>
      </c>
      <c r="Z281" s="35">
        <v>25.125</v>
      </c>
      <c r="AA281" s="35">
        <v>29.776299999999999</v>
      </c>
    </row>
    <row r="282" spans="1:27" ht="15.75" hidden="1" customHeight="1" x14ac:dyDescent="0.2">
      <c r="A282" s="2"/>
      <c r="B282" s="31">
        <v>277</v>
      </c>
      <c r="C282" s="36" t="s">
        <v>706</v>
      </c>
      <c r="D282" s="36" t="s">
        <v>707</v>
      </c>
      <c r="E282" s="36" t="s">
        <v>708</v>
      </c>
      <c r="F282" s="36" t="s">
        <v>727</v>
      </c>
      <c r="G282" s="36" t="s">
        <v>728</v>
      </c>
      <c r="H282" s="37" t="s">
        <v>95</v>
      </c>
      <c r="I282" s="37" t="s">
        <v>81</v>
      </c>
      <c r="J282" s="37" t="s">
        <v>82</v>
      </c>
      <c r="K282" s="37" t="s">
        <v>87</v>
      </c>
      <c r="L282" s="36" t="s">
        <v>84</v>
      </c>
      <c r="M282" s="34">
        <v>213.56</v>
      </c>
      <c r="N282" s="34">
        <v>188.81</v>
      </c>
      <c r="O282" s="34">
        <v>24.75</v>
      </c>
      <c r="P282" s="34">
        <v>138.51</v>
      </c>
      <c r="Q282" s="34">
        <v>-3.63</v>
      </c>
      <c r="R282" s="34">
        <v>-3.62</v>
      </c>
      <c r="S282" s="34">
        <v>-2.08</v>
      </c>
      <c r="T282" s="34">
        <v>-3.32</v>
      </c>
      <c r="U282" s="34">
        <v>6.24</v>
      </c>
      <c r="V282" s="34">
        <v>-69.22</v>
      </c>
      <c r="W282" s="34">
        <v>36.85</v>
      </c>
      <c r="X282" s="34">
        <v>7.63</v>
      </c>
      <c r="Y282" s="35">
        <v>-6.1712999999999996</v>
      </c>
      <c r="Z282" s="35">
        <v>-53.244199999999999</v>
      </c>
      <c r="AA282" s="35">
        <v>-9.5154999999999994</v>
      </c>
    </row>
    <row r="283" spans="1:27" ht="15.75" hidden="1" customHeight="1" x14ac:dyDescent="0.2">
      <c r="A283" s="2"/>
      <c r="B283" s="31">
        <v>278</v>
      </c>
      <c r="C283" s="36" t="s">
        <v>706</v>
      </c>
      <c r="D283" s="36" t="s">
        <v>707</v>
      </c>
      <c r="E283" s="36" t="s">
        <v>708</v>
      </c>
      <c r="F283" s="36" t="s">
        <v>729</v>
      </c>
      <c r="G283" s="36" t="s">
        <v>730</v>
      </c>
      <c r="H283" s="37" t="s">
        <v>80</v>
      </c>
      <c r="I283" s="37" t="s">
        <v>81</v>
      </c>
      <c r="J283" s="37" t="s">
        <v>82</v>
      </c>
      <c r="K283" s="37" t="s">
        <v>87</v>
      </c>
      <c r="L283" s="36" t="s">
        <v>84</v>
      </c>
      <c r="M283" s="34">
        <v>8330.43</v>
      </c>
      <c r="N283" s="34">
        <v>4182.53</v>
      </c>
      <c r="O283" s="34">
        <v>4147.8999999999996</v>
      </c>
      <c r="P283" s="34">
        <v>10370.450000000001</v>
      </c>
      <c r="Q283" s="34">
        <v>442.78</v>
      </c>
      <c r="R283" s="34">
        <v>390.52</v>
      </c>
      <c r="S283" s="34">
        <v>390.52</v>
      </c>
      <c r="T283" s="34">
        <v>18.309999999999999</v>
      </c>
      <c r="U283" s="34">
        <v>124.06</v>
      </c>
      <c r="V283" s="34">
        <v>23.7</v>
      </c>
      <c r="W283" s="34">
        <v>3.5</v>
      </c>
      <c r="X283" s="34">
        <v>1.01</v>
      </c>
      <c r="Y283" s="35">
        <v>7.3493000000000004</v>
      </c>
      <c r="Z283" s="35">
        <v>14.7599</v>
      </c>
      <c r="AA283" s="35">
        <v>5.9036</v>
      </c>
    </row>
    <row r="284" spans="1:27" ht="15.75" hidden="1" customHeight="1" x14ac:dyDescent="0.2">
      <c r="A284" s="2"/>
      <c r="B284" s="31">
        <v>279</v>
      </c>
      <c r="C284" s="36" t="s">
        <v>706</v>
      </c>
      <c r="D284" s="36" t="s">
        <v>707</v>
      </c>
      <c r="E284" s="36" t="s">
        <v>708</v>
      </c>
      <c r="F284" s="36" t="s">
        <v>731</v>
      </c>
      <c r="G284" s="36" t="s">
        <v>732</v>
      </c>
      <c r="H284" s="37" t="s">
        <v>80</v>
      </c>
      <c r="I284" s="37" t="s">
        <v>81</v>
      </c>
      <c r="J284" s="37" t="s">
        <v>82</v>
      </c>
      <c r="K284" s="37" t="s">
        <v>87</v>
      </c>
      <c r="L284" s="36" t="s">
        <v>84</v>
      </c>
      <c r="M284" s="34">
        <v>13600.17</v>
      </c>
      <c r="N284" s="34">
        <v>7986.25</v>
      </c>
      <c r="O284" s="34">
        <v>5613.91</v>
      </c>
      <c r="P284" s="34">
        <v>5689.12</v>
      </c>
      <c r="Q284" s="34">
        <v>-115.76</v>
      </c>
      <c r="R284" s="34">
        <v>-148.03</v>
      </c>
      <c r="S284" s="34">
        <v>-134.57</v>
      </c>
      <c r="T284" s="34">
        <v>-7.81</v>
      </c>
      <c r="U284" s="34">
        <v>357.98</v>
      </c>
      <c r="V284" s="34">
        <v>-30.48</v>
      </c>
      <c r="W284" s="34">
        <v>0.66</v>
      </c>
      <c r="X284" s="34">
        <v>1.42</v>
      </c>
      <c r="Y284" s="35">
        <v>-0.90049999999999997</v>
      </c>
      <c r="Z284" s="35">
        <v>-2.1815000000000002</v>
      </c>
      <c r="AA284" s="35">
        <v>-2.1526999999999998</v>
      </c>
    </row>
    <row r="285" spans="1:27" ht="15.75" hidden="1" customHeight="1" x14ac:dyDescent="0.2">
      <c r="A285" s="2"/>
      <c r="B285" s="31">
        <v>280</v>
      </c>
      <c r="C285" s="36" t="s">
        <v>706</v>
      </c>
      <c r="D285" s="36" t="s">
        <v>707</v>
      </c>
      <c r="E285" s="36" t="s">
        <v>708</v>
      </c>
      <c r="F285" s="36" t="s">
        <v>733</v>
      </c>
      <c r="G285" s="36" t="s">
        <v>734</v>
      </c>
      <c r="H285" s="37" t="s">
        <v>80</v>
      </c>
      <c r="I285" s="37" t="s">
        <v>81</v>
      </c>
      <c r="J285" s="37" t="s">
        <v>82</v>
      </c>
      <c r="K285" s="37" t="s">
        <v>87</v>
      </c>
      <c r="L285" s="36" t="s">
        <v>84</v>
      </c>
      <c r="M285" s="34">
        <v>3283.65</v>
      </c>
      <c r="N285" s="34">
        <v>3190.73</v>
      </c>
      <c r="O285" s="34">
        <v>92.92</v>
      </c>
      <c r="P285" s="34">
        <v>3773.38</v>
      </c>
      <c r="Q285" s="34">
        <v>-54.36</v>
      </c>
      <c r="R285" s="34">
        <v>-58.85</v>
      </c>
      <c r="S285" s="34">
        <v>-58.85</v>
      </c>
      <c r="T285" s="34">
        <v>-9.2200000000000006</v>
      </c>
      <c r="U285" s="34">
        <v>7.17</v>
      </c>
      <c r="V285" s="34">
        <v>-9.2200000000000006</v>
      </c>
      <c r="W285" s="34">
        <v>11.86</v>
      </c>
      <c r="X285" s="34">
        <v>34.340000000000003</v>
      </c>
      <c r="Y285" s="35">
        <v>-3.6423999999999999</v>
      </c>
      <c r="Z285" s="35">
        <v>-128.72300000000001</v>
      </c>
      <c r="AA285" s="35">
        <v>-3.1697000000000002</v>
      </c>
    </row>
    <row r="286" spans="1:27" ht="15.75" hidden="1" customHeight="1" x14ac:dyDescent="0.2">
      <c r="A286" s="2"/>
      <c r="B286" s="31">
        <v>281</v>
      </c>
      <c r="C286" s="36" t="s">
        <v>706</v>
      </c>
      <c r="D286" s="36" t="s">
        <v>711</v>
      </c>
      <c r="E286" s="36" t="s">
        <v>712</v>
      </c>
      <c r="F286" s="36" t="s">
        <v>735</v>
      </c>
      <c r="G286" s="36" t="s">
        <v>736</v>
      </c>
      <c r="H286" s="37" t="s">
        <v>80</v>
      </c>
      <c r="I286" s="37" t="s">
        <v>81</v>
      </c>
      <c r="J286" s="37" t="s">
        <v>82</v>
      </c>
      <c r="K286" s="37" t="s">
        <v>87</v>
      </c>
      <c r="L286" s="36" t="s">
        <v>84</v>
      </c>
      <c r="M286" s="34">
        <v>95.5</v>
      </c>
      <c r="N286" s="34">
        <v>31.11</v>
      </c>
      <c r="O286" s="34">
        <v>64.39</v>
      </c>
      <c r="P286" s="34">
        <v>123.88</v>
      </c>
      <c r="Q286" s="34">
        <v>-1.03</v>
      </c>
      <c r="R286" s="34">
        <v>-1.03</v>
      </c>
      <c r="S286" s="34">
        <v>-1.03</v>
      </c>
      <c r="T286" s="34">
        <v>-2.74</v>
      </c>
      <c r="U286" s="34">
        <v>55.19</v>
      </c>
      <c r="V286" s="34">
        <v>-14.58</v>
      </c>
      <c r="W286" s="34">
        <v>0.72</v>
      </c>
      <c r="X286" s="34">
        <v>0.48</v>
      </c>
      <c r="Y286" s="35">
        <v>-3.3512</v>
      </c>
      <c r="Z286" s="35">
        <v>-4.9701000000000004</v>
      </c>
      <c r="AA286" s="35">
        <v>-2.5834999999999999</v>
      </c>
    </row>
    <row r="287" spans="1:27" ht="15.75" hidden="1" customHeight="1" x14ac:dyDescent="0.2">
      <c r="A287" s="2"/>
      <c r="B287" s="31">
        <v>282</v>
      </c>
      <c r="C287" s="36" t="s">
        <v>706</v>
      </c>
      <c r="D287" s="36" t="s">
        <v>707</v>
      </c>
      <c r="E287" s="36" t="s">
        <v>708</v>
      </c>
      <c r="F287" s="36" t="s">
        <v>737</v>
      </c>
      <c r="G287" s="36" t="s">
        <v>738</v>
      </c>
      <c r="H287" s="37" t="s">
        <v>80</v>
      </c>
      <c r="I287" s="37" t="s">
        <v>81</v>
      </c>
      <c r="J287" s="37" t="s">
        <v>82</v>
      </c>
      <c r="K287" s="37" t="s">
        <v>87</v>
      </c>
      <c r="L287" s="36" t="s">
        <v>90</v>
      </c>
      <c r="M287" s="34">
        <v>1095.32</v>
      </c>
      <c r="N287" s="34">
        <v>809.5</v>
      </c>
      <c r="O287" s="34">
        <v>285.81</v>
      </c>
      <c r="P287" s="34">
        <v>1451.74</v>
      </c>
      <c r="Q287" s="34">
        <v>-36.56</v>
      </c>
      <c r="R287" s="34">
        <v>-36.25</v>
      </c>
      <c r="S287" s="34">
        <v>-35.89</v>
      </c>
      <c r="T287" s="34">
        <v>-43.83</v>
      </c>
      <c r="U287" s="34">
        <v>182.69</v>
      </c>
      <c r="V287" s="34">
        <v>-23.04</v>
      </c>
      <c r="W287" s="34">
        <v>5.53</v>
      </c>
      <c r="X287" s="34">
        <v>2.83</v>
      </c>
      <c r="Y287" s="35">
        <v>-6.2607999999999997</v>
      </c>
      <c r="Z287" s="35">
        <v>-23.992999999999999</v>
      </c>
      <c r="AA287" s="35">
        <v>-4.7237</v>
      </c>
    </row>
    <row r="288" spans="1:27" ht="15.75" hidden="1" customHeight="1" x14ac:dyDescent="0.2">
      <c r="A288" s="2"/>
      <c r="B288" s="31">
        <v>283</v>
      </c>
      <c r="C288" s="36" t="s">
        <v>706</v>
      </c>
      <c r="D288" s="36" t="s">
        <v>715</v>
      </c>
      <c r="E288" s="36" t="s">
        <v>716</v>
      </c>
      <c r="F288" s="36" t="s">
        <v>739</v>
      </c>
      <c r="G288" s="36" t="s">
        <v>740</v>
      </c>
      <c r="H288" s="37" t="s">
        <v>95</v>
      </c>
      <c r="I288" s="37" t="s">
        <v>81</v>
      </c>
      <c r="J288" s="37" t="s">
        <v>82</v>
      </c>
      <c r="K288" s="37" t="s">
        <v>87</v>
      </c>
      <c r="L288" s="36" t="s">
        <v>84</v>
      </c>
      <c r="M288" s="34">
        <v>1886.71</v>
      </c>
      <c r="N288" s="34">
        <v>1590.02</v>
      </c>
      <c r="O288" s="34">
        <v>296.69</v>
      </c>
      <c r="P288" s="34">
        <v>1942.68</v>
      </c>
      <c r="Q288" s="34">
        <v>20.55</v>
      </c>
      <c r="R288" s="34">
        <v>16.739999999999998</v>
      </c>
      <c r="S288" s="34">
        <v>16.75</v>
      </c>
      <c r="T288" s="34">
        <v>14.38</v>
      </c>
      <c r="U288" s="34">
        <v>232.88</v>
      </c>
      <c r="V288" s="34">
        <v>9.52</v>
      </c>
      <c r="W288" s="34">
        <v>0.59</v>
      </c>
      <c r="X288" s="34">
        <v>5.36</v>
      </c>
      <c r="Y288" s="35">
        <v>0.97130000000000005</v>
      </c>
      <c r="Z288" s="35">
        <v>6.1767000000000003</v>
      </c>
      <c r="AA288" s="35">
        <v>0.94330000000000003</v>
      </c>
    </row>
    <row r="289" spans="1:27" ht="15.75" hidden="1" customHeight="1" x14ac:dyDescent="0.2">
      <c r="A289" s="2"/>
      <c r="B289" s="31">
        <v>284</v>
      </c>
      <c r="C289" s="36" t="s">
        <v>706</v>
      </c>
      <c r="D289" s="36" t="s">
        <v>711</v>
      </c>
      <c r="E289" s="36" t="s">
        <v>712</v>
      </c>
      <c r="F289" s="36" t="s">
        <v>741</v>
      </c>
      <c r="G289" s="36" t="s">
        <v>742</v>
      </c>
      <c r="H289" s="37" t="s">
        <v>95</v>
      </c>
      <c r="I289" s="37" t="s">
        <v>81</v>
      </c>
      <c r="J289" s="37" t="s">
        <v>82</v>
      </c>
      <c r="K289" s="37" t="s">
        <v>87</v>
      </c>
      <c r="L289" s="36" t="s">
        <v>84</v>
      </c>
      <c r="M289" s="34">
        <v>184.52</v>
      </c>
      <c r="N289" s="34">
        <v>407.35</v>
      </c>
      <c r="O289" s="34">
        <v>-222.83</v>
      </c>
      <c r="P289" s="34">
        <v>407.46</v>
      </c>
      <c r="Q289" s="34">
        <v>-67.09</v>
      </c>
      <c r="R289" s="34">
        <v>-69.56</v>
      </c>
      <c r="S289" s="34">
        <v>-69.56</v>
      </c>
      <c r="T289" s="34">
        <v>-74.06</v>
      </c>
      <c r="U289" s="34">
        <v>-93.09</v>
      </c>
      <c r="V289" s="34">
        <v>-1.66</v>
      </c>
      <c r="W289" s="34">
        <v>-1.32</v>
      </c>
      <c r="X289" s="34">
        <v>-1.83</v>
      </c>
      <c r="Y289" s="35">
        <v>-96.072500000000005</v>
      </c>
      <c r="Z289" s="35" t="s">
        <v>95</v>
      </c>
      <c r="AA289" s="35">
        <v>-43.507100000000001</v>
      </c>
    </row>
    <row r="290" spans="1:27" ht="15.75" hidden="1" customHeight="1" x14ac:dyDescent="0.2">
      <c r="A290" s="2"/>
      <c r="B290" s="31">
        <v>285</v>
      </c>
      <c r="C290" s="36" t="s">
        <v>706</v>
      </c>
      <c r="D290" s="36" t="s">
        <v>743</v>
      </c>
      <c r="E290" s="36" t="s">
        <v>744</v>
      </c>
      <c r="F290" s="36" t="s">
        <v>745</v>
      </c>
      <c r="G290" s="36" t="s">
        <v>746</v>
      </c>
      <c r="H290" s="37" t="s">
        <v>80</v>
      </c>
      <c r="I290" s="37" t="s">
        <v>81</v>
      </c>
      <c r="J290" s="37" t="s">
        <v>82</v>
      </c>
      <c r="K290" s="37" t="s">
        <v>87</v>
      </c>
      <c r="L290" s="36" t="s">
        <v>84</v>
      </c>
      <c r="M290" s="34">
        <v>30505.38</v>
      </c>
      <c r="N290" s="34">
        <v>6955.79</v>
      </c>
      <c r="O290" s="34">
        <v>23549.59</v>
      </c>
      <c r="P290" s="34">
        <v>14446.79</v>
      </c>
      <c r="Q290" s="34">
        <v>989.72</v>
      </c>
      <c r="R290" s="34">
        <v>727.09</v>
      </c>
      <c r="S290" s="34">
        <v>702.12</v>
      </c>
      <c r="T290" s="34">
        <v>700.7</v>
      </c>
      <c r="U290" s="34">
        <v>12235.54</v>
      </c>
      <c r="V290" s="34">
        <v>11.67</v>
      </c>
      <c r="W290" s="34">
        <v>0.67</v>
      </c>
      <c r="X290" s="34">
        <v>0.3</v>
      </c>
      <c r="Y290" s="35">
        <v>4.4208999999999996</v>
      </c>
      <c r="Z290" s="35">
        <v>5.7267000000000001</v>
      </c>
      <c r="AA290" s="35">
        <v>9.3351000000000006</v>
      </c>
    </row>
    <row r="291" spans="1:27" ht="15.75" hidden="1" customHeight="1" x14ac:dyDescent="0.2">
      <c r="A291" s="2"/>
      <c r="B291" s="31">
        <v>286</v>
      </c>
      <c r="C291" s="36" t="s">
        <v>706</v>
      </c>
      <c r="D291" s="36" t="s">
        <v>747</v>
      </c>
      <c r="E291" s="36" t="s">
        <v>748</v>
      </c>
      <c r="F291" s="36" t="s">
        <v>749</v>
      </c>
      <c r="G291" s="36" t="s">
        <v>750</v>
      </c>
      <c r="H291" s="37" t="s">
        <v>80</v>
      </c>
      <c r="I291" s="37" t="s">
        <v>81</v>
      </c>
      <c r="J291" s="37" t="s">
        <v>82</v>
      </c>
      <c r="K291" s="37" t="s">
        <v>87</v>
      </c>
      <c r="L291" s="36" t="s">
        <v>84</v>
      </c>
      <c r="M291" s="34">
        <v>3091.26</v>
      </c>
      <c r="N291" s="34">
        <v>516.28</v>
      </c>
      <c r="O291" s="34">
        <v>2574.98</v>
      </c>
      <c r="P291" s="34">
        <v>1186.33</v>
      </c>
      <c r="Q291" s="34">
        <v>401.17</v>
      </c>
      <c r="R291" s="34">
        <v>316.48</v>
      </c>
      <c r="S291" s="34">
        <v>316.48</v>
      </c>
      <c r="T291" s="34">
        <v>1033.76</v>
      </c>
      <c r="U291" s="34">
        <v>4365.1400000000003</v>
      </c>
      <c r="V291" s="34">
        <v>13.01</v>
      </c>
      <c r="W291" s="34">
        <v>3.08</v>
      </c>
      <c r="X291" s="34">
        <v>0.2</v>
      </c>
      <c r="Y291" s="35">
        <v>19.727</v>
      </c>
      <c r="Z291" s="35">
        <v>23.682300000000001</v>
      </c>
      <c r="AA291" s="35">
        <v>51.403399999999998</v>
      </c>
    </row>
    <row r="292" spans="1:27" ht="15.75" hidden="1" customHeight="1" x14ac:dyDescent="0.2">
      <c r="A292" s="2"/>
      <c r="B292" s="31">
        <v>287</v>
      </c>
      <c r="C292" s="36" t="s">
        <v>706</v>
      </c>
      <c r="D292" s="36" t="s">
        <v>751</v>
      </c>
      <c r="E292" s="36" t="s">
        <v>752</v>
      </c>
      <c r="F292" s="36" t="s">
        <v>753</v>
      </c>
      <c r="G292" s="36" t="s">
        <v>754</v>
      </c>
      <c r="H292" s="37" t="s">
        <v>80</v>
      </c>
      <c r="I292" s="37" t="s">
        <v>81</v>
      </c>
      <c r="J292" s="37" t="s">
        <v>82</v>
      </c>
      <c r="K292" s="37" t="s">
        <v>87</v>
      </c>
      <c r="L292" s="36" t="s">
        <v>84</v>
      </c>
      <c r="M292" s="34">
        <v>183.35</v>
      </c>
      <c r="N292" s="34">
        <v>77.180000000000007</v>
      </c>
      <c r="O292" s="34">
        <v>106.16</v>
      </c>
      <c r="P292" s="34">
        <v>88.98</v>
      </c>
      <c r="Q292" s="34">
        <v>-4.07</v>
      </c>
      <c r="R292" s="34">
        <v>-4.07</v>
      </c>
      <c r="S292" s="34">
        <v>-4.07</v>
      </c>
      <c r="T292" s="34">
        <v>0.51</v>
      </c>
      <c r="U292" s="34">
        <v>106.16</v>
      </c>
      <c r="V292" s="34">
        <v>468.87</v>
      </c>
      <c r="W292" s="34">
        <v>2.2400000000000002</v>
      </c>
      <c r="X292" s="34">
        <v>0.73</v>
      </c>
      <c r="Y292" s="35">
        <v>0.27689999999999998</v>
      </c>
      <c r="Z292" s="35">
        <v>0.47810000000000002</v>
      </c>
      <c r="AA292" s="35">
        <v>0.57050000000000001</v>
      </c>
    </row>
    <row r="293" spans="1:27" ht="15.75" hidden="1" customHeight="1" x14ac:dyDescent="0.2">
      <c r="A293" s="2"/>
      <c r="B293" s="31">
        <v>288</v>
      </c>
      <c r="C293" s="36" t="s">
        <v>706</v>
      </c>
      <c r="D293" s="36" t="s">
        <v>755</v>
      </c>
      <c r="E293" s="36" t="s">
        <v>756</v>
      </c>
      <c r="F293" s="36" t="s">
        <v>757</v>
      </c>
      <c r="G293" s="36" t="s">
        <v>758</v>
      </c>
      <c r="H293" s="37" t="s">
        <v>80</v>
      </c>
      <c r="I293" s="37" t="s">
        <v>81</v>
      </c>
      <c r="J293" s="37" t="s">
        <v>82</v>
      </c>
      <c r="K293" s="37" t="s">
        <v>87</v>
      </c>
      <c r="L293" s="36" t="s">
        <v>84</v>
      </c>
      <c r="M293" s="34">
        <v>2098.46</v>
      </c>
      <c r="N293" s="34">
        <v>1006.47</v>
      </c>
      <c r="O293" s="34">
        <v>1091.99</v>
      </c>
      <c r="P293" s="34">
        <v>951.7</v>
      </c>
      <c r="Q293" s="34">
        <v>57.11</v>
      </c>
      <c r="R293" s="34">
        <v>43.31</v>
      </c>
      <c r="S293" s="34">
        <v>43.3</v>
      </c>
      <c r="T293" s="34">
        <v>9.02</v>
      </c>
      <c r="U293" s="34">
        <v>117.27</v>
      </c>
      <c r="V293" s="34">
        <v>16.190000000000001</v>
      </c>
      <c r="W293" s="34">
        <v>1.24</v>
      </c>
      <c r="X293" s="34">
        <v>0.92</v>
      </c>
      <c r="Y293" s="35">
        <v>4.0012999999999996</v>
      </c>
      <c r="Z293" s="35">
        <v>7.6893000000000002</v>
      </c>
      <c r="AA293" s="35">
        <v>8.8226999999999993</v>
      </c>
    </row>
    <row r="294" spans="1:27" ht="15.75" hidden="1" customHeight="1" x14ac:dyDescent="0.2">
      <c r="A294" s="2"/>
      <c r="B294" s="31">
        <v>289</v>
      </c>
      <c r="C294" s="36" t="s">
        <v>706</v>
      </c>
      <c r="D294" s="36" t="s">
        <v>747</v>
      </c>
      <c r="E294" s="36" t="s">
        <v>748</v>
      </c>
      <c r="F294" s="36" t="s">
        <v>759</v>
      </c>
      <c r="G294" s="36" t="s">
        <v>760</v>
      </c>
      <c r="H294" s="37" t="s">
        <v>95</v>
      </c>
      <c r="I294" s="37" t="s">
        <v>338</v>
      </c>
      <c r="J294" s="37" t="s">
        <v>82</v>
      </c>
      <c r="K294" s="37" t="s">
        <v>87</v>
      </c>
      <c r="L294" s="36" t="s">
        <v>84</v>
      </c>
      <c r="M294" s="34">
        <v>934.49</v>
      </c>
      <c r="N294" s="34">
        <v>636.25</v>
      </c>
      <c r="O294" s="34">
        <v>298.24</v>
      </c>
      <c r="P294" s="34">
        <v>59.2</v>
      </c>
      <c r="Q294" s="34">
        <v>-26.05</v>
      </c>
      <c r="R294" s="34">
        <v>-25.52</v>
      </c>
      <c r="S294" s="34">
        <v>-25.45</v>
      </c>
      <c r="T294" s="34">
        <v>-19.41</v>
      </c>
      <c r="U294" s="34">
        <v>136.07</v>
      </c>
      <c r="V294" s="34">
        <v>-0.93</v>
      </c>
      <c r="W294" s="34">
        <v>0.13</v>
      </c>
      <c r="X294" s="34">
        <v>2.13</v>
      </c>
      <c r="Y294" s="35">
        <v>-4.5526</v>
      </c>
      <c r="Z294" s="35">
        <v>-14.264699999999999</v>
      </c>
      <c r="AA294" s="35">
        <v>-71.865899999999996</v>
      </c>
    </row>
    <row r="295" spans="1:27" ht="15.75" hidden="1" customHeight="1" x14ac:dyDescent="0.2">
      <c r="A295" s="2"/>
      <c r="B295" s="31">
        <v>290</v>
      </c>
      <c r="C295" s="36" t="s">
        <v>706</v>
      </c>
      <c r="D295" s="36" t="s">
        <v>751</v>
      </c>
      <c r="E295" s="36" t="s">
        <v>752</v>
      </c>
      <c r="F295" s="36" t="s">
        <v>761</v>
      </c>
      <c r="G295" s="36" t="s">
        <v>762</v>
      </c>
      <c r="H295" s="37" t="s">
        <v>95</v>
      </c>
      <c r="I295" s="37" t="s">
        <v>81</v>
      </c>
      <c r="J295" s="37" t="s">
        <v>82</v>
      </c>
      <c r="K295" s="37" t="s">
        <v>87</v>
      </c>
      <c r="L295" s="36" t="s">
        <v>84</v>
      </c>
      <c r="M295" s="34">
        <v>71.650000000000006</v>
      </c>
      <c r="N295" s="34">
        <v>2.02</v>
      </c>
      <c r="O295" s="34">
        <v>69.63</v>
      </c>
      <c r="P295" s="34">
        <v>4.7</v>
      </c>
      <c r="Q295" s="34">
        <v>0.87</v>
      </c>
      <c r="R295" s="34">
        <v>0.68</v>
      </c>
      <c r="S295" s="34">
        <v>0.68</v>
      </c>
      <c r="T295" s="34">
        <v>0.12</v>
      </c>
      <c r="U295" s="34">
        <v>56.36</v>
      </c>
      <c r="V295" s="34">
        <v>1894.08</v>
      </c>
      <c r="W295" s="34">
        <v>4.1900000000000004</v>
      </c>
      <c r="X295" s="34">
        <v>0.03</v>
      </c>
      <c r="Y295" s="35">
        <v>0.21479999999999999</v>
      </c>
      <c r="Z295" s="35">
        <v>0.22109999999999999</v>
      </c>
      <c r="AA295" s="35">
        <v>3.2732999999999999</v>
      </c>
    </row>
    <row r="296" spans="1:27" ht="15.75" hidden="1" customHeight="1" x14ac:dyDescent="0.2">
      <c r="A296" s="2"/>
      <c r="B296" s="31">
        <v>291</v>
      </c>
      <c r="C296" s="36" t="s">
        <v>706</v>
      </c>
      <c r="D296" s="36" t="s">
        <v>743</v>
      </c>
      <c r="E296" s="36" t="s">
        <v>744</v>
      </c>
      <c r="F296" s="36" t="s">
        <v>763</v>
      </c>
      <c r="G296" s="36" t="s">
        <v>764</v>
      </c>
      <c r="H296" s="37" t="s">
        <v>80</v>
      </c>
      <c r="I296" s="37" t="s">
        <v>81</v>
      </c>
      <c r="J296" s="37" t="s">
        <v>82</v>
      </c>
      <c r="K296" s="37" t="s">
        <v>87</v>
      </c>
      <c r="L296" s="36" t="s">
        <v>84</v>
      </c>
      <c r="M296" s="34">
        <v>331.78</v>
      </c>
      <c r="N296" s="34">
        <v>190.36</v>
      </c>
      <c r="O296" s="34">
        <v>141.43</v>
      </c>
      <c r="P296" s="34">
        <v>134.69</v>
      </c>
      <c r="Q296" s="34">
        <v>-18.350000000000001</v>
      </c>
      <c r="R296" s="34">
        <v>-18.350000000000001</v>
      </c>
      <c r="S296" s="34">
        <v>-18.350000000000001</v>
      </c>
      <c r="T296" s="34">
        <v>-2.4900000000000002</v>
      </c>
      <c r="U296" s="34">
        <v>15.13</v>
      </c>
      <c r="V296" s="34">
        <v>-12.85</v>
      </c>
      <c r="W296" s="34">
        <v>2.12</v>
      </c>
      <c r="X296" s="34">
        <v>1.35</v>
      </c>
      <c r="Y296" s="35">
        <v>-7.0160999999999998</v>
      </c>
      <c r="Z296" s="35">
        <v>-16.459700000000002</v>
      </c>
      <c r="AA296" s="35">
        <v>-17.282399999999999</v>
      </c>
    </row>
    <row r="297" spans="1:27" ht="15.75" hidden="1" customHeight="1" x14ac:dyDescent="0.2">
      <c r="A297" s="2"/>
      <c r="B297" s="31">
        <v>292</v>
      </c>
      <c r="C297" s="36" t="s">
        <v>706</v>
      </c>
      <c r="D297" s="36" t="s">
        <v>743</v>
      </c>
      <c r="E297" s="36" t="s">
        <v>744</v>
      </c>
      <c r="F297" s="36" t="s">
        <v>765</v>
      </c>
      <c r="G297" s="36" t="s">
        <v>766</v>
      </c>
      <c r="H297" s="37" t="s">
        <v>80</v>
      </c>
      <c r="I297" s="37" t="s">
        <v>81</v>
      </c>
      <c r="J297" s="37" t="s">
        <v>82</v>
      </c>
      <c r="K297" s="37" t="s">
        <v>87</v>
      </c>
      <c r="L297" s="36" t="s">
        <v>84</v>
      </c>
      <c r="M297" s="34">
        <v>9493.85</v>
      </c>
      <c r="N297" s="34">
        <v>2904.95</v>
      </c>
      <c r="O297" s="34">
        <v>6588.9</v>
      </c>
      <c r="P297" s="34">
        <v>1942.59</v>
      </c>
      <c r="Q297" s="34">
        <v>348.11</v>
      </c>
      <c r="R297" s="34">
        <v>231.02</v>
      </c>
      <c r="S297" s="34">
        <v>235.05</v>
      </c>
      <c r="T297" s="34">
        <v>137.99</v>
      </c>
      <c r="U297" s="34">
        <v>1964.39</v>
      </c>
      <c r="V297" s="34">
        <v>13.99</v>
      </c>
      <c r="W297" s="34">
        <v>0.98</v>
      </c>
      <c r="X297" s="34">
        <v>0.44</v>
      </c>
      <c r="Y297" s="35">
        <v>4.8750999999999998</v>
      </c>
      <c r="Z297" s="35">
        <v>7.0244999999999997</v>
      </c>
      <c r="AA297" s="35">
        <v>23.825900000000001</v>
      </c>
    </row>
    <row r="298" spans="1:27" ht="15.75" hidden="1" customHeight="1" x14ac:dyDescent="0.2">
      <c r="A298" s="2"/>
      <c r="B298" s="31">
        <v>293</v>
      </c>
      <c r="C298" s="36" t="s">
        <v>706</v>
      </c>
      <c r="D298" s="36" t="s">
        <v>751</v>
      </c>
      <c r="E298" s="36" t="s">
        <v>752</v>
      </c>
      <c r="F298" s="36" t="s">
        <v>767</v>
      </c>
      <c r="G298" s="36" t="s">
        <v>768</v>
      </c>
      <c r="H298" s="37" t="s">
        <v>80</v>
      </c>
      <c r="I298" s="37" t="s">
        <v>81</v>
      </c>
      <c r="J298" s="37" t="s">
        <v>82</v>
      </c>
      <c r="K298" s="37" t="s">
        <v>87</v>
      </c>
      <c r="L298" s="36" t="s">
        <v>84</v>
      </c>
      <c r="M298" s="34">
        <v>157.6</v>
      </c>
      <c r="N298" s="34">
        <v>32.85</v>
      </c>
      <c r="O298" s="34">
        <v>124.75</v>
      </c>
      <c r="P298" s="34">
        <v>55.39</v>
      </c>
      <c r="Q298" s="34">
        <v>-2.84</v>
      </c>
      <c r="R298" s="34">
        <v>-2.84</v>
      </c>
      <c r="S298" s="34">
        <v>-2.84</v>
      </c>
      <c r="T298" s="34">
        <v>-6.93</v>
      </c>
      <c r="U298" s="34">
        <v>24.95</v>
      </c>
      <c r="V298" s="34">
        <v>-10.39</v>
      </c>
      <c r="W298" s="34">
        <v>2.89</v>
      </c>
      <c r="X298" s="34">
        <v>0.26</v>
      </c>
      <c r="Y298" s="35">
        <v>-21.9756</v>
      </c>
      <c r="Z298" s="35">
        <v>-27.762499999999999</v>
      </c>
      <c r="AA298" s="35">
        <v>-62.527299999999997</v>
      </c>
    </row>
    <row r="299" spans="1:27" ht="15.75" hidden="1" customHeight="1" x14ac:dyDescent="0.2">
      <c r="A299" s="2"/>
      <c r="B299" s="31">
        <v>294</v>
      </c>
      <c r="C299" s="36" t="s">
        <v>706</v>
      </c>
      <c r="D299" s="36" t="s">
        <v>751</v>
      </c>
      <c r="E299" s="36" t="s">
        <v>752</v>
      </c>
      <c r="F299" s="36" t="s">
        <v>769</v>
      </c>
      <c r="G299" s="36" t="s">
        <v>770</v>
      </c>
      <c r="H299" s="37" t="s">
        <v>80</v>
      </c>
      <c r="I299" s="37" t="s">
        <v>81</v>
      </c>
      <c r="J299" s="37" t="s">
        <v>82</v>
      </c>
      <c r="K299" s="37" t="s">
        <v>87</v>
      </c>
      <c r="L299" s="36" t="s">
        <v>84</v>
      </c>
      <c r="M299" s="34">
        <v>491.07</v>
      </c>
      <c r="N299" s="34">
        <v>282.14999999999998</v>
      </c>
      <c r="O299" s="34">
        <v>208.91</v>
      </c>
      <c r="P299" s="34">
        <v>184.3</v>
      </c>
      <c r="Q299" s="34">
        <v>1.33</v>
      </c>
      <c r="R299" s="34">
        <v>1.1599999999999999</v>
      </c>
      <c r="S299" s="34">
        <v>1.1599999999999999</v>
      </c>
      <c r="T299" s="34">
        <v>0.57999999999999996</v>
      </c>
      <c r="U299" s="34">
        <v>52.23</v>
      </c>
      <c r="V299" s="34">
        <v>302.8</v>
      </c>
      <c r="W299" s="34">
        <v>3.37</v>
      </c>
      <c r="X299" s="34">
        <v>1.35</v>
      </c>
      <c r="Y299" s="35">
        <v>0.47349999999999998</v>
      </c>
      <c r="Z299" s="35">
        <v>1.1129</v>
      </c>
      <c r="AA299" s="35">
        <v>1.2615000000000001</v>
      </c>
    </row>
    <row r="300" spans="1:27" ht="15.75" hidden="1" customHeight="1" x14ac:dyDescent="0.2">
      <c r="A300" s="2"/>
      <c r="B300" s="31">
        <v>295</v>
      </c>
      <c r="C300" s="36" t="s">
        <v>706</v>
      </c>
      <c r="D300" s="36" t="s">
        <v>755</v>
      </c>
      <c r="E300" s="36" t="s">
        <v>756</v>
      </c>
      <c r="F300" s="36" t="s">
        <v>771</v>
      </c>
      <c r="G300" s="36" t="s">
        <v>772</v>
      </c>
      <c r="H300" s="37" t="s">
        <v>80</v>
      </c>
      <c r="I300" s="37" t="s">
        <v>81</v>
      </c>
      <c r="J300" s="37" t="s">
        <v>82</v>
      </c>
      <c r="K300" s="37" t="s">
        <v>87</v>
      </c>
      <c r="L300" s="36" t="s">
        <v>84</v>
      </c>
      <c r="M300" s="34">
        <v>2013.7</v>
      </c>
      <c r="N300" s="34">
        <v>1678</v>
      </c>
      <c r="O300" s="34">
        <v>335.69</v>
      </c>
      <c r="P300" s="34">
        <v>3453.55</v>
      </c>
      <c r="Q300" s="34">
        <v>94.04</v>
      </c>
      <c r="R300" s="34">
        <v>73.709999999999994</v>
      </c>
      <c r="S300" s="34">
        <v>73.77</v>
      </c>
      <c r="T300" s="34">
        <v>16.77</v>
      </c>
      <c r="U300" s="34">
        <v>41.34</v>
      </c>
      <c r="V300" s="34">
        <v>32.799999999999997</v>
      </c>
      <c r="W300" s="34">
        <v>13.3</v>
      </c>
      <c r="X300" s="34">
        <v>5</v>
      </c>
      <c r="Y300" s="35">
        <v>6.7625999999999999</v>
      </c>
      <c r="Z300" s="35">
        <v>40.566499999999998</v>
      </c>
      <c r="AA300" s="35">
        <v>3.9432</v>
      </c>
    </row>
    <row r="301" spans="1:27" ht="15.75" hidden="1" customHeight="1" x14ac:dyDescent="0.2">
      <c r="A301" s="2"/>
      <c r="B301" s="31">
        <v>296</v>
      </c>
      <c r="C301" s="36" t="s">
        <v>706</v>
      </c>
      <c r="D301" s="36" t="s">
        <v>773</v>
      </c>
      <c r="E301" s="36" t="s">
        <v>774</v>
      </c>
      <c r="F301" s="36" t="s">
        <v>775</v>
      </c>
      <c r="G301" s="36" t="s">
        <v>776</v>
      </c>
      <c r="H301" s="37" t="s">
        <v>95</v>
      </c>
      <c r="I301" s="37" t="s">
        <v>81</v>
      </c>
      <c r="J301" s="37" t="s">
        <v>82</v>
      </c>
      <c r="K301" s="37" t="s">
        <v>87</v>
      </c>
      <c r="L301" s="36" t="s">
        <v>84</v>
      </c>
      <c r="M301" s="34">
        <v>253.31</v>
      </c>
      <c r="N301" s="34">
        <v>19.7</v>
      </c>
      <c r="O301" s="34">
        <v>233.6</v>
      </c>
      <c r="P301" s="34">
        <v>14.56</v>
      </c>
      <c r="Q301" s="34">
        <v>0.77</v>
      </c>
      <c r="R301" s="34">
        <v>0.62</v>
      </c>
      <c r="S301" s="34">
        <v>0.62</v>
      </c>
      <c r="T301" s="34">
        <v>0.55000000000000004</v>
      </c>
      <c r="U301" s="34">
        <v>58.4</v>
      </c>
      <c r="V301" s="34">
        <v>200.85</v>
      </c>
      <c r="W301" s="34">
        <v>1.88</v>
      </c>
      <c r="X301" s="34">
        <v>0.08</v>
      </c>
      <c r="Y301" s="35">
        <v>0.86480000000000001</v>
      </c>
      <c r="Z301" s="35">
        <v>0.93779999999999997</v>
      </c>
      <c r="AA301" s="35">
        <v>15.0464</v>
      </c>
    </row>
    <row r="302" spans="1:27" ht="15.75" hidden="1" customHeight="1" x14ac:dyDescent="0.2">
      <c r="A302" s="2"/>
      <c r="B302" s="31">
        <v>297</v>
      </c>
      <c r="C302" s="36" t="s">
        <v>706</v>
      </c>
      <c r="D302" s="36" t="s">
        <v>743</v>
      </c>
      <c r="E302" s="36" t="s">
        <v>744</v>
      </c>
      <c r="F302" s="36" t="s">
        <v>777</v>
      </c>
      <c r="G302" s="36" t="s">
        <v>778</v>
      </c>
      <c r="H302" s="37" t="s">
        <v>80</v>
      </c>
      <c r="I302" s="37" t="s">
        <v>81</v>
      </c>
      <c r="J302" s="37" t="s">
        <v>82</v>
      </c>
      <c r="K302" s="37" t="s">
        <v>87</v>
      </c>
      <c r="L302" s="36" t="s">
        <v>84</v>
      </c>
      <c r="M302" s="34">
        <v>3595.52</v>
      </c>
      <c r="N302" s="34">
        <v>256.47000000000003</v>
      </c>
      <c r="O302" s="34">
        <v>3339.05</v>
      </c>
      <c r="P302" s="34">
        <v>626.91999999999996</v>
      </c>
      <c r="Q302" s="34">
        <v>48.74</v>
      </c>
      <c r="R302" s="34">
        <v>30.55</v>
      </c>
      <c r="S302" s="34">
        <v>30.5</v>
      </c>
      <c r="T302" s="34">
        <v>31.85</v>
      </c>
      <c r="U302" s="34">
        <v>1113.02</v>
      </c>
      <c r="V302" s="34">
        <v>27.47</v>
      </c>
      <c r="W302" s="34">
        <v>0.79</v>
      </c>
      <c r="X302" s="34">
        <v>0.08</v>
      </c>
      <c r="Y302" s="35">
        <v>2.6577999999999999</v>
      </c>
      <c r="Z302" s="35">
        <v>2.8620000000000001</v>
      </c>
      <c r="AA302" s="35">
        <v>15.243</v>
      </c>
    </row>
    <row r="303" spans="1:27" ht="15.75" hidden="1" customHeight="1" x14ac:dyDescent="0.2">
      <c r="A303" s="2"/>
      <c r="B303" s="31">
        <v>298</v>
      </c>
      <c r="C303" s="36" t="s">
        <v>706</v>
      </c>
      <c r="D303" s="36" t="s">
        <v>755</v>
      </c>
      <c r="E303" s="36" t="s">
        <v>756</v>
      </c>
      <c r="F303" s="36" t="s">
        <v>779</v>
      </c>
      <c r="G303" s="36" t="s">
        <v>780</v>
      </c>
      <c r="H303" s="37" t="s">
        <v>80</v>
      </c>
      <c r="I303" s="37" t="s">
        <v>81</v>
      </c>
      <c r="J303" s="37" t="s">
        <v>82</v>
      </c>
      <c r="K303" s="37" t="s">
        <v>87</v>
      </c>
      <c r="L303" s="36" t="s">
        <v>84</v>
      </c>
      <c r="M303" s="34">
        <v>185.67</v>
      </c>
      <c r="N303" s="34">
        <v>26.59</v>
      </c>
      <c r="O303" s="34">
        <v>159.08000000000001</v>
      </c>
      <c r="P303" s="34">
        <v>83.75</v>
      </c>
      <c r="Q303" s="34">
        <v>10.58</v>
      </c>
      <c r="R303" s="34">
        <v>8.2100000000000009</v>
      </c>
      <c r="S303" s="34">
        <v>8.2100000000000009</v>
      </c>
      <c r="T303" s="34">
        <v>14.78</v>
      </c>
      <c r="U303" s="34">
        <v>136.27000000000001</v>
      </c>
      <c r="V303" s="34">
        <v>12.59</v>
      </c>
      <c r="W303" s="34">
        <v>1.36</v>
      </c>
      <c r="X303" s="34">
        <v>0.17</v>
      </c>
      <c r="Y303" s="35">
        <v>9.1989999999999998</v>
      </c>
      <c r="Z303" s="35">
        <v>10.736599999999999</v>
      </c>
      <c r="AA303" s="35">
        <v>20.394500000000001</v>
      </c>
    </row>
    <row r="304" spans="1:27" ht="15.75" hidden="1" customHeight="1" x14ac:dyDescent="0.2">
      <c r="A304" s="2"/>
      <c r="B304" s="31">
        <v>299</v>
      </c>
      <c r="C304" s="36" t="s">
        <v>706</v>
      </c>
      <c r="D304" s="36" t="s">
        <v>755</v>
      </c>
      <c r="E304" s="36" t="s">
        <v>756</v>
      </c>
      <c r="F304" s="36" t="s">
        <v>781</v>
      </c>
      <c r="G304" s="36" t="s">
        <v>782</v>
      </c>
      <c r="H304" s="37" t="s">
        <v>80</v>
      </c>
      <c r="I304" s="37" t="s">
        <v>81</v>
      </c>
      <c r="J304" s="37" t="s">
        <v>82</v>
      </c>
      <c r="K304" s="37" t="s">
        <v>87</v>
      </c>
      <c r="L304" s="36" t="s">
        <v>84</v>
      </c>
      <c r="M304" s="34">
        <v>113.71</v>
      </c>
      <c r="N304" s="34">
        <v>34.840000000000003</v>
      </c>
      <c r="O304" s="34">
        <v>78.88</v>
      </c>
      <c r="P304" s="34">
        <v>54.66</v>
      </c>
      <c r="Q304" s="34">
        <v>1.01</v>
      </c>
      <c r="R304" s="34">
        <v>0.65</v>
      </c>
      <c r="S304" s="34">
        <v>0.65</v>
      </c>
      <c r="T304" s="34">
        <v>1.2</v>
      </c>
      <c r="U304" s="34">
        <v>81.19</v>
      </c>
      <c r="V304" s="34">
        <v>64.19</v>
      </c>
      <c r="W304" s="34">
        <v>0.95</v>
      </c>
      <c r="X304" s="34">
        <v>0.44</v>
      </c>
      <c r="Y304" s="35">
        <v>1.0248999999999999</v>
      </c>
      <c r="Z304" s="35">
        <v>1.4775</v>
      </c>
      <c r="AA304" s="35">
        <v>2.1318999999999999</v>
      </c>
    </row>
    <row r="305" spans="1:27" ht="15.75" hidden="1" customHeight="1" x14ac:dyDescent="0.2">
      <c r="A305" s="2"/>
      <c r="B305" s="31">
        <v>300</v>
      </c>
      <c r="C305" s="36" t="s">
        <v>706</v>
      </c>
      <c r="D305" s="36" t="s">
        <v>743</v>
      </c>
      <c r="E305" s="36" t="s">
        <v>744</v>
      </c>
      <c r="F305" s="36" t="s">
        <v>783</v>
      </c>
      <c r="G305" s="36" t="s">
        <v>784</v>
      </c>
      <c r="H305" s="37" t="s">
        <v>95</v>
      </c>
      <c r="I305" s="37" t="s">
        <v>81</v>
      </c>
      <c r="J305" s="37" t="s">
        <v>82</v>
      </c>
      <c r="K305" s="37" t="s">
        <v>87</v>
      </c>
      <c r="L305" s="36" t="s">
        <v>84</v>
      </c>
      <c r="M305" s="34">
        <v>3803.19</v>
      </c>
      <c r="N305" s="34">
        <v>3392.89</v>
      </c>
      <c r="O305" s="34">
        <v>410.3</v>
      </c>
      <c r="P305" s="34">
        <v>38.549999999999997</v>
      </c>
      <c r="Q305" s="34">
        <v>-51.6</v>
      </c>
      <c r="R305" s="34">
        <v>-51.6</v>
      </c>
      <c r="S305" s="34">
        <v>-51.6</v>
      </c>
      <c r="T305" s="34">
        <v>-15.88</v>
      </c>
      <c r="U305" s="34">
        <v>8.7799999999999994</v>
      </c>
      <c r="V305" s="34">
        <v>-1.95</v>
      </c>
      <c r="W305" s="34">
        <v>3.53</v>
      </c>
      <c r="X305" s="34">
        <v>8.27</v>
      </c>
      <c r="Y305" s="35">
        <v>-19.321899999999999</v>
      </c>
      <c r="Z305" s="35">
        <v>-179.09989999999999</v>
      </c>
      <c r="AA305" s="35">
        <v>-1906.1320000000001</v>
      </c>
    </row>
    <row r="306" spans="1:27" ht="15.75" hidden="1" customHeight="1" x14ac:dyDescent="0.2">
      <c r="A306" s="2"/>
      <c r="B306" s="31">
        <v>301</v>
      </c>
      <c r="C306" s="36" t="s">
        <v>706</v>
      </c>
      <c r="D306" s="36" t="s">
        <v>755</v>
      </c>
      <c r="E306" s="36" t="s">
        <v>756</v>
      </c>
      <c r="F306" s="36" t="s">
        <v>785</v>
      </c>
      <c r="G306" s="36" t="s">
        <v>786</v>
      </c>
      <c r="H306" s="37" t="s">
        <v>80</v>
      </c>
      <c r="I306" s="37" t="s">
        <v>81</v>
      </c>
      <c r="J306" s="37" t="s">
        <v>82</v>
      </c>
      <c r="K306" s="37" t="s">
        <v>87</v>
      </c>
      <c r="L306" s="36" t="s">
        <v>84</v>
      </c>
      <c r="M306" s="34">
        <v>3905.46</v>
      </c>
      <c r="N306" s="34">
        <v>2265.88</v>
      </c>
      <c r="O306" s="34">
        <v>1639.58</v>
      </c>
      <c r="P306" s="34">
        <v>1452.88</v>
      </c>
      <c r="Q306" s="34">
        <v>27.7</v>
      </c>
      <c r="R306" s="34">
        <v>21.64</v>
      </c>
      <c r="S306" s="34">
        <v>17.07</v>
      </c>
      <c r="T306" s="34">
        <v>10.48</v>
      </c>
      <c r="U306" s="34">
        <v>364.43</v>
      </c>
      <c r="V306" s="34">
        <v>21</v>
      </c>
      <c r="W306" s="34">
        <v>0.6</v>
      </c>
      <c r="X306" s="34">
        <v>1.38</v>
      </c>
      <c r="Y306" s="35">
        <v>1.2068000000000001</v>
      </c>
      <c r="Z306" s="35">
        <v>2.8746</v>
      </c>
      <c r="AA306" s="35">
        <v>3.2440000000000002</v>
      </c>
    </row>
    <row r="307" spans="1:27" ht="15.75" hidden="1" customHeight="1" x14ac:dyDescent="0.2">
      <c r="A307" s="2"/>
      <c r="B307" s="31">
        <v>302</v>
      </c>
      <c r="C307" s="36" t="s">
        <v>706</v>
      </c>
      <c r="D307" s="36" t="s">
        <v>743</v>
      </c>
      <c r="E307" s="36" t="s">
        <v>744</v>
      </c>
      <c r="F307" s="36" t="s">
        <v>787</v>
      </c>
      <c r="G307" s="36" t="s">
        <v>788</v>
      </c>
      <c r="H307" s="37" t="s">
        <v>95</v>
      </c>
      <c r="I307" s="37" t="s">
        <v>81</v>
      </c>
      <c r="J307" s="37" t="s">
        <v>82</v>
      </c>
      <c r="K307" s="37" t="s">
        <v>87</v>
      </c>
      <c r="L307" s="36" t="s">
        <v>84</v>
      </c>
      <c r="M307" s="34">
        <v>9637.19</v>
      </c>
      <c r="N307" s="34">
        <v>7009.22</v>
      </c>
      <c r="O307" s="34">
        <v>2627.97</v>
      </c>
      <c r="P307" s="34">
        <v>2778.55</v>
      </c>
      <c r="Q307" s="34">
        <v>379.82</v>
      </c>
      <c r="R307" s="34">
        <v>185.15</v>
      </c>
      <c r="S307" s="34">
        <v>171.89</v>
      </c>
      <c r="T307" s="34">
        <v>9.91</v>
      </c>
      <c r="U307" s="34">
        <v>83.36</v>
      </c>
      <c r="V307" s="34">
        <v>13.83</v>
      </c>
      <c r="W307" s="34">
        <v>1.64</v>
      </c>
      <c r="X307" s="34">
        <v>2.67</v>
      </c>
      <c r="Y307" s="35">
        <v>3.2414999999999998</v>
      </c>
      <c r="Z307" s="35">
        <v>11.8871</v>
      </c>
      <c r="AA307" s="35">
        <v>11.242900000000001</v>
      </c>
    </row>
    <row r="308" spans="1:27" ht="15.75" hidden="1" customHeight="1" x14ac:dyDescent="0.2">
      <c r="A308" s="2"/>
      <c r="B308" s="31">
        <v>303</v>
      </c>
      <c r="C308" s="36" t="s">
        <v>706</v>
      </c>
      <c r="D308" s="36" t="s">
        <v>789</v>
      </c>
      <c r="E308" s="36" t="s">
        <v>790</v>
      </c>
      <c r="F308" s="36" t="s">
        <v>791</v>
      </c>
      <c r="G308" s="36" t="s">
        <v>792</v>
      </c>
      <c r="H308" s="37" t="s">
        <v>80</v>
      </c>
      <c r="I308" s="37" t="s">
        <v>81</v>
      </c>
      <c r="J308" s="37" t="s">
        <v>82</v>
      </c>
      <c r="K308" s="37" t="s">
        <v>87</v>
      </c>
      <c r="L308" s="36" t="s">
        <v>84</v>
      </c>
      <c r="M308" s="34">
        <v>1093.3699999999999</v>
      </c>
      <c r="N308" s="34">
        <v>145</v>
      </c>
      <c r="O308" s="34">
        <v>948.37</v>
      </c>
      <c r="P308" s="34">
        <v>570.4</v>
      </c>
      <c r="Q308" s="34">
        <v>16.05</v>
      </c>
      <c r="R308" s="34">
        <v>13.39</v>
      </c>
      <c r="S308" s="34">
        <v>13.39</v>
      </c>
      <c r="T308" s="34">
        <v>12.03</v>
      </c>
      <c r="U308" s="34">
        <v>161.15</v>
      </c>
      <c r="V308" s="34">
        <v>17.46</v>
      </c>
      <c r="W308" s="34">
        <v>1.3</v>
      </c>
      <c r="X308" s="34">
        <v>0.15</v>
      </c>
      <c r="Y308" s="35">
        <v>6.4753999999999996</v>
      </c>
      <c r="Z308" s="35">
        <v>7.4653999999999998</v>
      </c>
      <c r="AA308" s="35">
        <v>12.4123</v>
      </c>
    </row>
    <row r="309" spans="1:27" ht="15.75" hidden="1" customHeight="1" x14ac:dyDescent="0.2">
      <c r="A309" s="2"/>
      <c r="B309" s="31">
        <v>304</v>
      </c>
      <c r="C309" s="36" t="s">
        <v>706</v>
      </c>
      <c r="D309" s="36" t="s">
        <v>743</v>
      </c>
      <c r="E309" s="36" t="s">
        <v>744</v>
      </c>
      <c r="F309" s="36" t="s">
        <v>793</v>
      </c>
      <c r="G309" s="36" t="s">
        <v>794</v>
      </c>
      <c r="H309" s="37" t="s">
        <v>95</v>
      </c>
      <c r="I309" s="37" t="s">
        <v>81</v>
      </c>
      <c r="J309" s="37" t="s">
        <v>82</v>
      </c>
      <c r="K309" s="37" t="s">
        <v>104</v>
      </c>
      <c r="L309" s="36" t="s">
        <v>90</v>
      </c>
      <c r="M309" s="34">
        <v>3799.51</v>
      </c>
      <c r="N309" s="34">
        <v>2802.52</v>
      </c>
      <c r="O309" s="34">
        <v>996.99</v>
      </c>
      <c r="P309" s="34">
        <v>6660.5</v>
      </c>
      <c r="Q309" s="34">
        <v>51.77</v>
      </c>
      <c r="R309" s="34">
        <v>42.21</v>
      </c>
      <c r="S309" s="34">
        <v>42.21</v>
      </c>
      <c r="T309" s="34">
        <v>28.18</v>
      </c>
      <c r="U309" s="34">
        <v>319.04000000000002</v>
      </c>
      <c r="V309" s="34">
        <v>54.29</v>
      </c>
      <c r="W309" s="34">
        <v>4.8</v>
      </c>
      <c r="X309" s="34">
        <v>2.81</v>
      </c>
      <c r="Y309" s="35">
        <v>2.3178999999999998</v>
      </c>
      <c r="Z309" s="35">
        <v>8.8336000000000006</v>
      </c>
      <c r="AA309" s="35">
        <v>1.3223</v>
      </c>
    </row>
    <row r="310" spans="1:27" ht="15.75" hidden="1" customHeight="1" x14ac:dyDescent="0.2">
      <c r="A310" s="2"/>
      <c r="B310" s="31">
        <v>305</v>
      </c>
      <c r="C310" s="36" t="s">
        <v>706</v>
      </c>
      <c r="D310" s="36" t="s">
        <v>755</v>
      </c>
      <c r="E310" s="36" t="s">
        <v>756</v>
      </c>
      <c r="F310" s="36" t="s">
        <v>795</v>
      </c>
      <c r="G310" s="36" t="s">
        <v>796</v>
      </c>
      <c r="H310" s="37" t="s">
        <v>80</v>
      </c>
      <c r="I310" s="37" t="s">
        <v>81</v>
      </c>
      <c r="J310" s="37" t="s">
        <v>82</v>
      </c>
      <c r="K310" s="37" t="s">
        <v>87</v>
      </c>
      <c r="L310" s="36" t="s">
        <v>84</v>
      </c>
      <c r="M310" s="34">
        <v>2520.15</v>
      </c>
      <c r="N310" s="34">
        <v>577.48</v>
      </c>
      <c r="O310" s="34">
        <v>1942.68</v>
      </c>
      <c r="P310" s="34">
        <v>4530.24</v>
      </c>
      <c r="Q310" s="34">
        <v>155.06</v>
      </c>
      <c r="R310" s="34">
        <v>123.14</v>
      </c>
      <c r="S310" s="34">
        <v>123.14</v>
      </c>
      <c r="T310" s="34">
        <v>511.4</v>
      </c>
      <c r="U310" s="34">
        <v>3265.01</v>
      </c>
      <c r="V310" s="34">
        <v>5.18</v>
      </c>
      <c r="W310" s="34">
        <v>0.81</v>
      </c>
      <c r="X310" s="34">
        <v>0.3</v>
      </c>
      <c r="Y310" s="35">
        <v>12.0739</v>
      </c>
      <c r="Z310" s="35">
        <v>15.663</v>
      </c>
      <c r="AA310" s="35">
        <v>6.7167000000000003</v>
      </c>
    </row>
    <row r="311" spans="1:27" ht="15.75" hidden="1" customHeight="1" x14ac:dyDescent="0.2">
      <c r="A311" s="2"/>
      <c r="B311" s="31">
        <v>306</v>
      </c>
      <c r="C311" s="36" t="s">
        <v>706</v>
      </c>
      <c r="D311" s="36" t="s">
        <v>747</v>
      </c>
      <c r="E311" s="36" t="s">
        <v>748</v>
      </c>
      <c r="F311" s="36" t="s">
        <v>797</v>
      </c>
      <c r="G311" s="36" t="s">
        <v>798</v>
      </c>
      <c r="H311" s="37" t="s">
        <v>80</v>
      </c>
      <c r="I311" s="37" t="s">
        <v>81</v>
      </c>
      <c r="J311" s="37" t="s">
        <v>82</v>
      </c>
      <c r="K311" s="37" t="s">
        <v>87</v>
      </c>
      <c r="L311" s="36" t="s">
        <v>84</v>
      </c>
      <c r="M311" s="34">
        <v>2934.1</v>
      </c>
      <c r="N311" s="34">
        <v>805.91</v>
      </c>
      <c r="O311" s="34">
        <v>2128.19</v>
      </c>
      <c r="P311" s="34">
        <v>1366.1</v>
      </c>
      <c r="Q311" s="34">
        <v>265.75</v>
      </c>
      <c r="R311" s="34">
        <v>206.64</v>
      </c>
      <c r="S311" s="34">
        <v>207.54</v>
      </c>
      <c r="T311" s="34">
        <v>18.850000000000001</v>
      </c>
      <c r="U311" s="34">
        <v>88.67</v>
      </c>
      <c r="V311" s="34">
        <v>28.64</v>
      </c>
      <c r="W311" s="34">
        <v>6.09</v>
      </c>
      <c r="X311" s="34">
        <v>0.38</v>
      </c>
      <c r="Y311" s="35">
        <v>15.4213</v>
      </c>
      <c r="Z311" s="35">
        <v>21.261099999999999</v>
      </c>
      <c r="AA311" s="35">
        <v>33.121600000000001</v>
      </c>
    </row>
    <row r="312" spans="1:27" ht="15.75" hidden="1" customHeight="1" x14ac:dyDescent="0.2">
      <c r="A312" s="2"/>
      <c r="B312" s="31">
        <v>307</v>
      </c>
      <c r="C312" s="36" t="s">
        <v>706</v>
      </c>
      <c r="D312" s="36" t="s">
        <v>789</v>
      </c>
      <c r="E312" s="36" t="s">
        <v>790</v>
      </c>
      <c r="F312" s="36" t="s">
        <v>799</v>
      </c>
      <c r="G312" s="36" t="s">
        <v>800</v>
      </c>
      <c r="H312" s="37" t="s">
        <v>80</v>
      </c>
      <c r="I312" s="37" t="s">
        <v>81</v>
      </c>
      <c r="J312" s="37" t="s">
        <v>82</v>
      </c>
      <c r="K312" s="37" t="s">
        <v>87</v>
      </c>
      <c r="L312" s="36" t="s">
        <v>84</v>
      </c>
      <c r="M312" s="34">
        <v>8153.78</v>
      </c>
      <c r="N312" s="34">
        <v>1598.03</v>
      </c>
      <c r="O312" s="34">
        <v>6555.76</v>
      </c>
      <c r="P312" s="34">
        <v>5148.22</v>
      </c>
      <c r="Q312" s="34">
        <v>1250.5</v>
      </c>
      <c r="R312" s="34">
        <v>993.88</v>
      </c>
      <c r="S312" s="34">
        <v>993.81</v>
      </c>
      <c r="T312" s="34">
        <v>215.6</v>
      </c>
      <c r="U312" s="34">
        <v>826.22</v>
      </c>
      <c r="V312" s="34">
        <v>21.34</v>
      </c>
      <c r="W312" s="34">
        <v>5.57</v>
      </c>
      <c r="X312" s="34">
        <v>0.24</v>
      </c>
      <c r="Y312" s="35">
        <v>20.981100000000001</v>
      </c>
      <c r="Z312" s="35">
        <v>26.095400000000001</v>
      </c>
      <c r="AA312" s="35">
        <v>33.229999999999997</v>
      </c>
    </row>
    <row r="313" spans="1:27" ht="15.75" hidden="1" customHeight="1" x14ac:dyDescent="0.2">
      <c r="A313" s="2"/>
      <c r="B313" s="31">
        <v>308</v>
      </c>
      <c r="C313" s="36" t="s">
        <v>706</v>
      </c>
      <c r="D313" s="36" t="s">
        <v>755</v>
      </c>
      <c r="E313" s="36" t="s">
        <v>756</v>
      </c>
      <c r="F313" s="36" t="s">
        <v>801</v>
      </c>
      <c r="G313" s="36" t="s">
        <v>802</v>
      </c>
      <c r="H313" s="37" t="s">
        <v>95</v>
      </c>
      <c r="I313" s="37" t="s">
        <v>375</v>
      </c>
      <c r="J313" s="37" t="s">
        <v>82</v>
      </c>
      <c r="K313" s="37" t="s">
        <v>87</v>
      </c>
      <c r="L313" s="36" t="s">
        <v>84</v>
      </c>
      <c r="M313" s="34">
        <v>433.28</v>
      </c>
      <c r="N313" s="34">
        <v>353.46</v>
      </c>
      <c r="O313" s="34">
        <v>79.819999999999993</v>
      </c>
      <c r="P313" s="34">
        <v>36.369999999999997</v>
      </c>
      <c r="Q313" s="34">
        <v>-18.260000000000002</v>
      </c>
      <c r="R313" s="34">
        <v>-18.260000000000002</v>
      </c>
      <c r="S313" s="34">
        <v>-18.260000000000002</v>
      </c>
      <c r="T313" s="34">
        <v>-69.760000000000005</v>
      </c>
      <c r="U313" s="34">
        <v>89.7</v>
      </c>
      <c r="V313" s="34">
        <v>-6.16</v>
      </c>
      <c r="W313" s="34">
        <v>4.79</v>
      </c>
      <c r="X313" s="34">
        <v>4.43</v>
      </c>
      <c r="Y313" s="35">
        <v>-14.3269</v>
      </c>
      <c r="Z313" s="35">
        <v>-77.771299999999997</v>
      </c>
      <c r="AA313" s="35">
        <v>-170.6926</v>
      </c>
    </row>
    <row r="314" spans="1:27" ht="15.75" hidden="1" customHeight="1" x14ac:dyDescent="0.2">
      <c r="A314" s="2"/>
      <c r="B314" s="31">
        <v>309</v>
      </c>
      <c r="C314" s="36" t="s">
        <v>706</v>
      </c>
      <c r="D314" s="36" t="s">
        <v>751</v>
      </c>
      <c r="E314" s="36" t="s">
        <v>752</v>
      </c>
      <c r="F314" s="36" t="s">
        <v>803</v>
      </c>
      <c r="G314" s="36" t="s">
        <v>804</v>
      </c>
      <c r="H314" s="37" t="s">
        <v>80</v>
      </c>
      <c r="I314" s="37" t="s">
        <v>81</v>
      </c>
      <c r="J314" s="37" t="s">
        <v>82</v>
      </c>
      <c r="K314" s="37" t="s">
        <v>87</v>
      </c>
      <c r="L314" s="36" t="s">
        <v>84</v>
      </c>
      <c r="M314" s="34">
        <v>43149.27</v>
      </c>
      <c r="N314" s="34">
        <v>12714.8</v>
      </c>
      <c r="O314" s="34">
        <v>30434.47</v>
      </c>
      <c r="P314" s="34">
        <v>33061.68</v>
      </c>
      <c r="Q314" s="34">
        <v>2460.88</v>
      </c>
      <c r="R314" s="34">
        <v>1904.58</v>
      </c>
      <c r="S314" s="34">
        <v>1900.39</v>
      </c>
      <c r="T314" s="34">
        <v>234.49</v>
      </c>
      <c r="U314" s="34">
        <v>1855.99</v>
      </c>
      <c r="V314" s="34">
        <v>19.87</v>
      </c>
      <c r="W314" s="34">
        <v>2.5099999999999998</v>
      </c>
      <c r="X314" s="34">
        <v>0.42</v>
      </c>
      <c r="Y314" s="35">
        <v>8.9115000000000002</v>
      </c>
      <c r="Z314" s="35">
        <v>12.634499999999999</v>
      </c>
      <c r="AA314" s="35">
        <v>11.6305</v>
      </c>
    </row>
    <row r="315" spans="1:27" ht="15.75" hidden="1" customHeight="1" x14ac:dyDescent="0.2">
      <c r="A315" s="2"/>
      <c r="B315" s="31">
        <v>310</v>
      </c>
      <c r="C315" s="36" t="s">
        <v>706</v>
      </c>
      <c r="D315" s="36" t="s">
        <v>751</v>
      </c>
      <c r="E315" s="36" t="s">
        <v>752</v>
      </c>
      <c r="F315" s="36" t="s">
        <v>805</v>
      </c>
      <c r="G315" s="36" t="s">
        <v>806</v>
      </c>
      <c r="H315" s="37" t="s">
        <v>80</v>
      </c>
      <c r="I315" s="37" t="s">
        <v>81</v>
      </c>
      <c r="J315" s="37" t="s">
        <v>82</v>
      </c>
      <c r="K315" s="37" t="s">
        <v>87</v>
      </c>
      <c r="L315" s="36" t="s">
        <v>84</v>
      </c>
      <c r="M315" s="34">
        <v>6843.91</v>
      </c>
      <c r="N315" s="34">
        <v>2981.83</v>
      </c>
      <c r="O315" s="34">
        <v>3862.08</v>
      </c>
      <c r="P315" s="34">
        <v>4754.99</v>
      </c>
      <c r="Q315" s="34">
        <v>387.94</v>
      </c>
      <c r="R315" s="34">
        <v>293.43</v>
      </c>
      <c r="S315" s="34">
        <v>293.23</v>
      </c>
      <c r="T315" s="34">
        <v>7.3</v>
      </c>
      <c r="U315" s="34">
        <v>64.83</v>
      </c>
      <c r="V315" s="34">
        <v>9.59</v>
      </c>
      <c r="W315" s="34">
        <v>1.08</v>
      </c>
      <c r="X315" s="34">
        <v>0.77</v>
      </c>
      <c r="Y315" s="35">
        <v>6.3556999999999997</v>
      </c>
      <c r="Z315" s="35">
        <v>11.2628</v>
      </c>
      <c r="AA315" s="35">
        <v>9.1478000000000002</v>
      </c>
    </row>
    <row r="316" spans="1:27" ht="15.75" hidden="1" customHeight="1" x14ac:dyDescent="0.2">
      <c r="A316" s="2"/>
      <c r="B316" s="31">
        <v>311</v>
      </c>
      <c r="C316" s="36" t="s">
        <v>706</v>
      </c>
      <c r="D316" s="36" t="s">
        <v>751</v>
      </c>
      <c r="E316" s="36" t="s">
        <v>752</v>
      </c>
      <c r="F316" s="36" t="s">
        <v>807</v>
      </c>
      <c r="G316" s="36" t="s">
        <v>808</v>
      </c>
      <c r="H316" s="37" t="s">
        <v>80</v>
      </c>
      <c r="I316" s="37" t="s">
        <v>81</v>
      </c>
      <c r="J316" s="37" t="s">
        <v>82</v>
      </c>
      <c r="K316" s="37" t="s">
        <v>87</v>
      </c>
      <c r="L316" s="36" t="s">
        <v>84</v>
      </c>
      <c r="M316" s="34">
        <v>300.05</v>
      </c>
      <c r="N316" s="34">
        <v>72.400000000000006</v>
      </c>
      <c r="O316" s="34">
        <v>227.65</v>
      </c>
      <c r="P316" s="34">
        <v>298.29000000000002</v>
      </c>
      <c r="Q316" s="34">
        <v>10.83</v>
      </c>
      <c r="R316" s="34">
        <v>8.43</v>
      </c>
      <c r="S316" s="34">
        <v>8.43</v>
      </c>
      <c r="T316" s="34">
        <v>15.19</v>
      </c>
      <c r="U316" s="34">
        <v>116.75</v>
      </c>
      <c r="V316" s="34">
        <v>16.2</v>
      </c>
      <c r="W316" s="34">
        <v>2.11</v>
      </c>
      <c r="X316" s="34">
        <v>0.32</v>
      </c>
      <c r="Y316" s="35">
        <v>9.8691999999999993</v>
      </c>
      <c r="Z316" s="35">
        <v>13.0077</v>
      </c>
      <c r="AA316" s="35">
        <v>9.9273000000000007</v>
      </c>
    </row>
    <row r="317" spans="1:27" ht="15.75" hidden="1" customHeight="1" x14ac:dyDescent="0.2">
      <c r="A317" s="2"/>
      <c r="B317" s="31">
        <v>312</v>
      </c>
      <c r="C317" s="36" t="s">
        <v>706</v>
      </c>
      <c r="D317" s="36" t="s">
        <v>743</v>
      </c>
      <c r="E317" s="36" t="s">
        <v>744</v>
      </c>
      <c r="F317" s="36" t="s">
        <v>809</v>
      </c>
      <c r="G317" s="36" t="s">
        <v>810</v>
      </c>
      <c r="H317" s="37" t="s">
        <v>80</v>
      </c>
      <c r="I317" s="37" t="s">
        <v>81</v>
      </c>
      <c r="J317" s="37" t="s">
        <v>82</v>
      </c>
      <c r="K317" s="37" t="s">
        <v>87</v>
      </c>
      <c r="L317" s="36" t="s">
        <v>84</v>
      </c>
      <c r="M317" s="34">
        <v>2418.9499999999998</v>
      </c>
      <c r="N317" s="34">
        <v>978.35</v>
      </c>
      <c r="O317" s="34">
        <v>1440.6</v>
      </c>
      <c r="P317" s="34">
        <v>745.01</v>
      </c>
      <c r="Q317" s="34">
        <v>213.94</v>
      </c>
      <c r="R317" s="34">
        <v>142.05000000000001</v>
      </c>
      <c r="S317" s="34">
        <v>142.05000000000001</v>
      </c>
      <c r="T317" s="34">
        <v>141.6</v>
      </c>
      <c r="U317" s="34">
        <v>702.73</v>
      </c>
      <c r="V317" s="34">
        <v>5.83</v>
      </c>
      <c r="W317" s="34">
        <v>1.17</v>
      </c>
      <c r="X317" s="34">
        <v>0.68</v>
      </c>
      <c r="Y317" s="35">
        <v>11.9999</v>
      </c>
      <c r="Z317" s="35">
        <v>20.1493</v>
      </c>
      <c r="AA317" s="35">
        <v>38.9621</v>
      </c>
    </row>
    <row r="318" spans="1:27" ht="15.75" hidden="1" customHeight="1" x14ac:dyDescent="0.2">
      <c r="A318" s="2"/>
      <c r="B318" s="31">
        <v>313</v>
      </c>
      <c r="C318" s="36" t="s">
        <v>706</v>
      </c>
      <c r="D318" s="36" t="s">
        <v>751</v>
      </c>
      <c r="E318" s="36" t="s">
        <v>752</v>
      </c>
      <c r="F318" s="36" t="s">
        <v>811</v>
      </c>
      <c r="G318" s="36" t="s">
        <v>812</v>
      </c>
      <c r="H318" s="37" t="s">
        <v>80</v>
      </c>
      <c r="I318" s="37" t="s">
        <v>81</v>
      </c>
      <c r="J318" s="37" t="s">
        <v>82</v>
      </c>
      <c r="K318" s="37" t="s">
        <v>87</v>
      </c>
      <c r="L318" s="36" t="s">
        <v>84</v>
      </c>
      <c r="M318" s="34">
        <v>182.32</v>
      </c>
      <c r="N318" s="34">
        <v>24.51</v>
      </c>
      <c r="O318" s="34">
        <v>157.80000000000001</v>
      </c>
      <c r="P318" s="34">
        <v>25.61</v>
      </c>
      <c r="Q318" s="34">
        <v>2.2999999999999998</v>
      </c>
      <c r="R318" s="34">
        <v>1.86</v>
      </c>
      <c r="S318" s="34">
        <v>1.86</v>
      </c>
      <c r="T318" s="34">
        <v>2.59</v>
      </c>
      <c r="U318" s="34">
        <v>78.900000000000006</v>
      </c>
      <c r="V318" s="34">
        <v>44.72</v>
      </c>
      <c r="W318" s="34">
        <v>1.47</v>
      </c>
      <c r="X318" s="34">
        <v>0.16</v>
      </c>
      <c r="Y318" s="35">
        <v>2.8456000000000001</v>
      </c>
      <c r="Z318" s="35">
        <v>3.2875999999999999</v>
      </c>
      <c r="AA318" s="35">
        <v>20.2578</v>
      </c>
    </row>
    <row r="319" spans="1:27" ht="15.75" hidden="1" customHeight="1" x14ac:dyDescent="0.2">
      <c r="A319" s="2"/>
      <c r="B319" s="31">
        <v>314</v>
      </c>
      <c r="C319" s="36" t="s">
        <v>706</v>
      </c>
      <c r="D319" s="36" t="s">
        <v>773</v>
      </c>
      <c r="E319" s="36" t="s">
        <v>774</v>
      </c>
      <c r="F319" s="36" t="s">
        <v>813</v>
      </c>
      <c r="G319" s="36" t="s">
        <v>814</v>
      </c>
      <c r="H319" s="37" t="s">
        <v>95</v>
      </c>
      <c r="I319" s="37" t="s">
        <v>81</v>
      </c>
      <c r="J319" s="37" t="s">
        <v>82</v>
      </c>
      <c r="K319" s="37" t="s">
        <v>87</v>
      </c>
      <c r="L319" s="36" t="s">
        <v>84</v>
      </c>
      <c r="M319" s="34">
        <v>1195.58</v>
      </c>
      <c r="N319" s="34">
        <v>416.43</v>
      </c>
      <c r="O319" s="34">
        <v>779.14</v>
      </c>
      <c r="P319" s="34">
        <v>310.56</v>
      </c>
      <c r="Q319" s="34">
        <v>83.99</v>
      </c>
      <c r="R319" s="34">
        <v>66.95</v>
      </c>
      <c r="S319" s="34">
        <v>66.900000000000006</v>
      </c>
      <c r="T319" s="34">
        <v>169.78</v>
      </c>
      <c r="U319" s="34">
        <v>973.13</v>
      </c>
      <c r="V319" s="34">
        <v>11.75</v>
      </c>
      <c r="W319" s="34">
        <v>2.0499999999999998</v>
      </c>
      <c r="X319" s="34">
        <v>0.53</v>
      </c>
      <c r="Y319" s="35">
        <v>11.3698</v>
      </c>
      <c r="Z319" s="35">
        <v>17.4467</v>
      </c>
      <c r="AA319" s="35">
        <v>43.771099999999997</v>
      </c>
    </row>
    <row r="320" spans="1:27" ht="15.75" hidden="1" customHeight="1" x14ac:dyDescent="0.2">
      <c r="A320" s="2"/>
      <c r="B320" s="31">
        <v>315</v>
      </c>
      <c r="C320" s="36" t="s">
        <v>706</v>
      </c>
      <c r="D320" s="36" t="s">
        <v>751</v>
      </c>
      <c r="E320" s="36" t="s">
        <v>752</v>
      </c>
      <c r="F320" s="36" t="s">
        <v>815</v>
      </c>
      <c r="G320" s="36" t="s">
        <v>816</v>
      </c>
      <c r="H320" s="37" t="s">
        <v>95</v>
      </c>
      <c r="I320" s="37" t="s">
        <v>81</v>
      </c>
      <c r="J320" s="37" t="s">
        <v>82</v>
      </c>
      <c r="K320" s="37" t="s">
        <v>87</v>
      </c>
      <c r="L320" s="36" t="s">
        <v>84</v>
      </c>
      <c r="M320" s="34">
        <v>1195.5</v>
      </c>
      <c r="N320" s="34">
        <v>801.27</v>
      </c>
      <c r="O320" s="34">
        <v>394.24</v>
      </c>
      <c r="P320" s="34">
        <v>577.82000000000005</v>
      </c>
      <c r="Q320" s="34">
        <v>0.08</v>
      </c>
      <c r="R320" s="34">
        <v>0.08</v>
      </c>
      <c r="S320" s="34">
        <v>0.08</v>
      </c>
      <c r="T320" s="34">
        <v>-8.23</v>
      </c>
      <c r="U320" s="34">
        <v>94.43</v>
      </c>
      <c r="V320" s="34">
        <v>-8.14</v>
      </c>
      <c r="W320" s="34">
        <v>0.71</v>
      </c>
      <c r="X320" s="34">
        <v>2.0299999999999998</v>
      </c>
      <c r="Y320" s="35">
        <v>-2.8740999999999999</v>
      </c>
      <c r="Z320" s="35">
        <v>-8.7156000000000002</v>
      </c>
      <c r="AA320" s="35">
        <v>-5.9466000000000001</v>
      </c>
    </row>
    <row r="321" spans="1:27" ht="15.75" hidden="1" customHeight="1" x14ac:dyDescent="0.2">
      <c r="A321" s="2"/>
      <c r="B321" s="31">
        <v>316</v>
      </c>
      <c r="C321" s="36" t="s">
        <v>706</v>
      </c>
      <c r="D321" s="36" t="s">
        <v>751</v>
      </c>
      <c r="E321" s="36" t="s">
        <v>752</v>
      </c>
      <c r="F321" s="36" t="s">
        <v>817</v>
      </c>
      <c r="G321" s="36" t="s">
        <v>818</v>
      </c>
      <c r="H321" s="37" t="s">
        <v>80</v>
      </c>
      <c r="I321" s="37" t="s">
        <v>81</v>
      </c>
      <c r="J321" s="37" t="s">
        <v>82</v>
      </c>
      <c r="K321" s="37" t="s">
        <v>87</v>
      </c>
      <c r="L321" s="36" t="s">
        <v>84</v>
      </c>
      <c r="M321" s="34">
        <v>426.25</v>
      </c>
      <c r="N321" s="34">
        <v>150.97</v>
      </c>
      <c r="O321" s="34">
        <v>275.27999999999997</v>
      </c>
      <c r="P321" s="34">
        <v>329.32</v>
      </c>
      <c r="Q321" s="34">
        <v>11.14</v>
      </c>
      <c r="R321" s="34">
        <v>8.73</v>
      </c>
      <c r="S321" s="34">
        <v>8.73</v>
      </c>
      <c r="T321" s="34">
        <v>7.34</v>
      </c>
      <c r="U321" s="34">
        <v>148.22999999999999</v>
      </c>
      <c r="V321" s="34">
        <v>12.27</v>
      </c>
      <c r="W321" s="34">
        <v>0.61</v>
      </c>
      <c r="X321" s="34">
        <v>0.55000000000000004</v>
      </c>
      <c r="Y321" s="35">
        <v>3.1960999999999999</v>
      </c>
      <c r="Z321" s="35">
        <v>4.9489999999999998</v>
      </c>
      <c r="AA321" s="35">
        <v>4.1368999999999998</v>
      </c>
    </row>
    <row r="322" spans="1:27" ht="15.75" hidden="1" customHeight="1" x14ac:dyDescent="0.2">
      <c r="A322" s="2"/>
      <c r="B322" s="31">
        <v>317</v>
      </c>
      <c r="C322" s="36" t="s">
        <v>706</v>
      </c>
      <c r="D322" s="36" t="s">
        <v>743</v>
      </c>
      <c r="E322" s="36" t="s">
        <v>744</v>
      </c>
      <c r="F322" s="36" t="s">
        <v>819</v>
      </c>
      <c r="G322" s="36" t="s">
        <v>820</v>
      </c>
      <c r="H322" s="37" t="s">
        <v>80</v>
      </c>
      <c r="I322" s="37" t="s">
        <v>81</v>
      </c>
      <c r="J322" s="37" t="s">
        <v>82</v>
      </c>
      <c r="K322" s="37" t="s">
        <v>87</v>
      </c>
      <c r="L322" s="36" t="s">
        <v>84</v>
      </c>
      <c r="M322" s="34">
        <v>17544.73</v>
      </c>
      <c r="N322" s="34">
        <v>6987.17</v>
      </c>
      <c r="O322" s="34">
        <v>10557.56</v>
      </c>
      <c r="P322" s="34">
        <v>6080.86</v>
      </c>
      <c r="Q322" s="34">
        <v>1249.6400000000001</v>
      </c>
      <c r="R322" s="34">
        <v>914.64</v>
      </c>
      <c r="S322" s="34">
        <v>915.77</v>
      </c>
      <c r="T322" s="34">
        <v>146.66999999999999</v>
      </c>
      <c r="U322" s="34">
        <v>996.01</v>
      </c>
      <c r="V322" s="34">
        <v>11.25</v>
      </c>
      <c r="W322" s="34">
        <v>1.66</v>
      </c>
      <c r="X322" s="34">
        <v>0.66</v>
      </c>
      <c r="Y322" s="35">
        <v>8.8613</v>
      </c>
      <c r="Z322" s="35">
        <v>14.725899999999999</v>
      </c>
      <c r="AA322" s="35">
        <v>25.5671</v>
      </c>
    </row>
    <row r="323" spans="1:27" ht="15.75" hidden="1" customHeight="1" x14ac:dyDescent="0.2">
      <c r="A323" s="2"/>
      <c r="B323" s="31">
        <v>318</v>
      </c>
      <c r="C323" s="36" t="s">
        <v>706</v>
      </c>
      <c r="D323" s="36" t="s">
        <v>751</v>
      </c>
      <c r="E323" s="36" t="s">
        <v>752</v>
      </c>
      <c r="F323" s="36" t="s">
        <v>821</v>
      </c>
      <c r="G323" s="36" t="s">
        <v>822</v>
      </c>
      <c r="H323" s="37" t="s">
        <v>80</v>
      </c>
      <c r="I323" s="37" t="s">
        <v>81</v>
      </c>
      <c r="J323" s="37" t="s">
        <v>82</v>
      </c>
      <c r="K323" s="37" t="s">
        <v>87</v>
      </c>
      <c r="L323" s="36" t="s">
        <v>84</v>
      </c>
      <c r="M323" s="34">
        <v>408.34</v>
      </c>
      <c r="N323" s="34">
        <v>249.07</v>
      </c>
      <c r="O323" s="34">
        <v>159.27000000000001</v>
      </c>
      <c r="P323" s="34">
        <v>169.59</v>
      </c>
      <c r="Q323" s="34">
        <v>-7.61</v>
      </c>
      <c r="R323" s="34">
        <v>-7.61</v>
      </c>
      <c r="S323" s="34">
        <v>-7.52</v>
      </c>
      <c r="T323" s="34">
        <v>-2.95</v>
      </c>
      <c r="U323" s="34">
        <v>73.650000000000006</v>
      </c>
      <c r="V323" s="34">
        <v>-12.19</v>
      </c>
      <c r="W323" s="34">
        <v>0.49</v>
      </c>
      <c r="X323" s="34">
        <v>1.56</v>
      </c>
      <c r="Y323" s="35">
        <v>-1.5641</v>
      </c>
      <c r="Z323" s="35">
        <v>-4.01</v>
      </c>
      <c r="AA323" s="35">
        <v>-3.7658999999999998</v>
      </c>
    </row>
    <row r="324" spans="1:27" ht="15.75" hidden="1" customHeight="1" x14ac:dyDescent="0.2">
      <c r="A324" s="2"/>
      <c r="B324" s="31">
        <v>319</v>
      </c>
      <c r="C324" s="36" t="s">
        <v>706</v>
      </c>
      <c r="D324" s="36" t="s">
        <v>743</v>
      </c>
      <c r="E324" s="36" t="s">
        <v>744</v>
      </c>
      <c r="F324" s="36" t="s">
        <v>823</v>
      </c>
      <c r="G324" s="36" t="s">
        <v>824</v>
      </c>
      <c r="H324" s="37" t="s">
        <v>80</v>
      </c>
      <c r="I324" s="37" t="s">
        <v>81</v>
      </c>
      <c r="J324" s="37" t="s">
        <v>82</v>
      </c>
      <c r="K324" s="37" t="s">
        <v>87</v>
      </c>
      <c r="L324" s="36" t="s">
        <v>84</v>
      </c>
      <c r="M324" s="34">
        <v>9292.4699999999993</v>
      </c>
      <c r="N324" s="34">
        <v>6115.65</v>
      </c>
      <c r="O324" s="34">
        <v>3176.82</v>
      </c>
      <c r="P324" s="34">
        <v>3359.03</v>
      </c>
      <c r="Q324" s="34">
        <v>622</v>
      </c>
      <c r="R324" s="34">
        <v>478.32</v>
      </c>
      <c r="S324" s="34">
        <v>454.01</v>
      </c>
      <c r="T324" s="34">
        <v>251.68</v>
      </c>
      <c r="U324" s="34">
        <v>875.3</v>
      </c>
      <c r="V324" s="34">
        <v>24.34</v>
      </c>
      <c r="W324" s="34">
        <v>7</v>
      </c>
      <c r="X324" s="34">
        <v>1.93</v>
      </c>
      <c r="Y324" s="35">
        <v>9.8299000000000003</v>
      </c>
      <c r="Z324" s="35">
        <v>28.7532</v>
      </c>
      <c r="AA324" s="35">
        <v>27.1935</v>
      </c>
    </row>
    <row r="325" spans="1:27" ht="15.75" hidden="1" customHeight="1" x14ac:dyDescent="0.2">
      <c r="A325" s="2"/>
      <c r="B325" s="31">
        <v>320</v>
      </c>
      <c r="C325" s="36" t="s">
        <v>706</v>
      </c>
      <c r="D325" s="36" t="s">
        <v>743</v>
      </c>
      <c r="E325" s="36" t="s">
        <v>744</v>
      </c>
      <c r="F325" s="36" t="s">
        <v>825</v>
      </c>
      <c r="G325" s="36" t="s">
        <v>826</v>
      </c>
      <c r="H325" s="37" t="s">
        <v>80</v>
      </c>
      <c r="I325" s="37" t="s">
        <v>81</v>
      </c>
      <c r="J325" s="37" t="s">
        <v>82</v>
      </c>
      <c r="K325" s="37" t="s">
        <v>87</v>
      </c>
      <c r="L325" s="36" t="s">
        <v>84</v>
      </c>
      <c r="M325" s="34">
        <v>7709.28</v>
      </c>
      <c r="N325" s="34">
        <v>4802.57</v>
      </c>
      <c r="O325" s="34">
        <v>2906.71</v>
      </c>
      <c r="P325" s="34">
        <v>9461.93</v>
      </c>
      <c r="Q325" s="34">
        <v>199.19</v>
      </c>
      <c r="R325" s="34">
        <v>133.52000000000001</v>
      </c>
      <c r="S325" s="34">
        <v>126.18</v>
      </c>
      <c r="T325" s="34">
        <v>0.71</v>
      </c>
      <c r="U325" s="34">
        <v>605.55999999999995</v>
      </c>
      <c r="V325" s="34">
        <v>4080.52</v>
      </c>
      <c r="W325" s="34">
        <v>4.79</v>
      </c>
      <c r="X325" s="34">
        <v>1.65</v>
      </c>
      <c r="Y325" s="35">
        <v>4.4200000000000003E-2</v>
      </c>
      <c r="Z325" s="35">
        <v>0.1174</v>
      </c>
      <c r="AA325" s="35">
        <v>3.61E-2</v>
      </c>
    </row>
    <row r="326" spans="1:27" ht="15.75" hidden="1" customHeight="1" x14ac:dyDescent="0.2">
      <c r="A326" s="2"/>
      <c r="B326" s="31">
        <v>321</v>
      </c>
      <c r="C326" s="36" t="s">
        <v>706</v>
      </c>
      <c r="D326" s="36" t="s">
        <v>755</v>
      </c>
      <c r="E326" s="36" t="s">
        <v>756</v>
      </c>
      <c r="F326" s="36" t="s">
        <v>827</v>
      </c>
      <c r="G326" s="36" t="s">
        <v>828</v>
      </c>
      <c r="H326" s="37" t="s">
        <v>80</v>
      </c>
      <c r="I326" s="37" t="s">
        <v>81</v>
      </c>
      <c r="J326" s="37" t="s">
        <v>82</v>
      </c>
      <c r="K326" s="37" t="s">
        <v>87</v>
      </c>
      <c r="L326" s="36" t="s">
        <v>84</v>
      </c>
      <c r="M326" s="34">
        <v>46.67</v>
      </c>
      <c r="N326" s="34">
        <v>59.52</v>
      </c>
      <c r="O326" s="34">
        <v>-12.85</v>
      </c>
      <c r="P326" s="34">
        <v>42.83</v>
      </c>
      <c r="Q326" s="34">
        <v>-10.74</v>
      </c>
      <c r="R326" s="34">
        <v>-10.71</v>
      </c>
      <c r="S326" s="34">
        <v>-7.47</v>
      </c>
      <c r="T326" s="34">
        <v>-23.57</v>
      </c>
      <c r="U326" s="34">
        <v>-19.77</v>
      </c>
      <c r="V326" s="34">
        <v>-9.42</v>
      </c>
      <c r="W326" s="34">
        <v>-11.23</v>
      </c>
      <c r="X326" s="34">
        <v>-4.63</v>
      </c>
      <c r="Y326" s="35">
        <v>-32.830500000000001</v>
      </c>
      <c r="Z326" s="35" t="s">
        <v>95</v>
      </c>
      <c r="AA326" s="35">
        <v>-35.775300000000001</v>
      </c>
    </row>
    <row r="327" spans="1:27" ht="15.75" hidden="1" customHeight="1" x14ac:dyDescent="0.2">
      <c r="A327" s="2"/>
      <c r="B327" s="31">
        <v>322</v>
      </c>
      <c r="C327" s="36" t="s">
        <v>706</v>
      </c>
      <c r="D327" s="36" t="s">
        <v>747</v>
      </c>
      <c r="E327" s="36" t="s">
        <v>748</v>
      </c>
      <c r="F327" s="36" t="s">
        <v>829</v>
      </c>
      <c r="G327" s="36" t="s">
        <v>830</v>
      </c>
      <c r="H327" s="37" t="s">
        <v>80</v>
      </c>
      <c r="I327" s="37" t="s">
        <v>81</v>
      </c>
      <c r="J327" s="37" t="s">
        <v>82</v>
      </c>
      <c r="K327" s="37" t="s">
        <v>87</v>
      </c>
      <c r="L327" s="36" t="s">
        <v>84</v>
      </c>
      <c r="M327" s="34">
        <v>1024.05</v>
      </c>
      <c r="N327" s="34">
        <v>390.79</v>
      </c>
      <c r="O327" s="34">
        <v>633.26</v>
      </c>
      <c r="P327" s="34">
        <v>662.37</v>
      </c>
      <c r="Q327" s="34">
        <v>41.41</v>
      </c>
      <c r="R327" s="34">
        <v>42.03</v>
      </c>
      <c r="S327" s="34">
        <v>42.03</v>
      </c>
      <c r="T327" s="34">
        <v>7.6</v>
      </c>
      <c r="U327" s="34">
        <v>71.010000000000005</v>
      </c>
      <c r="V327" s="34">
        <v>66.44</v>
      </c>
      <c r="W327" s="34">
        <v>7.11</v>
      </c>
      <c r="X327" s="34">
        <v>0.62</v>
      </c>
      <c r="Y327" s="35">
        <v>6.6193</v>
      </c>
      <c r="Z327" s="35">
        <v>10.7041</v>
      </c>
      <c r="AA327" s="35">
        <v>10.233599999999999</v>
      </c>
    </row>
    <row r="328" spans="1:27" ht="15.75" hidden="1" customHeight="1" x14ac:dyDescent="0.2">
      <c r="A328" s="2"/>
      <c r="B328" s="31">
        <v>323</v>
      </c>
      <c r="C328" s="36" t="s">
        <v>706</v>
      </c>
      <c r="D328" s="36" t="s">
        <v>743</v>
      </c>
      <c r="E328" s="36" t="s">
        <v>744</v>
      </c>
      <c r="F328" s="36" t="s">
        <v>831</v>
      </c>
      <c r="G328" s="36" t="s">
        <v>832</v>
      </c>
      <c r="H328" s="37" t="s">
        <v>95</v>
      </c>
      <c r="I328" s="37" t="s">
        <v>691</v>
      </c>
      <c r="J328" s="37" t="s">
        <v>82</v>
      </c>
      <c r="K328" s="37" t="s">
        <v>87</v>
      </c>
      <c r="L328" s="36" t="s">
        <v>84</v>
      </c>
      <c r="M328" s="34">
        <v>480.92</v>
      </c>
      <c r="N328" s="34">
        <v>400.9</v>
      </c>
      <c r="O328" s="34">
        <v>80.02</v>
      </c>
      <c r="P328" s="34">
        <v>3.75</v>
      </c>
      <c r="Q328" s="34">
        <v>-4.37</v>
      </c>
      <c r="R328" s="34">
        <v>-4.37</v>
      </c>
      <c r="S328" s="34">
        <v>-4.3499999999999996</v>
      </c>
      <c r="T328" s="34">
        <v>-4.6500000000000004</v>
      </c>
      <c r="U328" s="34">
        <v>21.83</v>
      </c>
      <c r="V328" s="34">
        <v>-10.76</v>
      </c>
      <c r="W328" s="34">
        <v>2.29</v>
      </c>
      <c r="X328" s="34">
        <v>5.01</v>
      </c>
      <c r="Y328" s="35">
        <v>-3.5421999999999998</v>
      </c>
      <c r="Z328" s="35">
        <v>-21.2879</v>
      </c>
      <c r="AA328" s="35">
        <v>-454.28579999999999</v>
      </c>
    </row>
    <row r="329" spans="1:27" ht="15.75" hidden="1" customHeight="1" x14ac:dyDescent="0.2">
      <c r="A329" s="2"/>
      <c r="B329" s="31">
        <v>324</v>
      </c>
      <c r="C329" s="36" t="s">
        <v>706</v>
      </c>
      <c r="D329" s="36" t="s">
        <v>755</v>
      </c>
      <c r="E329" s="36" t="s">
        <v>756</v>
      </c>
      <c r="F329" s="36" t="s">
        <v>833</v>
      </c>
      <c r="G329" s="36" t="s">
        <v>834</v>
      </c>
      <c r="H329" s="37" t="s">
        <v>80</v>
      </c>
      <c r="I329" s="37" t="s">
        <v>81</v>
      </c>
      <c r="J329" s="37" t="s">
        <v>82</v>
      </c>
      <c r="K329" s="37" t="s">
        <v>87</v>
      </c>
      <c r="L329" s="36" t="s">
        <v>84</v>
      </c>
      <c r="M329" s="34">
        <v>8343.8700000000008</v>
      </c>
      <c r="N329" s="34">
        <v>4435.42</v>
      </c>
      <c r="O329" s="34">
        <v>3908.45</v>
      </c>
      <c r="P329" s="34">
        <v>6040.93</v>
      </c>
      <c r="Q329" s="34">
        <v>370.36</v>
      </c>
      <c r="R329" s="34">
        <v>290.33</v>
      </c>
      <c r="S329" s="34">
        <v>257.7</v>
      </c>
      <c r="T329" s="34">
        <v>16.920000000000002</v>
      </c>
      <c r="U329" s="34">
        <v>105.93</v>
      </c>
      <c r="V329" s="34">
        <v>21.99</v>
      </c>
      <c r="W329" s="34">
        <v>3.51</v>
      </c>
      <c r="X329" s="34">
        <v>1.1299999999999999</v>
      </c>
      <c r="Y329" s="35">
        <v>7.4805000000000001</v>
      </c>
      <c r="Z329" s="35">
        <v>15.9696</v>
      </c>
      <c r="AA329" s="35">
        <v>10.3323</v>
      </c>
    </row>
    <row r="330" spans="1:27" ht="15.75" hidden="1" customHeight="1" x14ac:dyDescent="0.2">
      <c r="A330" s="2"/>
      <c r="B330" s="31">
        <v>325</v>
      </c>
      <c r="C330" s="36" t="s">
        <v>706</v>
      </c>
      <c r="D330" s="36" t="s">
        <v>747</v>
      </c>
      <c r="E330" s="36" t="s">
        <v>748</v>
      </c>
      <c r="F330" s="36" t="s">
        <v>835</v>
      </c>
      <c r="G330" s="36" t="s">
        <v>836</v>
      </c>
      <c r="H330" s="37" t="s">
        <v>95</v>
      </c>
      <c r="I330" s="37" t="s">
        <v>81</v>
      </c>
      <c r="J330" s="37" t="s">
        <v>82</v>
      </c>
      <c r="K330" s="37" t="s">
        <v>87</v>
      </c>
      <c r="L330" s="36" t="s">
        <v>90</v>
      </c>
      <c r="M330" s="34">
        <v>153.94999999999999</v>
      </c>
      <c r="N330" s="34">
        <v>65.849999999999994</v>
      </c>
      <c r="O330" s="34">
        <v>88.1</v>
      </c>
      <c r="P330" s="34">
        <v>341.87</v>
      </c>
      <c r="Q330" s="34">
        <v>3.8</v>
      </c>
      <c r="R330" s="34">
        <v>2.99</v>
      </c>
      <c r="S330" s="34">
        <v>1.92</v>
      </c>
      <c r="T330" s="34">
        <v>1.0900000000000001</v>
      </c>
      <c r="U330" s="34">
        <v>57.02</v>
      </c>
      <c r="V330" s="34">
        <v>60.41</v>
      </c>
      <c r="W330" s="34">
        <v>1.1599999999999999</v>
      </c>
      <c r="X330" s="34">
        <v>0.75</v>
      </c>
      <c r="Y330" s="35">
        <v>1.0964</v>
      </c>
      <c r="Z330" s="35">
        <v>1.9158999999999999</v>
      </c>
      <c r="AA330" s="35">
        <v>0.49370000000000003</v>
      </c>
    </row>
    <row r="331" spans="1:27" ht="15.75" hidden="1" customHeight="1" x14ac:dyDescent="0.2">
      <c r="A331" s="2"/>
      <c r="B331" s="31">
        <v>326</v>
      </c>
      <c r="C331" s="36" t="s">
        <v>706</v>
      </c>
      <c r="D331" s="36" t="s">
        <v>755</v>
      </c>
      <c r="E331" s="36" t="s">
        <v>756</v>
      </c>
      <c r="F331" s="36" t="s">
        <v>837</v>
      </c>
      <c r="G331" s="36" t="s">
        <v>838</v>
      </c>
      <c r="H331" s="37" t="s">
        <v>80</v>
      </c>
      <c r="I331" s="37" t="s">
        <v>81</v>
      </c>
      <c r="J331" s="37" t="s">
        <v>82</v>
      </c>
      <c r="K331" s="37" t="s">
        <v>87</v>
      </c>
      <c r="L331" s="36" t="s">
        <v>84</v>
      </c>
      <c r="M331" s="34">
        <v>224.3</v>
      </c>
      <c r="N331" s="34">
        <v>75.790000000000006</v>
      </c>
      <c r="O331" s="34">
        <v>148.51</v>
      </c>
      <c r="P331" s="34">
        <v>65.13</v>
      </c>
      <c r="Q331" s="34">
        <v>-1.64</v>
      </c>
      <c r="R331" s="34">
        <v>-1.62</v>
      </c>
      <c r="S331" s="34">
        <v>-1.62</v>
      </c>
      <c r="T331" s="34">
        <v>-0.89</v>
      </c>
      <c r="U331" s="34">
        <v>138.75</v>
      </c>
      <c r="V331" s="34">
        <v>-380.1</v>
      </c>
      <c r="W331" s="34">
        <v>2.4500000000000002</v>
      </c>
      <c r="X331" s="34">
        <v>0.51</v>
      </c>
      <c r="Y331" s="35">
        <v>-0.42680000000000001</v>
      </c>
      <c r="Z331" s="35">
        <v>-0.64470000000000005</v>
      </c>
      <c r="AA331" s="35">
        <v>-1.47</v>
      </c>
    </row>
    <row r="332" spans="1:27" ht="15.75" hidden="1" customHeight="1" x14ac:dyDescent="0.2">
      <c r="A332" s="2"/>
      <c r="B332" s="31">
        <v>327</v>
      </c>
      <c r="C332" s="36" t="s">
        <v>706</v>
      </c>
      <c r="D332" s="36" t="s">
        <v>743</v>
      </c>
      <c r="E332" s="36" t="s">
        <v>744</v>
      </c>
      <c r="F332" s="36" t="s">
        <v>839</v>
      </c>
      <c r="G332" s="36" t="s">
        <v>840</v>
      </c>
      <c r="H332" s="37" t="s">
        <v>80</v>
      </c>
      <c r="I332" s="37" t="s">
        <v>81</v>
      </c>
      <c r="J332" s="37" t="s">
        <v>82</v>
      </c>
      <c r="K332" s="37" t="s">
        <v>87</v>
      </c>
      <c r="L332" s="36" t="s">
        <v>84</v>
      </c>
      <c r="M332" s="34">
        <v>973.59</v>
      </c>
      <c r="N332" s="34">
        <v>271.33</v>
      </c>
      <c r="O332" s="34">
        <v>702.26</v>
      </c>
      <c r="P332" s="34">
        <v>792.09</v>
      </c>
      <c r="Q332" s="34">
        <v>56.69</v>
      </c>
      <c r="R332" s="34">
        <v>44.22</v>
      </c>
      <c r="S332" s="34">
        <v>28.17</v>
      </c>
      <c r="T332" s="34">
        <v>26.28</v>
      </c>
      <c r="U332" s="34">
        <v>280.91000000000003</v>
      </c>
      <c r="V332" s="34">
        <v>8.75</v>
      </c>
      <c r="W332" s="34">
        <v>0.82</v>
      </c>
      <c r="X332" s="34">
        <v>0.39</v>
      </c>
      <c r="Y332" s="35">
        <v>6.7469999999999999</v>
      </c>
      <c r="Z332" s="35">
        <v>9.3536999999999999</v>
      </c>
      <c r="AA332" s="35">
        <v>8.2929999999999993</v>
      </c>
    </row>
    <row r="333" spans="1:27" ht="15.75" hidden="1" customHeight="1" x14ac:dyDescent="0.2">
      <c r="A333" s="2"/>
      <c r="B333" s="31">
        <v>328</v>
      </c>
      <c r="C333" s="36" t="s">
        <v>706</v>
      </c>
      <c r="D333" s="36" t="s">
        <v>743</v>
      </c>
      <c r="E333" s="36" t="s">
        <v>744</v>
      </c>
      <c r="F333" s="36" t="s">
        <v>841</v>
      </c>
      <c r="G333" s="36" t="s">
        <v>842</v>
      </c>
      <c r="H333" s="37" t="s">
        <v>80</v>
      </c>
      <c r="I333" s="37" t="s">
        <v>81</v>
      </c>
      <c r="J333" s="37" t="s">
        <v>82</v>
      </c>
      <c r="K333" s="37" t="s">
        <v>87</v>
      </c>
      <c r="L333" s="36" t="s">
        <v>84</v>
      </c>
      <c r="M333" s="34">
        <v>2212</v>
      </c>
      <c r="N333" s="34">
        <v>965.09</v>
      </c>
      <c r="O333" s="34">
        <v>1246.9000000000001</v>
      </c>
      <c r="P333" s="34">
        <v>357.68</v>
      </c>
      <c r="Q333" s="34">
        <v>28.49</v>
      </c>
      <c r="R333" s="34">
        <v>14.92</v>
      </c>
      <c r="S333" s="34">
        <v>14.64</v>
      </c>
      <c r="T333" s="34">
        <v>14.53</v>
      </c>
      <c r="U333" s="34">
        <v>207.82</v>
      </c>
      <c r="V333" s="34">
        <v>15.41</v>
      </c>
      <c r="W333" s="34">
        <v>1.08</v>
      </c>
      <c r="X333" s="34">
        <v>0.77</v>
      </c>
      <c r="Y333" s="35">
        <v>3.9424000000000001</v>
      </c>
      <c r="Z333" s="35">
        <v>6.9938000000000002</v>
      </c>
      <c r="AA333" s="35">
        <v>24.381399999999999</v>
      </c>
    </row>
    <row r="334" spans="1:27" ht="15.75" hidden="1" customHeight="1" x14ac:dyDescent="0.2">
      <c r="A334" s="2"/>
      <c r="B334" s="31">
        <v>329</v>
      </c>
      <c r="C334" s="36" t="s">
        <v>706</v>
      </c>
      <c r="D334" s="36" t="s">
        <v>755</v>
      </c>
      <c r="E334" s="36" t="s">
        <v>756</v>
      </c>
      <c r="F334" s="36" t="s">
        <v>843</v>
      </c>
      <c r="G334" s="36" t="s">
        <v>844</v>
      </c>
      <c r="H334" s="37" t="s">
        <v>80</v>
      </c>
      <c r="I334" s="37" t="s">
        <v>81</v>
      </c>
      <c r="J334" s="37" t="s">
        <v>82</v>
      </c>
      <c r="K334" s="37" t="s">
        <v>87</v>
      </c>
      <c r="L334" s="36" t="s">
        <v>84</v>
      </c>
      <c r="M334" s="34">
        <v>865.71</v>
      </c>
      <c r="N334" s="34">
        <v>236.68</v>
      </c>
      <c r="O334" s="34">
        <v>629.04</v>
      </c>
      <c r="P334" s="34">
        <v>575.33000000000004</v>
      </c>
      <c r="Q334" s="34">
        <v>-9.68</v>
      </c>
      <c r="R334" s="34">
        <v>-9.94</v>
      </c>
      <c r="S334" s="34">
        <v>-10.25</v>
      </c>
      <c r="T334" s="34">
        <v>-3.09</v>
      </c>
      <c r="U334" s="34">
        <v>65</v>
      </c>
      <c r="V334" s="34">
        <v>-29.73</v>
      </c>
      <c r="W334" s="34">
        <v>1.42</v>
      </c>
      <c r="X334" s="34">
        <v>0.38</v>
      </c>
      <c r="Y334" s="35">
        <v>-3.4588999999999999</v>
      </c>
      <c r="Z334" s="35">
        <v>-4.7603</v>
      </c>
      <c r="AA334" s="35">
        <v>-5.2046000000000001</v>
      </c>
    </row>
    <row r="335" spans="1:27" ht="15.75" hidden="1" customHeight="1" x14ac:dyDescent="0.2">
      <c r="A335" s="2"/>
      <c r="B335" s="31">
        <v>330</v>
      </c>
      <c r="C335" s="36" t="s">
        <v>706</v>
      </c>
      <c r="D335" s="36" t="s">
        <v>755</v>
      </c>
      <c r="E335" s="36" t="s">
        <v>756</v>
      </c>
      <c r="F335" s="36" t="s">
        <v>845</v>
      </c>
      <c r="G335" s="36" t="s">
        <v>846</v>
      </c>
      <c r="H335" s="37" t="s">
        <v>95</v>
      </c>
      <c r="I335" s="37" t="s">
        <v>81</v>
      </c>
      <c r="J335" s="37" t="s">
        <v>82</v>
      </c>
      <c r="K335" s="37" t="s">
        <v>87</v>
      </c>
      <c r="L335" s="36" t="s">
        <v>84</v>
      </c>
      <c r="M335" s="34">
        <v>375.3</v>
      </c>
      <c r="N335" s="34">
        <v>31.91</v>
      </c>
      <c r="O335" s="34">
        <v>343.39</v>
      </c>
      <c r="P335" s="34">
        <v>24.89</v>
      </c>
      <c r="Q335" s="34">
        <v>2.36</v>
      </c>
      <c r="R335" s="34">
        <v>1.51</v>
      </c>
      <c r="S335" s="34">
        <v>1.51</v>
      </c>
      <c r="T335" s="34">
        <v>-0.08</v>
      </c>
      <c r="U335" s="34">
        <v>42.57</v>
      </c>
      <c r="V335" s="34">
        <v>-945.09</v>
      </c>
      <c r="W335" s="34">
        <v>1.76</v>
      </c>
      <c r="X335" s="34">
        <v>0.09</v>
      </c>
      <c r="Y335" s="35">
        <v>-0.1706</v>
      </c>
      <c r="Z335" s="35">
        <v>-0.18640000000000001</v>
      </c>
      <c r="AA335" s="35">
        <v>-2.5714000000000001</v>
      </c>
    </row>
    <row r="336" spans="1:27" ht="15.75" customHeight="1" x14ac:dyDescent="0.2">
      <c r="A336" s="2"/>
      <c r="B336" s="31">
        <v>331</v>
      </c>
      <c r="C336" s="36" t="s">
        <v>706</v>
      </c>
      <c r="D336" s="36" t="s">
        <v>755</v>
      </c>
      <c r="E336" s="36" t="s">
        <v>756</v>
      </c>
      <c r="F336" s="36" t="s">
        <v>847</v>
      </c>
      <c r="G336" s="36" t="s">
        <v>848</v>
      </c>
      <c r="H336" s="37" t="s">
        <v>80</v>
      </c>
      <c r="I336" s="37" t="s">
        <v>81</v>
      </c>
      <c r="J336" s="37" t="s">
        <v>82</v>
      </c>
      <c r="K336" s="37" t="s">
        <v>87</v>
      </c>
      <c r="L336" s="36" t="s">
        <v>84</v>
      </c>
      <c r="M336" s="34">
        <v>131995.68</v>
      </c>
      <c r="N336" s="34">
        <v>62495.9</v>
      </c>
      <c r="O336" s="34">
        <v>69499.78</v>
      </c>
      <c r="P336" s="34">
        <v>37600.93</v>
      </c>
      <c r="Q336" s="34">
        <v>7742.09</v>
      </c>
      <c r="R336" s="34">
        <v>6205.59</v>
      </c>
      <c r="S336" s="34">
        <v>5536.14</v>
      </c>
      <c r="T336" s="34">
        <v>778.42</v>
      </c>
      <c r="U336" s="34">
        <v>5959.55</v>
      </c>
      <c r="V336" s="34">
        <v>12.17</v>
      </c>
      <c r="W336" s="34">
        <v>1.59</v>
      </c>
      <c r="X336" s="34">
        <v>0.9</v>
      </c>
      <c r="Y336" s="35">
        <v>6.8773999999999997</v>
      </c>
      <c r="Z336" s="35">
        <v>13.0618</v>
      </c>
      <c r="AA336" s="35">
        <v>24.142700000000001</v>
      </c>
    </row>
    <row r="337" spans="1:27" ht="15.75" hidden="1" customHeight="1" x14ac:dyDescent="0.2">
      <c r="A337" s="2"/>
      <c r="B337" s="31">
        <v>332</v>
      </c>
      <c r="C337" s="36" t="s">
        <v>706</v>
      </c>
      <c r="D337" s="36" t="s">
        <v>751</v>
      </c>
      <c r="E337" s="36" t="s">
        <v>752</v>
      </c>
      <c r="F337" s="36" t="s">
        <v>849</v>
      </c>
      <c r="G337" s="36" t="s">
        <v>850</v>
      </c>
      <c r="H337" s="37" t="s">
        <v>80</v>
      </c>
      <c r="I337" s="37" t="s">
        <v>81</v>
      </c>
      <c r="J337" s="37" t="s">
        <v>82</v>
      </c>
      <c r="K337" s="37" t="s">
        <v>87</v>
      </c>
      <c r="L337" s="36" t="s">
        <v>84</v>
      </c>
      <c r="M337" s="34">
        <v>133.80000000000001</v>
      </c>
      <c r="N337" s="34">
        <v>58.88</v>
      </c>
      <c r="O337" s="34">
        <v>74.930000000000007</v>
      </c>
      <c r="P337" s="34">
        <v>66.55</v>
      </c>
      <c r="Q337" s="34">
        <v>0.39</v>
      </c>
      <c r="R337" s="34">
        <v>0.42</v>
      </c>
      <c r="S337" s="34">
        <v>0.42</v>
      </c>
      <c r="T337" s="34">
        <v>0.71</v>
      </c>
      <c r="U337" s="34">
        <v>89.91</v>
      </c>
      <c r="V337" s="34">
        <v>194.84</v>
      </c>
      <c r="W337" s="34">
        <v>1.53</v>
      </c>
      <c r="X337" s="34">
        <v>0.79</v>
      </c>
      <c r="Y337" s="35">
        <v>0.44109999999999999</v>
      </c>
      <c r="Z337" s="35">
        <v>0.78769999999999996</v>
      </c>
      <c r="AA337" s="35">
        <v>0.88690000000000002</v>
      </c>
    </row>
    <row r="338" spans="1:27" ht="15.75" customHeight="1" x14ac:dyDescent="0.2">
      <c r="A338" s="2"/>
      <c r="B338" s="31">
        <v>333</v>
      </c>
      <c r="C338" s="36" t="s">
        <v>706</v>
      </c>
      <c r="D338" s="36" t="s">
        <v>755</v>
      </c>
      <c r="E338" s="36" t="s">
        <v>756</v>
      </c>
      <c r="F338" s="36" t="s">
        <v>36</v>
      </c>
      <c r="G338" s="36" t="s">
        <v>851</v>
      </c>
      <c r="H338" s="37" t="s">
        <v>80</v>
      </c>
      <c r="I338" s="37" t="s">
        <v>81</v>
      </c>
      <c r="J338" s="37" t="s">
        <v>82</v>
      </c>
      <c r="K338" s="37" t="s">
        <v>87</v>
      </c>
      <c r="L338" s="36" t="s">
        <v>84</v>
      </c>
      <c r="M338" s="34">
        <v>209245.32</v>
      </c>
      <c r="N338" s="34">
        <v>96559.76</v>
      </c>
      <c r="O338" s="34">
        <v>112685.56</v>
      </c>
      <c r="P338" s="34">
        <v>59843.25</v>
      </c>
      <c r="Q338" s="34">
        <v>10205.73</v>
      </c>
      <c r="R338" s="34">
        <v>8100.62</v>
      </c>
      <c r="S338" s="34">
        <v>5838.26</v>
      </c>
      <c r="T338" s="34">
        <v>1210.1500000000001</v>
      </c>
      <c r="U338" s="34">
        <v>12833.72</v>
      </c>
      <c r="V338" s="34">
        <v>5.97</v>
      </c>
      <c r="W338" s="34">
        <v>0.56000000000000005</v>
      </c>
      <c r="X338" s="34">
        <v>0.86</v>
      </c>
      <c r="Y338" s="35">
        <v>5.0781000000000001</v>
      </c>
      <c r="Z338" s="35">
        <v>9.4295000000000009</v>
      </c>
      <c r="AA338" s="35">
        <v>17.755800000000001</v>
      </c>
    </row>
    <row r="339" spans="1:27" ht="15.75" hidden="1" customHeight="1" x14ac:dyDescent="0.2">
      <c r="A339" s="2"/>
      <c r="B339" s="31">
        <v>334</v>
      </c>
      <c r="C339" s="36" t="s">
        <v>706</v>
      </c>
      <c r="D339" s="36" t="s">
        <v>743</v>
      </c>
      <c r="E339" s="36" t="s">
        <v>744</v>
      </c>
      <c r="F339" s="36" t="s">
        <v>852</v>
      </c>
      <c r="G339" s="36" t="s">
        <v>853</v>
      </c>
      <c r="H339" s="37" t="s">
        <v>95</v>
      </c>
      <c r="I339" s="37" t="s">
        <v>338</v>
      </c>
      <c r="J339" s="37" t="s">
        <v>82</v>
      </c>
      <c r="K339" s="37" t="s">
        <v>87</v>
      </c>
      <c r="L339" s="36" t="s">
        <v>84</v>
      </c>
      <c r="M339" s="34">
        <v>301.45</v>
      </c>
      <c r="N339" s="34">
        <v>14.29</v>
      </c>
      <c r="O339" s="34">
        <v>287.17</v>
      </c>
      <c r="P339" s="34">
        <v>20.53</v>
      </c>
      <c r="Q339" s="34">
        <v>1.1599999999999999</v>
      </c>
      <c r="R339" s="34">
        <v>0.89</v>
      </c>
      <c r="S339" s="34">
        <v>0.89</v>
      </c>
      <c r="T339" s="34">
        <v>0.4</v>
      </c>
      <c r="U339" s="34">
        <v>62.43</v>
      </c>
      <c r="V339" s="34">
        <v>34.97</v>
      </c>
      <c r="W339" s="34">
        <v>0.22</v>
      </c>
      <c r="X339" s="34">
        <v>0.05</v>
      </c>
      <c r="Y339" s="35">
        <v>0.61080000000000001</v>
      </c>
      <c r="Z339" s="35">
        <v>0.64119999999999999</v>
      </c>
      <c r="AA339" s="35">
        <v>8.9692000000000007</v>
      </c>
    </row>
    <row r="340" spans="1:27" ht="15.75" hidden="1" customHeight="1" x14ac:dyDescent="0.2">
      <c r="A340" s="2"/>
      <c r="B340" s="31">
        <v>335</v>
      </c>
      <c r="C340" s="36" t="s">
        <v>706</v>
      </c>
      <c r="D340" s="36" t="s">
        <v>751</v>
      </c>
      <c r="E340" s="36" t="s">
        <v>752</v>
      </c>
      <c r="F340" s="36" t="s">
        <v>854</v>
      </c>
      <c r="G340" s="36" t="s">
        <v>855</v>
      </c>
      <c r="H340" s="37" t="s">
        <v>95</v>
      </c>
      <c r="I340" s="37" t="s">
        <v>81</v>
      </c>
      <c r="J340" s="37" t="s">
        <v>82</v>
      </c>
      <c r="K340" s="37" t="s">
        <v>87</v>
      </c>
      <c r="L340" s="36" t="s">
        <v>84</v>
      </c>
      <c r="M340" s="34">
        <v>428.62</v>
      </c>
      <c r="N340" s="34">
        <v>248.31</v>
      </c>
      <c r="O340" s="34">
        <v>180.32</v>
      </c>
      <c r="P340" s="34">
        <v>228.06</v>
      </c>
      <c r="Q340" s="34">
        <v>1.83</v>
      </c>
      <c r="R340" s="34">
        <v>1.23</v>
      </c>
      <c r="S340" s="34">
        <v>1.23</v>
      </c>
      <c r="T340" s="34">
        <v>0.51</v>
      </c>
      <c r="U340" s="34">
        <v>129.72</v>
      </c>
      <c r="V340" s="34">
        <v>182.02</v>
      </c>
      <c r="W340" s="34">
        <v>0.71</v>
      </c>
      <c r="X340" s="34">
        <v>1.38</v>
      </c>
      <c r="Y340" s="35">
        <v>0.16389999999999999</v>
      </c>
      <c r="Z340" s="35">
        <v>0.3896</v>
      </c>
      <c r="AA340" s="35">
        <v>0.30809999999999998</v>
      </c>
    </row>
    <row r="341" spans="1:27" ht="15.75" hidden="1" customHeight="1" x14ac:dyDescent="0.2">
      <c r="A341" s="2"/>
      <c r="B341" s="31">
        <v>336</v>
      </c>
      <c r="C341" s="36" t="s">
        <v>706</v>
      </c>
      <c r="D341" s="36" t="s">
        <v>743</v>
      </c>
      <c r="E341" s="36" t="s">
        <v>744</v>
      </c>
      <c r="F341" s="36" t="s">
        <v>856</v>
      </c>
      <c r="G341" s="36" t="s">
        <v>857</v>
      </c>
      <c r="H341" s="37" t="s">
        <v>80</v>
      </c>
      <c r="I341" s="37" t="s">
        <v>81</v>
      </c>
      <c r="J341" s="37" t="s">
        <v>82</v>
      </c>
      <c r="K341" s="37" t="s">
        <v>87</v>
      </c>
      <c r="L341" s="36" t="s">
        <v>84</v>
      </c>
      <c r="M341" s="34">
        <v>4038.9</v>
      </c>
      <c r="N341" s="34">
        <v>2229.29</v>
      </c>
      <c r="O341" s="34">
        <v>1809.6</v>
      </c>
      <c r="P341" s="34">
        <v>2040.85</v>
      </c>
      <c r="Q341" s="34">
        <v>205.63</v>
      </c>
      <c r="R341" s="34">
        <v>160.38999999999999</v>
      </c>
      <c r="S341" s="34">
        <v>160.38999999999999</v>
      </c>
      <c r="T341" s="34">
        <v>36.1</v>
      </c>
      <c r="U341" s="34">
        <v>196.04</v>
      </c>
      <c r="V341" s="34">
        <v>117.71</v>
      </c>
      <c r="W341" s="34">
        <v>21.68</v>
      </c>
      <c r="X341" s="34">
        <v>1.23</v>
      </c>
      <c r="Y341" s="35">
        <v>8.2515000000000001</v>
      </c>
      <c r="Z341" s="35">
        <v>18.416699999999999</v>
      </c>
      <c r="AA341" s="35">
        <v>16.329899999999999</v>
      </c>
    </row>
    <row r="342" spans="1:27" ht="15.75" hidden="1" customHeight="1" x14ac:dyDescent="0.2">
      <c r="A342" s="2"/>
      <c r="B342" s="31">
        <v>337</v>
      </c>
      <c r="C342" s="36" t="s">
        <v>706</v>
      </c>
      <c r="D342" s="36" t="s">
        <v>743</v>
      </c>
      <c r="E342" s="36" t="s">
        <v>744</v>
      </c>
      <c r="F342" s="36" t="s">
        <v>858</v>
      </c>
      <c r="G342" s="36" t="s">
        <v>859</v>
      </c>
      <c r="H342" s="37" t="s">
        <v>80</v>
      </c>
      <c r="I342" s="37" t="s">
        <v>81</v>
      </c>
      <c r="J342" s="37" t="s">
        <v>82</v>
      </c>
      <c r="K342" s="37" t="s">
        <v>87</v>
      </c>
      <c r="L342" s="36" t="s">
        <v>84</v>
      </c>
      <c r="M342" s="34">
        <v>3962.98</v>
      </c>
      <c r="N342" s="34">
        <v>2550.86</v>
      </c>
      <c r="O342" s="34">
        <v>1412.12</v>
      </c>
      <c r="P342" s="34">
        <v>938.08</v>
      </c>
      <c r="Q342" s="34">
        <v>41.9</v>
      </c>
      <c r="R342" s="34">
        <v>33.93</v>
      </c>
      <c r="S342" s="34">
        <v>33.44</v>
      </c>
      <c r="T342" s="34">
        <v>-2.33</v>
      </c>
      <c r="U342" s="34">
        <v>86.99</v>
      </c>
      <c r="V342" s="34">
        <v>-63.49</v>
      </c>
      <c r="W342" s="34">
        <v>1.7</v>
      </c>
      <c r="X342" s="34">
        <v>1.81</v>
      </c>
      <c r="Y342" s="35">
        <v>-0.95479999999999998</v>
      </c>
      <c r="Z342" s="35">
        <v>-2.6796000000000002</v>
      </c>
      <c r="AA342" s="35">
        <v>-4.0336999999999996</v>
      </c>
    </row>
    <row r="343" spans="1:27" ht="15.75" hidden="1" customHeight="1" x14ac:dyDescent="0.2">
      <c r="A343" s="2"/>
      <c r="B343" s="31">
        <v>338</v>
      </c>
      <c r="C343" s="36" t="s">
        <v>706</v>
      </c>
      <c r="D343" s="36" t="s">
        <v>751</v>
      </c>
      <c r="E343" s="36" t="s">
        <v>752</v>
      </c>
      <c r="F343" s="36" t="s">
        <v>860</v>
      </c>
      <c r="G343" s="36" t="s">
        <v>861</v>
      </c>
      <c r="H343" s="37" t="s">
        <v>80</v>
      </c>
      <c r="I343" s="37" t="s">
        <v>81</v>
      </c>
      <c r="J343" s="37" t="s">
        <v>82</v>
      </c>
      <c r="K343" s="37" t="s">
        <v>87</v>
      </c>
      <c r="L343" s="36" t="s">
        <v>84</v>
      </c>
      <c r="M343" s="34">
        <v>36374.42</v>
      </c>
      <c r="N343" s="34">
        <v>19306.169999999998</v>
      </c>
      <c r="O343" s="34">
        <v>17068.259999999998</v>
      </c>
      <c r="P343" s="34">
        <v>27481.59</v>
      </c>
      <c r="Q343" s="34">
        <v>1780.36</v>
      </c>
      <c r="R343" s="34">
        <v>1362.27</v>
      </c>
      <c r="S343" s="34">
        <v>1236.26</v>
      </c>
      <c r="T343" s="34">
        <v>236.72</v>
      </c>
      <c r="U343" s="34">
        <v>1455.52</v>
      </c>
      <c r="V343" s="34">
        <v>8.2799999999999994</v>
      </c>
      <c r="W343" s="34">
        <v>1.35</v>
      </c>
      <c r="X343" s="34">
        <v>1.1299999999999999</v>
      </c>
      <c r="Y343" s="35">
        <v>7.6314000000000002</v>
      </c>
      <c r="Z343" s="35">
        <v>16.263300000000001</v>
      </c>
      <c r="AA343" s="35">
        <v>10.1008</v>
      </c>
    </row>
    <row r="344" spans="1:27" ht="15.75" hidden="1" customHeight="1" x14ac:dyDescent="0.2">
      <c r="A344" s="2"/>
      <c r="B344" s="31">
        <v>339</v>
      </c>
      <c r="C344" s="36" t="s">
        <v>706</v>
      </c>
      <c r="D344" s="36" t="s">
        <v>789</v>
      </c>
      <c r="E344" s="36" t="s">
        <v>790</v>
      </c>
      <c r="F344" s="36" t="s">
        <v>862</v>
      </c>
      <c r="G344" s="36" t="s">
        <v>863</v>
      </c>
      <c r="H344" s="37" t="s">
        <v>80</v>
      </c>
      <c r="I344" s="37" t="s">
        <v>81</v>
      </c>
      <c r="J344" s="37" t="s">
        <v>82</v>
      </c>
      <c r="K344" s="37" t="s">
        <v>87</v>
      </c>
      <c r="L344" s="36" t="s">
        <v>84</v>
      </c>
      <c r="M344" s="34">
        <v>1027.94</v>
      </c>
      <c r="N344" s="34">
        <v>269.89999999999998</v>
      </c>
      <c r="O344" s="34">
        <v>758.04</v>
      </c>
      <c r="P344" s="34">
        <v>681.36</v>
      </c>
      <c r="Q344" s="34">
        <v>115.31</v>
      </c>
      <c r="R344" s="34">
        <v>91.47</v>
      </c>
      <c r="S344" s="34">
        <v>91.47</v>
      </c>
      <c r="T344" s="34">
        <v>30.54</v>
      </c>
      <c r="U344" s="34">
        <v>134.76</v>
      </c>
      <c r="V344" s="34">
        <v>20.46</v>
      </c>
      <c r="W344" s="34">
        <v>4.6399999999999997</v>
      </c>
      <c r="X344" s="34">
        <v>0.36</v>
      </c>
      <c r="Y344" s="35">
        <v>16.7135</v>
      </c>
      <c r="Z344" s="35">
        <v>22.664300000000001</v>
      </c>
      <c r="AA344" s="35">
        <v>25.2149</v>
      </c>
    </row>
    <row r="345" spans="1:27" ht="15.75" hidden="1" customHeight="1" x14ac:dyDescent="0.2">
      <c r="A345" s="2"/>
      <c r="B345" s="31">
        <v>340</v>
      </c>
      <c r="C345" s="36" t="s">
        <v>706</v>
      </c>
      <c r="D345" s="36" t="s">
        <v>743</v>
      </c>
      <c r="E345" s="36" t="s">
        <v>744</v>
      </c>
      <c r="F345" s="36" t="s">
        <v>864</v>
      </c>
      <c r="G345" s="36" t="s">
        <v>865</v>
      </c>
      <c r="H345" s="37" t="s">
        <v>80</v>
      </c>
      <c r="I345" s="37" t="s">
        <v>81</v>
      </c>
      <c r="J345" s="37" t="s">
        <v>82</v>
      </c>
      <c r="K345" s="37" t="s">
        <v>87</v>
      </c>
      <c r="L345" s="36" t="s">
        <v>84</v>
      </c>
      <c r="M345" s="34">
        <v>14598.56</v>
      </c>
      <c r="N345" s="34">
        <v>1772.14</v>
      </c>
      <c r="O345" s="34">
        <v>12826.42</v>
      </c>
      <c r="P345" s="34">
        <v>2321.2800000000002</v>
      </c>
      <c r="Q345" s="34">
        <v>847.63</v>
      </c>
      <c r="R345" s="34">
        <v>713.87</v>
      </c>
      <c r="S345" s="34">
        <v>714.46</v>
      </c>
      <c r="T345" s="34">
        <v>233.59</v>
      </c>
      <c r="U345" s="34">
        <v>1880.72</v>
      </c>
      <c r="V345" s="34">
        <v>5.8</v>
      </c>
      <c r="W345" s="34">
        <v>0.72</v>
      </c>
      <c r="X345" s="34">
        <v>0.14000000000000001</v>
      </c>
      <c r="Y345" s="35">
        <v>10.9123</v>
      </c>
      <c r="Z345" s="35">
        <v>12.42</v>
      </c>
      <c r="AA345" s="35">
        <v>68.628</v>
      </c>
    </row>
    <row r="346" spans="1:27" ht="15.75" hidden="1" customHeight="1" x14ac:dyDescent="0.2">
      <c r="A346" s="2"/>
      <c r="B346" s="31">
        <v>341</v>
      </c>
      <c r="C346" s="36" t="s">
        <v>706</v>
      </c>
      <c r="D346" s="36" t="s">
        <v>743</v>
      </c>
      <c r="E346" s="36" t="s">
        <v>744</v>
      </c>
      <c r="F346" s="36" t="s">
        <v>866</v>
      </c>
      <c r="G346" s="36" t="s">
        <v>867</v>
      </c>
      <c r="H346" s="37" t="s">
        <v>95</v>
      </c>
      <c r="I346" s="37" t="s">
        <v>868</v>
      </c>
      <c r="J346" s="37" t="s">
        <v>82</v>
      </c>
      <c r="K346" s="37" t="s">
        <v>87</v>
      </c>
      <c r="L346" s="36" t="s">
        <v>84</v>
      </c>
      <c r="M346" s="34">
        <v>840.19</v>
      </c>
      <c r="N346" s="34">
        <v>764.27</v>
      </c>
      <c r="O346" s="34">
        <v>75.92</v>
      </c>
      <c r="P346" s="34">
        <v>32.270000000000003</v>
      </c>
      <c r="Q346" s="34">
        <v>-10.68</v>
      </c>
      <c r="R346" s="34">
        <v>-10.68</v>
      </c>
      <c r="S346" s="34">
        <v>-10.57</v>
      </c>
      <c r="T346" s="34">
        <v>-7.06</v>
      </c>
      <c r="U346" s="34">
        <v>8.44</v>
      </c>
      <c r="V346" s="34">
        <v>-7.08</v>
      </c>
      <c r="W346" s="34">
        <v>5.93</v>
      </c>
      <c r="X346" s="34">
        <v>10.07</v>
      </c>
      <c r="Y346" s="35">
        <v>-7.5603999999999996</v>
      </c>
      <c r="Z346" s="35">
        <v>-83.665000000000006</v>
      </c>
      <c r="AA346" s="35">
        <v>-196.84639999999999</v>
      </c>
    </row>
    <row r="347" spans="1:27" ht="15.75" hidden="1" customHeight="1" x14ac:dyDescent="0.2">
      <c r="A347" s="2"/>
      <c r="B347" s="31">
        <v>342</v>
      </c>
      <c r="C347" s="36" t="s">
        <v>706</v>
      </c>
      <c r="D347" s="36" t="s">
        <v>751</v>
      </c>
      <c r="E347" s="36" t="s">
        <v>752</v>
      </c>
      <c r="F347" s="36" t="s">
        <v>869</v>
      </c>
      <c r="G347" s="36" t="s">
        <v>870</v>
      </c>
      <c r="H347" s="37" t="s">
        <v>80</v>
      </c>
      <c r="I347" s="37" t="s">
        <v>81</v>
      </c>
      <c r="J347" s="37" t="s">
        <v>82</v>
      </c>
      <c r="K347" s="37" t="s">
        <v>87</v>
      </c>
      <c r="L347" s="36" t="s">
        <v>84</v>
      </c>
      <c r="M347" s="34">
        <v>5253.41</v>
      </c>
      <c r="N347" s="34">
        <v>2745.86</v>
      </c>
      <c r="O347" s="34">
        <v>2507.56</v>
      </c>
      <c r="P347" s="34">
        <v>6105.51</v>
      </c>
      <c r="Q347" s="34">
        <v>38.69</v>
      </c>
      <c r="R347" s="34">
        <v>26.95</v>
      </c>
      <c r="S347" s="34">
        <v>26.97</v>
      </c>
      <c r="T347" s="34">
        <v>99.47</v>
      </c>
      <c r="U347" s="34">
        <v>1120.07</v>
      </c>
      <c r="V347" s="34">
        <v>7.14</v>
      </c>
      <c r="W347" s="34">
        <v>0.63</v>
      </c>
      <c r="X347" s="34">
        <v>1.1000000000000001</v>
      </c>
      <c r="Y347" s="35">
        <v>4.2390999999999996</v>
      </c>
      <c r="Z347" s="35">
        <v>8.8810000000000002</v>
      </c>
      <c r="AA347" s="35">
        <v>3.6475</v>
      </c>
    </row>
    <row r="348" spans="1:27" ht="15.75" hidden="1" customHeight="1" x14ac:dyDescent="0.2">
      <c r="A348" s="2"/>
      <c r="B348" s="31">
        <v>343</v>
      </c>
      <c r="C348" s="36" t="s">
        <v>706</v>
      </c>
      <c r="D348" s="36" t="s">
        <v>755</v>
      </c>
      <c r="E348" s="36" t="s">
        <v>756</v>
      </c>
      <c r="F348" s="36" t="s">
        <v>871</v>
      </c>
      <c r="G348" s="36" t="s">
        <v>872</v>
      </c>
      <c r="H348" s="37" t="s">
        <v>80</v>
      </c>
      <c r="I348" s="37" t="s">
        <v>81</v>
      </c>
      <c r="J348" s="37" t="s">
        <v>82</v>
      </c>
      <c r="K348" s="37" t="s">
        <v>87</v>
      </c>
      <c r="L348" s="36" t="s">
        <v>84</v>
      </c>
      <c r="M348" s="34">
        <v>280.72000000000003</v>
      </c>
      <c r="N348" s="34">
        <v>132.56</v>
      </c>
      <c r="O348" s="34">
        <v>148.16999999999999</v>
      </c>
      <c r="P348" s="34">
        <v>74.2</v>
      </c>
      <c r="Q348" s="34">
        <v>3.06</v>
      </c>
      <c r="R348" s="34">
        <v>3.06</v>
      </c>
      <c r="S348" s="34">
        <v>3.06</v>
      </c>
      <c r="T348" s="34">
        <v>-0.2</v>
      </c>
      <c r="U348" s="34">
        <v>15.26</v>
      </c>
      <c r="V348" s="34">
        <v>-274.86</v>
      </c>
      <c r="W348" s="34">
        <v>3.54</v>
      </c>
      <c r="X348" s="34">
        <v>0.89</v>
      </c>
      <c r="Y348" s="35">
        <v>-0.67259999999999998</v>
      </c>
      <c r="Z348" s="35">
        <v>-1.2743</v>
      </c>
      <c r="AA348" s="35">
        <v>-2.5445000000000002</v>
      </c>
    </row>
    <row r="349" spans="1:27" ht="15.75" hidden="1" customHeight="1" x14ac:dyDescent="0.2">
      <c r="A349" s="2"/>
      <c r="B349" s="31">
        <v>344</v>
      </c>
      <c r="C349" s="36" t="s">
        <v>706</v>
      </c>
      <c r="D349" s="36" t="s">
        <v>743</v>
      </c>
      <c r="E349" s="36" t="s">
        <v>744</v>
      </c>
      <c r="F349" s="36" t="s">
        <v>873</v>
      </c>
      <c r="G349" s="36" t="s">
        <v>874</v>
      </c>
      <c r="H349" s="37" t="s">
        <v>95</v>
      </c>
      <c r="I349" s="37" t="s">
        <v>81</v>
      </c>
      <c r="J349" s="37" t="s">
        <v>82</v>
      </c>
      <c r="K349" s="37" t="s">
        <v>87</v>
      </c>
      <c r="L349" s="36" t="s">
        <v>84</v>
      </c>
      <c r="M349" s="34">
        <v>3028.52</v>
      </c>
      <c r="N349" s="34">
        <v>2595.02</v>
      </c>
      <c r="O349" s="34">
        <v>433.5</v>
      </c>
      <c r="P349" s="34">
        <v>3342.89</v>
      </c>
      <c r="Q349" s="34">
        <v>-50.74</v>
      </c>
      <c r="R349" s="34">
        <v>-51.27</v>
      </c>
      <c r="S349" s="34">
        <v>-48.03</v>
      </c>
      <c r="T349" s="34">
        <v>-0.16</v>
      </c>
      <c r="U349" s="34">
        <v>121.96</v>
      </c>
      <c r="V349" s="34">
        <v>-5061.93</v>
      </c>
      <c r="W349" s="34">
        <v>6.48</v>
      </c>
      <c r="X349" s="34">
        <v>5.99</v>
      </c>
      <c r="Y349" s="35">
        <v>-1.83E-2</v>
      </c>
      <c r="Z349" s="35">
        <v>-0.128</v>
      </c>
      <c r="AA349" s="35">
        <v>-1.66E-2</v>
      </c>
    </row>
    <row r="350" spans="1:27" ht="15.75" hidden="1" customHeight="1" x14ac:dyDescent="0.2">
      <c r="A350" s="2"/>
      <c r="B350" s="31">
        <v>345</v>
      </c>
      <c r="C350" s="36" t="s">
        <v>706</v>
      </c>
      <c r="D350" s="36" t="s">
        <v>743</v>
      </c>
      <c r="E350" s="36" t="s">
        <v>744</v>
      </c>
      <c r="F350" s="36" t="s">
        <v>875</v>
      </c>
      <c r="G350" s="36" t="s">
        <v>876</v>
      </c>
      <c r="H350" s="37" t="s">
        <v>80</v>
      </c>
      <c r="I350" s="37" t="s">
        <v>81</v>
      </c>
      <c r="J350" s="37" t="s">
        <v>82</v>
      </c>
      <c r="K350" s="37" t="s">
        <v>87</v>
      </c>
      <c r="L350" s="36" t="s">
        <v>84</v>
      </c>
      <c r="M350" s="34">
        <v>1522.92</v>
      </c>
      <c r="N350" s="34">
        <v>898.47</v>
      </c>
      <c r="O350" s="34">
        <v>624.45000000000005</v>
      </c>
      <c r="P350" s="34">
        <v>493.56</v>
      </c>
      <c r="Q350" s="34">
        <v>23.89</v>
      </c>
      <c r="R350" s="34">
        <v>13.23</v>
      </c>
      <c r="S350" s="34">
        <v>13.16</v>
      </c>
      <c r="T350" s="34">
        <v>4.76</v>
      </c>
      <c r="U350" s="34">
        <v>51.81</v>
      </c>
      <c r="V350" s="34">
        <v>30.48</v>
      </c>
      <c r="W350" s="34">
        <v>2.8</v>
      </c>
      <c r="X350" s="34">
        <v>1.44</v>
      </c>
      <c r="Y350" s="35">
        <v>3.7648999999999999</v>
      </c>
      <c r="Z350" s="35">
        <v>9.1819000000000006</v>
      </c>
      <c r="AA350" s="35">
        <v>11.617000000000001</v>
      </c>
    </row>
    <row r="351" spans="1:27" ht="15.75" hidden="1" customHeight="1" x14ac:dyDescent="0.2">
      <c r="A351" s="2"/>
      <c r="B351" s="31">
        <v>346</v>
      </c>
      <c r="C351" s="36" t="s">
        <v>706</v>
      </c>
      <c r="D351" s="36" t="s">
        <v>773</v>
      </c>
      <c r="E351" s="36" t="s">
        <v>774</v>
      </c>
      <c r="F351" s="36" t="s">
        <v>877</v>
      </c>
      <c r="G351" s="36" t="s">
        <v>878</v>
      </c>
      <c r="H351" s="37" t="s">
        <v>95</v>
      </c>
      <c r="I351" s="37" t="s">
        <v>81</v>
      </c>
      <c r="J351" s="37" t="s">
        <v>82</v>
      </c>
      <c r="K351" s="37" t="s">
        <v>87</v>
      </c>
      <c r="L351" s="36" t="s">
        <v>84</v>
      </c>
      <c r="M351" s="34">
        <v>2975.82</v>
      </c>
      <c r="N351" s="34">
        <v>1975.08</v>
      </c>
      <c r="O351" s="34">
        <v>1000.74</v>
      </c>
      <c r="P351" s="34">
        <v>1471.84</v>
      </c>
      <c r="Q351" s="34">
        <v>565.87</v>
      </c>
      <c r="R351" s="34">
        <v>425.79</v>
      </c>
      <c r="S351" s="34">
        <v>425.75</v>
      </c>
      <c r="T351" s="34">
        <v>533.23</v>
      </c>
      <c r="U351" s="34">
        <v>474.96</v>
      </c>
      <c r="V351" s="34">
        <v>10.88</v>
      </c>
      <c r="W351" s="34">
        <v>12.21</v>
      </c>
      <c r="X351" s="34">
        <v>1.97</v>
      </c>
      <c r="Y351" s="35">
        <v>37.754899999999999</v>
      </c>
      <c r="Z351" s="35">
        <v>112.2688</v>
      </c>
      <c r="AA351" s="35">
        <v>76.334000000000003</v>
      </c>
    </row>
    <row r="352" spans="1:27" ht="15.75" hidden="1" customHeight="1" x14ac:dyDescent="0.2">
      <c r="A352" s="2"/>
      <c r="B352" s="31">
        <v>347</v>
      </c>
      <c r="C352" s="36" t="s">
        <v>706</v>
      </c>
      <c r="D352" s="36" t="s">
        <v>755</v>
      </c>
      <c r="E352" s="36" t="s">
        <v>756</v>
      </c>
      <c r="F352" s="36" t="s">
        <v>879</v>
      </c>
      <c r="G352" s="36" t="s">
        <v>880</v>
      </c>
      <c r="H352" s="37" t="s">
        <v>80</v>
      </c>
      <c r="I352" s="37" t="s">
        <v>81</v>
      </c>
      <c r="J352" s="37" t="s">
        <v>82</v>
      </c>
      <c r="K352" s="37" t="s">
        <v>87</v>
      </c>
      <c r="L352" s="36" t="s">
        <v>84</v>
      </c>
      <c r="M352" s="34">
        <v>30237.13</v>
      </c>
      <c r="N352" s="34">
        <v>13312.25</v>
      </c>
      <c r="O352" s="34">
        <v>16924.88</v>
      </c>
      <c r="P352" s="34">
        <v>17796.8</v>
      </c>
      <c r="Q352" s="34">
        <v>1481.62</v>
      </c>
      <c r="R352" s="34">
        <v>1186.01</v>
      </c>
      <c r="S352" s="34">
        <v>1166.6500000000001</v>
      </c>
      <c r="T352" s="34">
        <v>109.55</v>
      </c>
      <c r="U352" s="34">
        <v>756.97</v>
      </c>
      <c r="V352" s="34">
        <v>18.53</v>
      </c>
      <c r="W352" s="34">
        <v>2.68</v>
      </c>
      <c r="X352" s="34">
        <v>0.79</v>
      </c>
      <c r="Y352" s="35">
        <v>8.1004000000000005</v>
      </c>
      <c r="Z352" s="35">
        <v>14.4717</v>
      </c>
      <c r="AA352" s="35">
        <v>13.762700000000001</v>
      </c>
    </row>
    <row r="353" spans="1:27" ht="15.75" hidden="1" customHeight="1" x14ac:dyDescent="0.2">
      <c r="A353" s="2"/>
      <c r="B353" s="31">
        <v>348</v>
      </c>
      <c r="C353" s="36" t="s">
        <v>706</v>
      </c>
      <c r="D353" s="36" t="s">
        <v>755</v>
      </c>
      <c r="E353" s="36" t="s">
        <v>756</v>
      </c>
      <c r="F353" s="36" t="s">
        <v>881</v>
      </c>
      <c r="G353" s="36" t="s">
        <v>882</v>
      </c>
      <c r="H353" s="37" t="s">
        <v>80</v>
      </c>
      <c r="I353" s="37" t="s">
        <v>81</v>
      </c>
      <c r="J353" s="37" t="s">
        <v>82</v>
      </c>
      <c r="K353" s="37" t="s">
        <v>87</v>
      </c>
      <c r="L353" s="36" t="s">
        <v>84</v>
      </c>
      <c r="M353" s="34">
        <v>85.38</v>
      </c>
      <c r="N353" s="34">
        <v>25.23</v>
      </c>
      <c r="O353" s="34">
        <v>60.16</v>
      </c>
      <c r="P353" s="34">
        <v>42.35</v>
      </c>
      <c r="Q353" s="34" t="s">
        <v>95</v>
      </c>
      <c r="R353" s="34">
        <v>0.01</v>
      </c>
      <c r="S353" s="34">
        <v>0.01</v>
      </c>
      <c r="T353" s="34">
        <v>-0.25</v>
      </c>
      <c r="U353" s="34">
        <v>74.510000000000005</v>
      </c>
      <c r="V353" s="34">
        <v>-560.26</v>
      </c>
      <c r="W353" s="34">
        <v>1.85</v>
      </c>
      <c r="X353" s="34">
        <v>0.42</v>
      </c>
      <c r="Y353" s="35">
        <v>-0.2329</v>
      </c>
      <c r="Z353" s="35">
        <v>-0.3306</v>
      </c>
      <c r="AA353" s="35">
        <v>-0.46960000000000002</v>
      </c>
    </row>
    <row r="354" spans="1:27" ht="15.75" hidden="1" customHeight="1" x14ac:dyDescent="0.2">
      <c r="A354" s="2"/>
      <c r="B354" s="31">
        <v>349</v>
      </c>
      <c r="C354" s="36" t="s">
        <v>706</v>
      </c>
      <c r="D354" s="36" t="s">
        <v>755</v>
      </c>
      <c r="E354" s="36" t="s">
        <v>756</v>
      </c>
      <c r="F354" s="36" t="s">
        <v>883</v>
      </c>
      <c r="G354" s="36" t="s">
        <v>884</v>
      </c>
      <c r="H354" s="37" t="s">
        <v>95</v>
      </c>
      <c r="I354" s="37" t="s">
        <v>81</v>
      </c>
      <c r="J354" s="37" t="s">
        <v>82</v>
      </c>
      <c r="K354" s="37" t="s">
        <v>87</v>
      </c>
      <c r="L354" s="36" t="s">
        <v>84</v>
      </c>
      <c r="M354" s="34">
        <v>72.64</v>
      </c>
      <c r="N354" s="34">
        <v>3.63</v>
      </c>
      <c r="O354" s="34">
        <v>69.010000000000005</v>
      </c>
      <c r="P354" s="34">
        <v>17.809999999999999</v>
      </c>
      <c r="Q354" s="34">
        <v>-1.17</v>
      </c>
      <c r="R354" s="34">
        <v>-1.17</v>
      </c>
      <c r="S354" s="34">
        <v>-1.17</v>
      </c>
      <c r="T354" s="34">
        <v>-0.87</v>
      </c>
      <c r="U354" s="34">
        <v>27.06</v>
      </c>
      <c r="V354" s="34">
        <v>-201.84</v>
      </c>
      <c r="W354" s="34">
        <v>6.5</v>
      </c>
      <c r="X354" s="34">
        <v>0.05</v>
      </c>
      <c r="Y354" s="35">
        <v>-3.0609999999999999</v>
      </c>
      <c r="Z354" s="35">
        <v>-3.2221000000000002</v>
      </c>
      <c r="AA354" s="35">
        <v>-12.485300000000001</v>
      </c>
    </row>
    <row r="355" spans="1:27" ht="15.75" hidden="1" customHeight="1" x14ac:dyDescent="0.2">
      <c r="A355" s="2"/>
      <c r="B355" s="31">
        <v>350</v>
      </c>
      <c r="C355" s="36" t="s">
        <v>706</v>
      </c>
      <c r="D355" s="36" t="s">
        <v>751</v>
      </c>
      <c r="E355" s="36" t="s">
        <v>752</v>
      </c>
      <c r="F355" s="36" t="s">
        <v>885</v>
      </c>
      <c r="G355" s="36" t="s">
        <v>886</v>
      </c>
      <c r="H355" s="37" t="s">
        <v>80</v>
      </c>
      <c r="I355" s="37" t="s">
        <v>81</v>
      </c>
      <c r="J355" s="37" t="s">
        <v>82</v>
      </c>
      <c r="K355" s="37" t="s">
        <v>87</v>
      </c>
      <c r="L355" s="36" t="s">
        <v>84</v>
      </c>
      <c r="M355" s="34">
        <v>406.5</v>
      </c>
      <c r="N355" s="34">
        <v>53.53</v>
      </c>
      <c r="O355" s="34">
        <v>352.97</v>
      </c>
      <c r="P355" s="34">
        <v>137.47999999999999</v>
      </c>
      <c r="Q355" s="34">
        <v>7.16</v>
      </c>
      <c r="R355" s="34">
        <v>5.93</v>
      </c>
      <c r="S355" s="34">
        <v>5.93</v>
      </c>
      <c r="T355" s="34">
        <v>5.13</v>
      </c>
      <c r="U355" s="34">
        <v>85.83</v>
      </c>
      <c r="V355" s="34">
        <v>51.42</v>
      </c>
      <c r="W355" s="34">
        <v>3.08</v>
      </c>
      <c r="X355" s="34">
        <v>0.15</v>
      </c>
      <c r="Y355" s="35">
        <v>5.1943999999999999</v>
      </c>
      <c r="Z355" s="35">
        <v>5.9821999999999997</v>
      </c>
      <c r="AA355" s="35">
        <v>15.358700000000001</v>
      </c>
    </row>
    <row r="356" spans="1:27" ht="15.75" hidden="1" customHeight="1" x14ac:dyDescent="0.2">
      <c r="A356" s="2"/>
      <c r="B356" s="31">
        <v>351</v>
      </c>
      <c r="C356" s="36" t="s">
        <v>706</v>
      </c>
      <c r="D356" s="36" t="s">
        <v>743</v>
      </c>
      <c r="E356" s="36" t="s">
        <v>744</v>
      </c>
      <c r="F356" s="36" t="s">
        <v>887</v>
      </c>
      <c r="G356" s="36" t="s">
        <v>888</v>
      </c>
      <c r="H356" s="37" t="s">
        <v>95</v>
      </c>
      <c r="I356" s="37" t="s">
        <v>81</v>
      </c>
      <c r="J356" s="37" t="s">
        <v>82</v>
      </c>
      <c r="K356" s="37" t="s">
        <v>83</v>
      </c>
      <c r="L356" s="36" t="s">
        <v>90</v>
      </c>
      <c r="M356" s="34">
        <v>3880.38</v>
      </c>
      <c r="N356" s="34">
        <v>2202.4899999999998</v>
      </c>
      <c r="O356" s="34">
        <v>1677.9</v>
      </c>
      <c r="P356" s="34">
        <v>946.62</v>
      </c>
      <c r="Q356" s="34">
        <v>394.78</v>
      </c>
      <c r="R356" s="34">
        <v>314.26</v>
      </c>
      <c r="S356" s="34">
        <v>314.26</v>
      </c>
      <c r="T356" s="34">
        <v>25.07</v>
      </c>
      <c r="U356" s="34">
        <v>70.5</v>
      </c>
      <c r="V356" s="34">
        <v>19.78</v>
      </c>
      <c r="W356" s="34">
        <v>7.04</v>
      </c>
      <c r="X356" s="34">
        <v>1.31</v>
      </c>
      <c r="Y356" s="35">
        <v>15.379799999999999</v>
      </c>
      <c r="Z356" s="35">
        <v>35.568100000000001</v>
      </c>
      <c r="AA356" s="35">
        <v>63.045200000000001</v>
      </c>
    </row>
    <row r="357" spans="1:27" ht="15.75" hidden="1" customHeight="1" x14ac:dyDescent="0.2">
      <c r="A357" s="2"/>
      <c r="B357" s="31">
        <v>352</v>
      </c>
      <c r="C357" s="36" t="s">
        <v>706</v>
      </c>
      <c r="D357" s="36" t="s">
        <v>743</v>
      </c>
      <c r="E357" s="36" t="s">
        <v>744</v>
      </c>
      <c r="F357" s="36" t="s">
        <v>889</v>
      </c>
      <c r="G357" s="36" t="s">
        <v>890</v>
      </c>
      <c r="H357" s="37" t="s">
        <v>80</v>
      </c>
      <c r="I357" s="37" t="s">
        <v>81</v>
      </c>
      <c r="J357" s="37" t="s">
        <v>82</v>
      </c>
      <c r="K357" s="37" t="s">
        <v>87</v>
      </c>
      <c r="L357" s="36" t="s">
        <v>84</v>
      </c>
      <c r="M357" s="34">
        <v>238.4</v>
      </c>
      <c r="N357" s="34">
        <v>144.44</v>
      </c>
      <c r="O357" s="34">
        <v>93.95</v>
      </c>
      <c r="P357" s="34">
        <v>468.49</v>
      </c>
      <c r="Q357" s="34">
        <v>3.97</v>
      </c>
      <c r="R357" s="34">
        <v>3.14</v>
      </c>
      <c r="S357" s="34">
        <v>3.14</v>
      </c>
      <c r="T357" s="34">
        <v>14.93</v>
      </c>
      <c r="U357" s="34">
        <v>206.92</v>
      </c>
      <c r="V357" s="34">
        <v>17.420000000000002</v>
      </c>
      <c r="W357" s="34">
        <v>1.26</v>
      </c>
      <c r="X357" s="34">
        <v>1.54</v>
      </c>
      <c r="Y357" s="35">
        <v>2.8426999999999998</v>
      </c>
      <c r="Z357" s="35">
        <v>7.2130000000000001</v>
      </c>
      <c r="AA357" s="35">
        <v>1.4464999999999999</v>
      </c>
    </row>
    <row r="358" spans="1:27" ht="15.75" hidden="1" customHeight="1" x14ac:dyDescent="0.2">
      <c r="A358" s="2"/>
      <c r="B358" s="31">
        <v>353</v>
      </c>
      <c r="C358" s="36" t="s">
        <v>706</v>
      </c>
      <c r="D358" s="36" t="s">
        <v>743</v>
      </c>
      <c r="E358" s="36" t="s">
        <v>744</v>
      </c>
      <c r="F358" s="36" t="s">
        <v>891</v>
      </c>
      <c r="G358" s="36" t="s">
        <v>892</v>
      </c>
      <c r="H358" s="37" t="s">
        <v>80</v>
      </c>
      <c r="I358" s="37" t="s">
        <v>81</v>
      </c>
      <c r="J358" s="37" t="s">
        <v>82</v>
      </c>
      <c r="K358" s="37" t="s">
        <v>87</v>
      </c>
      <c r="L358" s="36" t="s">
        <v>84</v>
      </c>
      <c r="M358" s="34">
        <v>2644.92</v>
      </c>
      <c r="N358" s="34">
        <v>781.27</v>
      </c>
      <c r="O358" s="34">
        <v>1863.65</v>
      </c>
      <c r="P358" s="34">
        <v>385.17</v>
      </c>
      <c r="Q358" s="34">
        <v>106.94</v>
      </c>
      <c r="R358" s="34">
        <v>83.53</v>
      </c>
      <c r="S358" s="34">
        <v>83.53</v>
      </c>
      <c r="T358" s="34">
        <v>26.52</v>
      </c>
      <c r="U358" s="34">
        <v>324.8</v>
      </c>
      <c r="V358" s="34">
        <v>693.93</v>
      </c>
      <c r="W358" s="34">
        <v>56.65</v>
      </c>
      <c r="X358" s="34">
        <v>0.42</v>
      </c>
      <c r="Y358" s="35">
        <v>5.7523</v>
      </c>
      <c r="Z358" s="35">
        <v>8.1637000000000004</v>
      </c>
      <c r="AA358" s="35">
        <v>39.4998</v>
      </c>
    </row>
    <row r="359" spans="1:27" ht="15.75" hidden="1" customHeight="1" x14ac:dyDescent="0.2">
      <c r="A359" s="2"/>
      <c r="B359" s="31">
        <v>354</v>
      </c>
      <c r="C359" s="36" t="s">
        <v>706</v>
      </c>
      <c r="D359" s="36" t="s">
        <v>755</v>
      </c>
      <c r="E359" s="36" t="s">
        <v>756</v>
      </c>
      <c r="F359" s="36" t="s">
        <v>893</v>
      </c>
      <c r="G359" s="36" t="s">
        <v>894</v>
      </c>
      <c r="H359" s="37" t="s">
        <v>95</v>
      </c>
      <c r="I359" s="37" t="s">
        <v>338</v>
      </c>
      <c r="J359" s="37" t="s">
        <v>82</v>
      </c>
      <c r="K359" s="37" t="s">
        <v>87</v>
      </c>
      <c r="L359" s="36" t="s">
        <v>84</v>
      </c>
      <c r="M359" s="34">
        <v>4532.03</v>
      </c>
      <c r="N359" s="34">
        <v>3454.63</v>
      </c>
      <c r="O359" s="34">
        <v>1077.4000000000001</v>
      </c>
      <c r="P359" s="34">
        <v>959.78</v>
      </c>
      <c r="Q359" s="34">
        <v>-231.1</v>
      </c>
      <c r="R359" s="34">
        <v>-231.1</v>
      </c>
      <c r="S359" s="34">
        <v>-231.1</v>
      </c>
      <c r="T359" s="34">
        <v>-120.48</v>
      </c>
      <c r="U359" s="34">
        <v>416.26</v>
      </c>
      <c r="V359" s="34">
        <v>-0.42</v>
      </c>
      <c r="W359" s="34">
        <v>0.12</v>
      </c>
      <c r="X359" s="34">
        <v>3.21</v>
      </c>
      <c r="Y359" s="35">
        <v>-6.8807</v>
      </c>
      <c r="Z359" s="35">
        <v>-28.9435</v>
      </c>
      <c r="AA359" s="35">
        <v>-32.490499999999997</v>
      </c>
    </row>
    <row r="360" spans="1:27" ht="15.75" hidden="1" customHeight="1" x14ac:dyDescent="0.2">
      <c r="A360" s="2"/>
      <c r="B360" s="31">
        <v>355</v>
      </c>
      <c r="C360" s="36" t="s">
        <v>706</v>
      </c>
      <c r="D360" s="36" t="s">
        <v>743</v>
      </c>
      <c r="E360" s="36" t="s">
        <v>744</v>
      </c>
      <c r="F360" s="36" t="s">
        <v>895</v>
      </c>
      <c r="G360" s="36" t="s">
        <v>896</v>
      </c>
      <c r="H360" s="37" t="s">
        <v>80</v>
      </c>
      <c r="I360" s="37" t="s">
        <v>81</v>
      </c>
      <c r="J360" s="37" t="s">
        <v>82</v>
      </c>
      <c r="K360" s="37" t="s">
        <v>87</v>
      </c>
      <c r="L360" s="36" t="s">
        <v>84</v>
      </c>
      <c r="M360" s="34">
        <v>1626.42</v>
      </c>
      <c r="N360" s="34">
        <v>530.66</v>
      </c>
      <c r="O360" s="34">
        <v>1095.76</v>
      </c>
      <c r="P360" s="34">
        <v>1211.43</v>
      </c>
      <c r="Q360" s="34">
        <v>200.66</v>
      </c>
      <c r="R360" s="34">
        <v>151.38</v>
      </c>
      <c r="S360" s="34">
        <v>151.04</v>
      </c>
      <c r="T360" s="34">
        <v>333.89</v>
      </c>
      <c r="U360" s="34">
        <v>1388.54</v>
      </c>
      <c r="V360" s="34">
        <v>7.25</v>
      </c>
      <c r="W360" s="34">
        <v>1.74</v>
      </c>
      <c r="X360" s="34">
        <v>0.48</v>
      </c>
      <c r="Y360" s="35">
        <v>16.038399999999999</v>
      </c>
      <c r="Z360" s="35">
        <v>23.805599999999998</v>
      </c>
      <c r="AA360" s="35">
        <v>21.532499999999999</v>
      </c>
    </row>
    <row r="361" spans="1:27" ht="15.75" hidden="1" customHeight="1" x14ac:dyDescent="0.2">
      <c r="A361" s="2"/>
      <c r="B361" s="31">
        <v>356</v>
      </c>
      <c r="C361" s="36" t="s">
        <v>706</v>
      </c>
      <c r="D361" s="36" t="s">
        <v>755</v>
      </c>
      <c r="E361" s="36" t="s">
        <v>756</v>
      </c>
      <c r="F361" s="36" t="s">
        <v>897</v>
      </c>
      <c r="G361" s="36" t="s">
        <v>898</v>
      </c>
      <c r="H361" s="37" t="s">
        <v>80</v>
      </c>
      <c r="I361" s="37" t="s">
        <v>81</v>
      </c>
      <c r="J361" s="37" t="s">
        <v>82</v>
      </c>
      <c r="K361" s="37" t="s">
        <v>87</v>
      </c>
      <c r="L361" s="36" t="s">
        <v>84</v>
      </c>
      <c r="M361" s="34">
        <v>136.21</v>
      </c>
      <c r="N361" s="34">
        <v>99.71</v>
      </c>
      <c r="O361" s="34">
        <v>36.5</v>
      </c>
      <c r="P361" s="34">
        <v>1.44</v>
      </c>
      <c r="Q361" s="34">
        <v>-9.99</v>
      </c>
      <c r="R361" s="34">
        <v>-9.99</v>
      </c>
      <c r="S361" s="34">
        <v>-9.99</v>
      </c>
      <c r="T361" s="34">
        <v>-15.68</v>
      </c>
      <c r="U361" s="34">
        <v>25.35</v>
      </c>
      <c r="V361" s="34">
        <v>-7.08</v>
      </c>
      <c r="W361" s="34">
        <v>4.38</v>
      </c>
      <c r="X361" s="34">
        <v>2.73</v>
      </c>
      <c r="Y361" s="35">
        <v>-16.575900000000001</v>
      </c>
      <c r="Z361" s="35">
        <v>-61.8553</v>
      </c>
      <c r="AA361" s="35">
        <v>-1569.9121</v>
      </c>
    </row>
    <row r="362" spans="1:27" ht="15.75" hidden="1" customHeight="1" x14ac:dyDescent="0.2">
      <c r="A362" s="2"/>
      <c r="B362" s="31">
        <v>357</v>
      </c>
      <c r="C362" s="36" t="s">
        <v>706</v>
      </c>
      <c r="D362" s="36" t="s">
        <v>743</v>
      </c>
      <c r="E362" s="36" t="s">
        <v>744</v>
      </c>
      <c r="F362" s="36" t="s">
        <v>899</v>
      </c>
      <c r="G362" s="36" t="s">
        <v>900</v>
      </c>
      <c r="H362" s="37" t="s">
        <v>80</v>
      </c>
      <c r="I362" s="37" t="s">
        <v>81</v>
      </c>
      <c r="J362" s="37" t="s">
        <v>82</v>
      </c>
      <c r="K362" s="37" t="s">
        <v>87</v>
      </c>
      <c r="L362" s="36" t="s">
        <v>84</v>
      </c>
      <c r="M362" s="34">
        <v>3884</v>
      </c>
      <c r="N362" s="34">
        <v>1378.66</v>
      </c>
      <c r="O362" s="34">
        <v>2505.34</v>
      </c>
      <c r="P362" s="34">
        <v>1282.9100000000001</v>
      </c>
      <c r="Q362" s="34">
        <v>267.82</v>
      </c>
      <c r="R362" s="34">
        <v>213.56</v>
      </c>
      <c r="S362" s="34">
        <v>213.56</v>
      </c>
      <c r="T362" s="34">
        <v>22.15</v>
      </c>
      <c r="U362" s="34">
        <v>132.91</v>
      </c>
      <c r="V362" s="34">
        <v>9.93</v>
      </c>
      <c r="W362" s="34">
        <v>1.66</v>
      </c>
      <c r="X362" s="34">
        <v>0.55000000000000004</v>
      </c>
      <c r="Y362" s="35">
        <v>10.7521</v>
      </c>
      <c r="Z362" s="35">
        <v>16.668800000000001</v>
      </c>
      <c r="AA362" s="35">
        <v>32.5518</v>
      </c>
    </row>
    <row r="363" spans="1:27" ht="15.75" hidden="1" customHeight="1" x14ac:dyDescent="0.2">
      <c r="A363" s="2"/>
      <c r="B363" s="31">
        <v>358</v>
      </c>
      <c r="C363" s="36" t="s">
        <v>706</v>
      </c>
      <c r="D363" s="36" t="s">
        <v>743</v>
      </c>
      <c r="E363" s="36" t="s">
        <v>744</v>
      </c>
      <c r="F363" s="36" t="s">
        <v>901</v>
      </c>
      <c r="G363" s="36" t="s">
        <v>902</v>
      </c>
      <c r="H363" s="37" t="s">
        <v>80</v>
      </c>
      <c r="I363" s="37" t="s">
        <v>81</v>
      </c>
      <c r="J363" s="37" t="s">
        <v>82</v>
      </c>
      <c r="K363" s="37" t="s">
        <v>87</v>
      </c>
      <c r="L363" s="36" t="s">
        <v>84</v>
      </c>
      <c r="M363" s="34">
        <v>197.39</v>
      </c>
      <c r="N363" s="34">
        <v>5.0599999999999996</v>
      </c>
      <c r="O363" s="34">
        <v>192.33</v>
      </c>
      <c r="P363" s="34">
        <v>36.21</v>
      </c>
      <c r="Q363" s="34">
        <v>19.05</v>
      </c>
      <c r="R363" s="34">
        <v>15.4</v>
      </c>
      <c r="S363" s="34">
        <v>15.4</v>
      </c>
      <c r="T363" s="34">
        <v>15.71</v>
      </c>
      <c r="U363" s="34">
        <v>88.73</v>
      </c>
      <c r="V363" s="34">
        <v>11.27</v>
      </c>
      <c r="W363" s="34">
        <v>1.99</v>
      </c>
      <c r="X363" s="34">
        <v>0.03</v>
      </c>
      <c r="Y363" s="35">
        <v>17.245699999999999</v>
      </c>
      <c r="Z363" s="35">
        <v>17.699300000000001</v>
      </c>
      <c r="AA363" s="35">
        <v>94.014600000000002</v>
      </c>
    </row>
    <row r="364" spans="1:27" ht="15.75" hidden="1" customHeight="1" x14ac:dyDescent="0.2">
      <c r="A364" s="2"/>
      <c r="B364" s="31">
        <v>359</v>
      </c>
      <c r="C364" s="36" t="s">
        <v>706</v>
      </c>
      <c r="D364" s="36" t="s">
        <v>755</v>
      </c>
      <c r="E364" s="36" t="s">
        <v>756</v>
      </c>
      <c r="F364" s="36" t="s">
        <v>903</v>
      </c>
      <c r="G364" s="36" t="s">
        <v>904</v>
      </c>
      <c r="H364" s="37" t="s">
        <v>80</v>
      </c>
      <c r="I364" s="37" t="s">
        <v>81</v>
      </c>
      <c r="J364" s="37" t="s">
        <v>82</v>
      </c>
      <c r="K364" s="37" t="s">
        <v>87</v>
      </c>
      <c r="L364" s="36" t="s">
        <v>84</v>
      </c>
      <c r="M364" s="34">
        <v>3665.39</v>
      </c>
      <c r="N364" s="34">
        <v>1792.95</v>
      </c>
      <c r="O364" s="34">
        <v>1872.44</v>
      </c>
      <c r="P364" s="34">
        <v>1771.04</v>
      </c>
      <c r="Q364" s="34">
        <v>92.13</v>
      </c>
      <c r="R364" s="34">
        <v>70.709999999999994</v>
      </c>
      <c r="S364" s="34">
        <v>71.8</v>
      </c>
      <c r="T364" s="34">
        <v>46.83</v>
      </c>
      <c r="U364" s="34">
        <v>302.67</v>
      </c>
      <c r="V364" s="34">
        <v>16.98</v>
      </c>
      <c r="W364" s="34">
        <v>2.63</v>
      </c>
      <c r="X364" s="34">
        <v>0.96</v>
      </c>
      <c r="Y364" s="35">
        <v>7.9040999999999997</v>
      </c>
      <c r="Z364" s="35">
        <v>15.4727</v>
      </c>
      <c r="AA364" s="35">
        <v>16.358599999999999</v>
      </c>
    </row>
    <row r="365" spans="1:27" ht="15.75" hidden="1" customHeight="1" x14ac:dyDescent="0.2">
      <c r="A365" s="2"/>
      <c r="B365" s="31">
        <v>360</v>
      </c>
      <c r="C365" s="36" t="s">
        <v>706</v>
      </c>
      <c r="D365" s="36" t="s">
        <v>743</v>
      </c>
      <c r="E365" s="36" t="s">
        <v>744</v>
      </c>
      <c r="F365" s="36" t="s">
        <v>905</v>
      </c>
      <c r="G365" s="36" t="s">
        <v>906</v>
      </c>
      <c r="H365" s="37" t="s">
        <v>80</v>
      </c>
      <c r="I365" s="37" t="s">
        <v>81</v>
      </c>
      <c r="J365" s="37" t="s">
        <v>82</v>
      </c>
      <c r="K365" s="37" t="s">
        <v>87</v>
      </c>
      <c r="L365" s="36" t="s">
        <v>84</v>
      </c>
      <c r="M365" s="34">
        <v>10305.49</v>
      </c>
      <c r="N365" s="34">
        <v>4199.9799999999996</v>
      </c>
      <c r="O365" s="34">
        <v>6105.51</v>
      </c>
      <c r="P365" s="34">
        <v>3293.85</v>
      </c>
      <c r="Q365" s="34">
        <v>695.93</v>
      </c>
      <c r="R365" s="34">
        <v>514.52</v>
      </c>
      <c r="S365" s="34">
        <v>538.28</v>
      </c>
      <c r="T365" s="34">
        <v>619.52</v>
      </c>
      <c r="U365" s="34">
        <v>3357.22</v>
      </c>
      <c r="V365" s="34">
        <v>7.84</v>
      </c>
      <c r="W365" s="34">
        <v>1.45</v>
      </c>
      <c r="X365" s="34">
        <v>0.69</v>
      </c>
      <c r="Y365" s="35">
        <v>10.932700000000001</v>
      </c>
      <c r="Z365" s="35">
        <v>18.453299999999999</v>
      </c>
      <c r="AA365" s="35">
        <v>34.205199999999998</v>
      </c>
    </row>
    <row r="366" spans="1:27" ht="15.75" hidden="1" customHeight="1" x14ac:dyDescent="0.2">
      <c r="A366" s="2"/>
      <c r="B366" s="31">
        <v>361</v>
      </c>
      <c r="C366" s="36" t="s">
        <v>706</v>
      </c>
      <c r="D366" s="36" t="s">
        <v>743</v>
      </c>
      <c r="E366" s="36" t="s">
        <v>744</v>
      </c>
      <c r="F366" s="36" t="s">
        <v>907</v>
      </c>
      <c r="G366" s="36" t="s">
        <v>908</v>
      </c>
      <c r="H366" s="37" t="s">
        <v>80</v>
      </c>
      <c r="I366" s="37" t="s">
        <v>81</v>
      </c>
      <c r="J366" s="37" t="s">
        <v>82</v>
      </c>
      <c r="K366" s="37" t="s">
        <v>87</v>
      </c>
      <c r="L366" s="36" t="s">
        <v>84</v>
      </c>
      <c r="M366" s="34">
        <v>38993.08</v>
      </c>
      <c r="N366" s="34">
        <v>14485.62</v>
      </c>
      <c r="O366" s="34">
        <v>24507.46</v>
      </c>
      <c r="P366" s="34">
        <v>9392.94</v>
      </c>
      <c r="Q366" s="34">
        <v>1352</v>
      </c>
      <c r="R366" s="34">
        <v>1010.16</v>
      </c>
      <c r="S366" s="34">
        <v>755.14</v>
      </c>
      <c r="T366" s="34">
        <v>114.58</v>
      </c>
      <c r="U366" s="34">
        <v>1580.99</v>
      </c>
      <c r="V366" s="34">
        <v>5.54</v>
      </c>
      <c r="W366" s="34">
        <v>0.4</v>
      </c>
      <c r="X366" s="34">
        <v>0.59</v>
      </c>
      <c r="Y366" s="35">
        <v>4.5552000000000001</v>
      </c>
      <c r="Z366" s="35">
        <v>7.2476000000000003</v>
      </c>
      <c r="AA366" s="35">
        <v>18.91</v>
      </c>
    </row>
    <row r="367" spans="1:27" ht="15.75" hidden="1" customHeight="1" x14ac:dyDescent="0.2">
      <c r="A367" s="2"/>
      <c r="B367" s="31">
        <v>362</v>
      </c>
      <c r="C367" s="36" t="s">
        <v>706</v>
      </c>
      <c r="D367" s="36" t="s">
        <v>751</v>
      </c>
      <c r="E367" s="36" t="s">
        <v>752</v>
      </c>
      <c r="F367" s="36" t="s">
        <v>909</v>
      </c>
      <c r="G367" s="36" t="s">
        <v>910</v>
      </c>
      <c r="H367" s="37" t="s">
        <v>80</v>
      </c>
      <c r="I367" s="37" t="s">
        <v>81</v>
      </c>
      <c r="J367" s="37" t="s">
        <v>82</v>
      </c>
      <c r="K367" s="37" t="s">
        <v>87</v>
      </c>
      <c r="L367" s="36" t="s">
        <v>84</v>
      </c>
      <c r="M367" s="34">
        <v>3087.28</v>
      </c>
      <c r="N367" s="34">
        <v>1899.61</v>
      </c>
      <c r="O367" s="34">
        <v>1187.6600000000001</v>
      </c>
      <c r="P367" s="34">
        <v>2514.08</v>
      </c>
      <c r="Q367" s="34">
        <v>-21.47</v>
      </c>
      <c r="R367" s="34">
        <v>-16.18</v>
      </c>
      <c r="S367" s="34">
        <v>-16.18</v>
      </c>
      <c r="T367" s="34">
        <v>-14.88</v>
      </c>
      <c r="U367" s="34">
        <v>645.78</v>
      </c>
      <c r="V367" s="34">
        <v>-48.38</v>
      </c>
      <c r="W367" s="34">
        <v>1.1100000000000001</v>
      </c>
      <c r="X367" s="34">
        <v>1.6</v>
      </c>
      <c r="Y367" s="35">
        <v>-0.88660000000000005</v>
      </c>
      <c r="Z367" s="35">
        <v>-2.3046000000000002</v>
      </c>
      <c r="AA367" s="35">
        <v>-1.0887</v>
      </c>
    </row>
    <row r="368" spans="1:27" ht="15.75" hidden="1" customHeight="1" x14ac:dyDescent="0.2">
      <c r="A368" s="2"/>
      <c r="B368" s="31">
        <v>363</v>
      </c>
      <c r="C368" s="36" t="s">
        <v>706</v>
      </c>
      <c r="D368" s="36" t="s">
        <v>755</v>
      </c>
      <c r="E368" s="36" t="s">
        <v>756</v>
      </c>
      <c r="F368" s="36" t="s">
        <v>911</v>
      </c>
      <c r="G368" s="36" t="s">
        <v>912</v>
      </c>
      <c r="H368" s="37" t="s">
        <v>80</v>
      </c>
      <c r="I368" s="37" t="s">
        <v>81</v>
      </c>
      <c r="J368" s="37" t="s">
        <v>82</v>
      </c>
      <c r="K368" s="37" t="s">
        <v>87</v>
      </c>
      <c r="L368" s="36" t="s">
        <v>84</v>
      </c>
      <c r="M368" s="34">
        <v>1894.87</v>
      </c>
      <c r="N368" s="34">
        <v>888.91</v>
      </c>
      <c r="O368" s="34">
        <v>1005.96</v>
      </c>
      <c r="P368" s="34">
        <v>1304.47</v>
      </c>
      <c r="Q368" s="34">
        <v>29.51</v>
      </c>
      <c r="R368" s="34">
        <v>21.34</v>
      </c>
      <c r="S368" s="34">
        <v>21.26</v>
      </c>
      <c r="T368" s="34">
        <v>-28.31</v>
      </c>
      <c r="U368" s="34">
        <v>581.45000000000005</v>
      </c>
      <c r="V368" s="34">
        <v>-19.43</v>
      </c>
      <c r="W368" s="34">
        <v>0.95</v>
      </c>
      <c r="X368" s="34">
        <v>0.88</v>
      </c>
      <c r="Y368" s="35">
        <v>-2.5849000000000002</v>
      </c>
      <c r="Z368" s="35">
        <v>-4.8689999999999998</v>
      </c>
      <c r="AA368" s="35">
        <v>-3.7547999999999999</v>
      </c>
    </row>
    <row r="369" spans="1:27" ht="15.75" hidden="1" customHeight="1" x14ac:dyDescent="0.2">
      <c r="A369" s="2"/>
      <c r="B369" s="31">
        <v>364</v>
      </c>
      <c r="C369" s="36" t="s">
        <v>706</v>
      </c>
      <c r="D369" s="36" t="s">
        <v>755</v>
      </c>
      <c r="E369" s="36" t="s">
        <v>756</v>
      </c>
      <c r="F369" s="36" t="s">
        <v>913</v>
      </c>
      <c r="G369" s="36" t="s">
        <v>914</v>
      </c>
      <c r="H369" s="37" t="s">
        <v>80</v>
      </c>
      <c r="I369" s="37" t="s">
        <v>81</v>
      </c>
      <c r="J369" s="37" t="s">
        <v>82</v>
      </c>
      <c r="K369" s="37" t="s">
        <v>87</v>
      </c>
      <c r="L369" s="36" t="s">
        <v>84</v>
      </c>
      <c r="M369" s="34">
        <v>1544.1</v>
      </c>
      <c r="N369" s="34">
        <v>629.28</v>
      </c>
      <c r="O369" s="34">
        <v>914.82</v>
      </c>
      <c r="P369" s="34">
        <v>1274.8599999999999</v>
      </c>
      <c r="Q369" s="34">
        <v>69.900000000000006</v>
      </c>
      <c r="R369" s="34">
        <v>55.61</v>
      </c>
      <c r="S369" s="34">
        <v>55.61</v>
      </c>
      <c r="T369" s="34">
        <v>17.63</v>
      </c>
      <c r="U369" s="34">
        <v>132.44</v>
      </c>
      <c r="V369" s="34">
        <v>12.36</v>
      </c>
      <c r="W369" s="34">
        <v>1.65</v>
      </c>
      <c r="X369" s="34">
        <v>0.69</v>
      </c>
      <c r="Y369" s="35">
        <v>7.8887</v>
      </c>
      <c r="Z369" s="35">
        <v>13.315200000000001</v>
      </c>
      <c r="AA369" s="35">
        <v>9.5547000000000004</v>
      </c>
    </row>
    <row r="370" spans="1:27" ht="15.75" hidden="1" customHeight="1" x14ac:dyDescent="0.2">
      <c r="A370" s="2"/>
      <c r="B370" s="31">
        <v>365</v>
      </c>
      <c r="C370" s="36" t="s">
        <v>706</v>
      </c>
      <c r="D370" s="36" t="s">
        <v>743</v>
      </c>
      <c r="E370" s="36" t="s">
        <v>744</v>
      </c>
      <c r="F370" s="36" t="s">
        <v>915</v>
      </c>
      <c r="G370" s="36" t="s">
        <v>916</v>
      </c>
      <c r="H370" s="37" t="s">
        <v>80</v>
      </c>
      <c r="I370" s="37" t="s">
        <v>81</v>
      </c>
      <c r="J370" s="37" t="s">
        <v>82</v>
      </c>
      <c r="K370" s="37" t="s">
        <v>87</v>
      </c>
      <c r="L370" s="36" t="s">
        <v>84</v>
      </c>
      <c r="M370" s="34">
        <v>45126.38</v>
      </c>
      <c r="N370" s="34">
        <v>24522.09</v>
      </c>
      <c r="O370" s="34">
        <v>20604.29</v>
      </c>
      <c r="P370" s="34">
        <v>43266.13</v>
      </c>
      <c r="Q370" s="34">
        <v>1068.3699999999999</v>
      </c>
      <c r="R370" s="34">
        <v>825.7</v>
      </c>
      <c r="S370" s="34">
        <v>825.38</v>
      </c>
      <c r="T370" s="34">
        <v>584.99</v>
      </c>
      <c r="U370" s="34">
        <v>7173.71</v>
      </c>
      <c r="V370" s="34">
        <v>9.19</v>
      </c>
      <c r="W370" s="34">
        <v>0.75</v>
      </c>
      <c r="X370" s="34">
        <v>1.19</v>
      </c>
      <c r="Y370" s="35">
        <v>3.7233999999999998</v>
      </c>
      <c r="Z370" s="35">
        <v>8.1547000000000001</v>
      </c>
      <c r="AA370" s="35">
        <v>3.8834</v>
      </c>
    </row>
    <row r="371" spans="1:27" ht="15.75" hidden="1" customHeight="1" x14ac:dyDescent="0.2">
      <c r="A371" s="2"/>
      <c r="B371" s="31">
        <v>366</v>
      </c>
      <c r="C371" s="36" t="s">
        <v>706</v>
      </c>
      <c r="D371" s="36" t="s">
        <v>747</v>
      </c>
      <c r="E371" s="36" t="s">
        <v>748</v>
      </c>
      <c r="F371" s="36" t="s">
        <v>917</v>
      </c>
      <c r="G371" s="36" t="s">
        <v>918</v>
      </c>
      <c r="H371" s="37" t="s">
        <v>95</v>
      </c>
      <c r="I371" s="37" t="s">
        <v>81</v>
      </c>
      <c r="J371" s="37" t="s">
        <v>82</v>
      </c>
      <c r="K371" s="37" t="s">
        <v>87</v>
      </c>
      <c r="L371" s="36" t="s">
        <v>84</v>
      </c>
      <c r="M371" s="34">
        <v>37.369999999999997</v>
      </c>
      <c r="N371" s="34">
        <v>2.89</v>
      </c>
      <c r="O371" s="34">
        <v>34.479999999999997</v>
      </c>
      <c r="P371" s="34">
        <v>1.33</v>
      </c>
      <c r="Q371" s="34">
        <v>-0.81</v>
      </c>
      <c r="R371" s="34">
        <v>-0.81</v>
      </c>
      <c r="S371" s="34">
        <v>-0.81</v>
      </c>
      <c r="T371" s="34">
        <v>-3.47</v>
      </c>
      <c r="U371" s="34">
        <v>31.85</v>
      </c>
      <c r="V371" s="34">
        <v>-23.37</v>
      </c>
      <c r="W371" s="34">
        <v>2.54</v>
      </c>
      <c r="X371" s="34">
        <v>0.08</v>
      </c>
      <c r="Y371" s="35">
        <v>-10.0402</v>
      </c>
      <c r="Z371" s="35">
        <v>-10.8817</v>
      </c>
      <c r="AA371" s="35">
        <v>-281.46120000000002</v>
      </c>
    </row>
    <row r="372" spans="1:27" ht="15.75" hidden="1" customHeight="1" x14ac:dyDescent="0.2">
      <c r="A372" s="2"/>
      <c r="B372" s="31">
        <v>367</v>
      </c>
      <c r="C372" s="36" t="s">
        <v>706</v>
      </c>
      <c r="D372" s="36" t="s">
        <v>743</v>
      </c>
      <c r="E372" s="36" t="s">
        <v>744</v>
      </c>
      <c r="F372" s="36" t="s">
        <v>919</v>
      </c>
      <c r="G372" s="36" t="s">
        <v>920</v>
      </c>
      <c r="H372" s="37" t="s">
        <v>95</v>
      </c>
      <c r="I372" s="37" t="s">
        <v>81</v>
      </c>
      <c r="J372" s="37" t="s">
        <v>82</v>
      </c>
      <c r="K372" s="37" t="s">
        <v>104</v>
      </c>
      <c r="L372" s="36" t="s">
        <v>90</v>
      </c>
      <c r="M372" s="34">
        <v>11043.82</v>
      </c>
      <c r="N372" s="34">
        <v>7906.83</v>
      </c>
      <c r="O372" s="34">
        <v>3136.99</v>
      </c>
      <c r="P372" s="34">
        <v>7195.22</v>
      </c>
      <c r="Q372" s="34">
        <v>987.65</v>
      </c>
      <c r="R372" s="34">
        <v>707.85</v>
      </c>
      <c r="S372" s="34">
        <v>691.45</v>
      </c>
      <c r="T372" s="34">
        <v>124.06</v>
      </c>
      <c r="U372" s="34">
        <v>329.34</v>
      </c>
      <c r="V372" s="34">
        <v>13.26</v>
      </c>
      <c r="W372" s="34">
        <v>4.99</v>
      </c>
      <c r="X372" s="34">
        <v>2.52</v>
      </c>
      <c r="Y372" s="35">
        <v>10.7</v>
      </c>
      <c r="Z372" s="35">
        <v>37.669600000000003</v>
      </c>
      <c r="AA372" s="35">
        <v>16.423300000000001</v>
      </c>
    </row>
    <row r="373" spans="1:27" ht="15.75" hidden="1" customHeight="1" x14ac:dyDescent="0.2">
      <c r="A373" s="2"/>
      <c r="B373" s="31">
        <v>368</v>
      </c>
      <c r="C373" s="36" t="s">
        <v>706</v>
      </c>
      <c r="D373" s="36" t="s">
        <v>743</v>
      </c>
      <c r="E373" s="36" t="s">
        <v>744</v>
      </c>
      <c r="F373" s="36" t="s">
        <v>921</v>
      </c>
      <c r="G373" s="36" t="s">
        <v>922</v>
      </c>
      <c r="H373" s="37" t="s">
        <v>80</v>
      </c>
      <c r="I373" s="37" t="s">
        <v>81</v>
      </c>
      <c r="J373" s="37" t="s">
        <v>82</v>
      </c>
      <c r="K373" s="37" t="s">
        <v>87</v>
      </c>
      <c r="L373" s="36" t="s">
        <v>84</v>
      </c>
      <c r="M373" s="34">
        <v>8354.0300000000007</v>
      </c>
      <c r="N373" s="34">
        <v>2397.08</v>
      </c>
      <c r="O373" s="34">
        <v>5956.95</v>
      </c>
      <c r="P373" s="34">
        <v>3589.83</v>
      </c>
      <c r="Q373" s="34">
        <v>961.15</v>
      </c>
      <c r="R373" s="34">
        <v>760.64</v>
      </c>
      <c r="S373" s="34">
        <v>656.73</v>
      </c>
      <c r="T373" s="34">
        <v>139.01</v>
      </c>
      <c r="U373" s="34">
        <v>546.34</v>
      </c>
      <c r="V373" s="34">
        <v>7.88</v>
      </c>
      <c r="W373" s="34">
        <v>2</v>
      </c>
      <c r="X373" s="34">
        <v>0.4</v>
      </c>
      <c r="Y373" s="35">
        <v>18.143000000000001</v>
      </c>
      <c r="Z373" s="35">
        <v>25.4438</v>
      </c>
      <c r="AA373" s="35">
        <v>42.221299999999999</v>
      </c>
    </row>
    <row r="374" spans="1:27" ht="15.75" hidden="1" customHeight="1" x14ac:dyDescent="0.2">
      <c r="A374" s="2"/>
      <c r="B374" s="31">
        <v>369</v>
      </c>
      <c r="C374" s="36" t="s">
        <v>706</v>
      </c>
      <c r="D374" s="36" t="s">
        <v>773</v>
      </c>
      <c r="E374" s="36" t="s">
        <v>774</v>
      </c>
      <c r="F374" s="36" t="s">
        <v>923</v>
      </c>
      <c r="G374" s="36" t="s">
        <v>924</v>
      </c>
      <c r="H374" s="37" t="s">
        <v>95</v>
      </c>
      <c r="I374" s="37" t="s">
        <v>81</v>
      </c>
      <c r="J374" s="37" t="s">
        <v>82</v>
      </c>
      <c r="K374" s="37" t="s">
        <v>87</v>
      </c>
      <c r="L374" s="36" t="s">
        <v>84</v>
      </c>
      <c r="M374" s="34">
        <v>136.15</v>
      </c>
      <c r="N374" s="34">
        <v>12.38</v>
      </c>
      <c r="O374" s="34">
        <v>123.76</v>
      </c>
      <c r="P374" s="34">
        <v>4.75</v>
      </c>
      <c r="Q374" s="34">
        <v>-11.22</v>
      </c>
      <c r="R374" s="34">
        <v>-11.22</v>
      </c>
      <c r="S374" s="34">
        <v>-11.22</v>
      </c>
      <c r="T374" s="34">
        <v>-2.02</v>
      </c>
      <c r="U374" s="34">
        <v>11.54</v>
      </c>
      <c r="V374" s="34">
        <v>-106.04</v>
      </c>
      <c r="W374" s="34">
        <v>18.54</v>
      </c>
      <c r="X374" s="34">
        <v>0.1</v>
      </c>
      <c r="Y374" s="35">
        <v>-15.8935</v>
      </c>
      <c r="Z374" s="35">
        <v>-17.483699999999999</v>
      </c>
      <c r="AA374" s="35">
        <v>-455.92230000000001</v>
      </c>
    </row>
    <row r="375" spans="1:27" ht="15.75" hidden="1" customHeight="1" x14ac:dyDescent="0.2">
      <c r="A375" s="2"/>
      <c r="B375" s="31">
        <v>370</v>
      </c>
      <c r="C375" s="36" t="s">
        <v>706</v>
      </c>
      <c r="D375" s="36" t="s">
        <v>755</v>
      </c>
      <c r="E375" s="36" t="s">
        <v>756</v>
      </c>
      <c r="F375" s="36" t="s">
        <v>925</v>
      </c>
      <c r="G375" s="36" t="s">
        <v>926</v>
      </c>
      <c r="H375" s="37" t="s">
        <v>80</v>
      </c>
      <c r="I375" s="37" t="s">
        <v>81</v>
      </c>
      <c r="J375" s="37" t="s">
        <v>82</v>
      </c>
      <c r="K375" s="37" t="s">
        <v>87</v>
      </c>
      <c r="L375" s="36" t="s">
        <v>84</v>
      </c>
      <c r="M375" s="34">
        <v>7300.96</v>
      </c>
      <c r="N375" s="34">
        <v>615.21</v>
      </c>
      <c r="O375" s="34">
        <v>6685.75</v>
      </c>
      <c r="P375" s="34">
        <v>2506.5</v>
      </c>
      <c r="Q375" s="34">
        <v>646.94000000000005</v>
      </c>
      <c r="R375" s="34">
        <v>539.24</v>
      </c>
      <c r="S375" s="34">
        <v>539.29</v>
      </c>
      <c r="T375" s="34">
        <v>856.38</v>
      </c>
      <c r="U375" s="34">
        <v>5103.62</v>
      </c>
      <c r="V375" s="34">
        <v>11.82</v>
      </c>
      <c r="W375" s="34">
        <v>1.98</v>
      </c>
      <c r="X375" s="34">
        <v>0.09</v>
      </c>
      <c r="Y375" s="35">
        <v>15.3659</v>
      </c>
      <c r="Z375" s="35">
        <v>16.779800000000002</v>
      </c>
      <c r="AA375" s="35">
        <v>44.757800000000003</v>
      </c>
    </row>
    <row r="376" spans="1:27" ht="15.75" hidden="1" customHeight="1" x14ac:dyDescent="0.2">
      <c r="A376" s="2"/>
      <c r="B376" s="31">
        <v>371</v>
      </c>
      <c r="C376" s="36" t="s">
        <v>706</v>
      </c>
      <c r="D376" s="36" t="s">
        <v>743</v>
      </c>
      <c r="E376" s="36" t="s">
        <v>744</v>
      </c>
      <c r="F376" s="36" t="s">
        <v>927</v>
      </c>
      <c r="G376" s="36" t="s">
        <v>928</v>
      </c>
      <c r="H376" s="37" t="s">
        <v>80</v>
      </c>
      <c r="I376" s="37" t="s">
        <v>81</v>
      </c>
      <c r="J376" s="37" t="s">
        <v>82</v>
      </c>
      <c r="K376" s="37" t="s">
        <v>87</v>
      </c>
      <c r="L376" s="36" t="s">
        <v>84</v>
      </c>
      <c r="M376" s="34">
        <v>13777.03</v>
      </c>
      <c r="N376" s="34">
        <v>2313.7600000000002</v>
      </c>
      <c r="O376" s="34">
        <v>11463.27</v>
      </c>
      <c r="P376" s="34">
        <v>5508.39</v>
      </c>
      <c r="Q376" s="34">
        <v>2102.12</v>
      </c>
      <c r="R376" s="34">
        <v>1757.48</v>
      </c>
      <c r="S376" s="34">
        <v>1694.12</v>
      </c>
      <c r="T376" s="34">
        <v>193.83</v>
      </c>
      <c r="U376" s="34">
        <v>577.41999999999996</v>
      </c>
      <c r="V376" s="34">
        <v>8.85</v>
      </c>
      <c r="W376" s="34">
        <v>2.97</v>
      </c>
      <c r="X376" s="34">
        <v>0.2</v>
      </c>
      <c r="Y376" s="35">
        <v>27.930900000000001</v>
      </c>
      <c r="Z376" s="35">
        <v>33.5685</v>
      </c>
      <c r="AA376" s="35">
        <v>69.858000000000004</v>
      </c>
    </row>
    <row r="377" spans="1:27" ht="15.75" hidden="1" customHeight="1" x14ac:dyDescent="0.2">
      <c r="A377" s="2"/>
      <c r="B377" s="31">
        <v>372</v>
      </c>
      <c r="C377" s="36" t="s">
        <v>706</v>
      </c>
      <c r="D377" s="36" t="s">
        <v>755</v>
      </c>
      <c r="E377" s="36" t="s">
        <v>756</v>
      </c>
      <c r="F377" s="36" t="s">
        <v>929</v>
      </c>
      <c r="G377" s="36" t="s">
        <v>930</v>
      </c>
      <c r="H377" s="37" t="s">
        <v>95</v>
      </c>
      <c r="I377" s="37" t="s">
        <v>81</v>
      </c>
      <c r="J377" s="37" t="s">
        <v>82</v>
      </c>
      <c r="K377" s="37" t="s">
        <v>87</v>
      </c>
      <c r="L377" s="36" t="s">
        <v>84</v>
      </c>
      <c r="M377" s="34">
        <v>349.71</v>
      </c>
      <c r="N377" s="34">
        <v>308.47000000000003</v>
      </c>
      <c r="O377" s="34">
        <v>41.24</v>
      </c>
      <c r="P377" s="34">
        <v>35.159999999999997</v>
      </c>
      <c r="Q377" s="34">
        <v>-16.04</v>
      </c>
      <c r="R377" s="34">
        <v>-16.04</v>
      </c>
      <c r="S377" s="34">
        <v>-16.04</v>
      </c>
      <c r="T377" s="34">
        <v>-67.67</v>
      </c>
      <c r="U377" s="34">
        <v>37.53</v>
      </c>
      <c r="V377" s="34">
        <v>-1.1200000000000001</v>
      </c>
      <c r="W377" s="34">
        <v>2.0299999999999998</v>
      </c>
      <c r="X377" s="34">
        <v>7.48</v>
      </c>
      <c r="Y377" s="35">
        <v>-21.2651</v>
      </c>
      <c r="Z377" s="35">
        <v>-180.32990000000001</v>
      </c>
      <c r="AA377" s="35">
        <v>-211.48259999999999</v>
      </c>
    </row>
    <row r="378" spans="1:27" ht="15.75" hidden="1" customHeight="1" x14ac:dyDescent="0.2">
      <c r="A378" s="2"/>
      <c r="B378" s="31">
        <v>373</v>
      </c>
      <c r="C378" s="36" t="s">
        <v>706</v>
      </c>
      <c r="D378" s="36" t="s">
        <v>755</v>
      </c>
      <c r="E378" s="36" t="s">
        <v>756</v>
      </c>
      <c r="F378" s="36" t="s">
        <v>931</v>
      </c>
      <c r="G378" s="36" t="s">
        <v>932</v>
      </c>
      <c r="H378" s="37" t="s">
        <v>95</v>
      </c>
      <c r="I378" s="37" t="s">
        <v>81</v>
      </c>
      <c r="J378" s="37" t="s">
        <v>82</v>
      </c>
      <c r="K378" s="37" t="s">
        <v>87</v>
      </c>
      <c r="L378" s="36" t="s">
        <v>84</v>
      </c>
      <c r="M378" s="34">
        <v>27500.5</v>
      </c>
      <c r="N378" s="34">
        <v>18617.36</v>
      </c>
      <c r="O378" s="34">
        <v>8883.14</v>
      </c>
      <c r="P378" s="34">
        <v>10498.25</v>
      </c>
      <c r="Q378" s="34">
        <v>565.66</v>
      </c>
      <c r="R378" s="34">
        <v>447.22</v>
      </c>
      <c r="S378" s="34">
        <v>446.78</v>
      </c>
      <c r="T378" s="34">
        <v>140.35</v>
      </c>
      <c r="U378" s="34">
        <v>1474.29</v>
      </c>
      <c r="V378" s="34">
        <v>5.24</v>
      </c>
      <c r="W378" s="34">
        <v>0.5</v>
      </c>
      <c r="X378" s="34">
        <v>2.1</v>
      </c>
      <c r="Y378" s="35">
        <v>3.0750999999999999</v>
      </c>
      <c r="Z378" s="35">
        <v>9.5198999999999998</v>
      </c>
      <c r="AA378" s="35">
        <v>8.0553000000000008</v>
      </c>
    </row>
    <row r="379" spans="1:27" ht="15.75" hidden="1" customHeight="1" x14ac:dyDescent="0.2">
      <c r="A379" s="2"/>
      <c r="B379" s="31">
        <v>374</v>
      </c>
      <c r="C379" s="36" t="s">
        <v>706</v>
      </c>
      <c r="D379" s="36" t="s">
        <v>755</v>
      </c>
      <c r="E379" s="36" t="s">
        <v>756</v>
      </c>
      <c r="F379" s="36" t="s">
        <v>933</v>
      </c>
      <c r="G379" s="36" t="s">
        <v>934</v>
      </c>
      <c r="H379" s="37" t="s">
        <v>80</v>
      </c>
      <c r="I379" s="37" t="s">
        <v>81</v>
      </c>
      <c r="J379" s="37" t="s">
        <v>82</v>
      </c>
      <c r="K379" s="37" t="s">
        <v>87</v>
      </c>
      <c r="L379" s="36" t="s">
        <v>84</v>
      </c>
      <c r="M379" s="34">
        <v>4538.9399999999996</v>
      </c>
      <c r="N379" s="34">
        <v>2311.86</v>
      </c>
      <c r="O379" s="34">
        <v>2227.0700000000002</v>
      </c>
      <c r="P379" s="34">
        <v>6204.45</v>
      </c>
      <c r="Q379" s="34">
        <v>228.66</v>
      </c>
      <c r="R379" s="34">
        <v>183.5</v>
      </c>
      <c r="S379" s="34">
        <v>185.1</v>
      </c>
      <c r="T379" s="34">
        <v>421.52</v>
      </c>
      <c r="U379" s="34">
        <v>2424.6999999999998</v>
      </c>
      <c r="V379" s="34">
        <v>13.4</v>
      </c>
      <c r="W379" s="34">
        <v>2.33</v>
      </c>
      <c r="X379" s="34">
        <v>1.04</v>
      </c>
      <c r="Y379" s="35">
        <v>8.5297999999999998</v>
      </c>
      <c r="Z379" s="35">
        <v>17.384399999999999</v>
      </c>
      <c r="AA379" s="35">
        <v>6.2401</v>
      </c>
    </row>
    <row r="380" spans="1:27" ht="15.75" hidden="1" customHeight="1" x14ac:dyDescent="0.2">
      <c r="A380" s="2"/>
      <c r="B380" s="31">
        <v>375</v>
      </c>
      <c r="C380" s="36" t="s">
        <v>706</v>
      </c>
      <c r="D380" s="36" t="s">
        <v>789</v>
      </c>
      <c r="E380" s="36" t="s">
        <v>790</v>
      </c>
      <c r="F380" s="36" t="s">
        <v>935</v>
      </c>
      <c r="G380" s="36" t="s">
        <v>936</v>
      </c>
      <c r="H380" s="37" t="s">
        <v>95</v>
      </c>
      <c r="I380" s="37" t="s">
        <v>81</v>
      </c>
      <c r="J380" s="37" t="s">
        <v>82</v>
      </c>
      <c r="K380" s="37" t="s">
        <v>87</v>
      </c>
      <c r="L380" s="36" t="s">
        <v>84</v>
      </c>
      <c r="M380" s="34">
        <v>118.23</v>
      </c>
      <c r="N380" s="34">
        <v>31.17</v>
      </c>
      <c r="O380" s="34">
        <v>87.06</v>
      </c>
      <c r="P380" s="34">
        <v>1.76</v>
      </c>
      <c r="Q380" s="34">
        <v>-8.44</v>
      </c>
      <c r="R380" s="34">
        <v>-8.44</v>
      </c>
      <c r="S380" s="34">
        <v>-8.44</v>
      </c>
      <c r="T380" s="34">
        <v>-25.59</v>
      </c>
      <c r="U380" s="34">
        <v>24.38</v>
      </c>
      <c r="V380" s="34">
        <v>-5.35</v>
      </c>
      <c r="W380" s="34">
        <v>5.62</v>
      </c>
      <c r="X380" s="34">
        <v>0.36</v>
      </c>
      <c r="Y380" s="35">
        <v>-77.314400000000006</v>
      </c>
      <c r="Z380" s="35">
        <v>-104.9986</v>
      </c>
      <c r="AA380" s="35">
        <v>-5184.9885000000004</v>
      </c>
    </row>
    <row r="381" spans="1:27" ht="15.75" hidden="1" customHeight="1" x14ac:dyDescent="0.2">
      <c r="A381" s="2"/>
      <c r="B381" s="31">
        <v>376</v>
      </c>
      <c r="C381" s="36" t="s">
        <v>706</v>
      </c>
      <c r="D381" s="36" t="s">
        <v>743</v>
      </c>
      <c r="E381" s="36" t="s">
        <v>744</v>
      </c>
      <c r="F381" s="36" t="s">
        <v>937</v>
      </c>
      <c r="G381" s="36" t="s">
        <v>938</v>
      </c>
      <c r="H381" s="37" t="s">
        <v>80</v>
      </c>
      <c r="I381" s="37" t="s">
        <v>81</v>
      </c>
      <c r="J381" s="37" t="s">
        <v>82</v>
      </c>
      <c r="K381" s="37" t="s">
        <v>87</v>
      </c>
      <c r="L381" s="36" t="s">
        <v>84</v>
      </c>
      <c r="M381" s="34">
        <v>5922.72</v>
      </c>
      <c r="N381" s="34">
        <v>2615.21</v>
      </c>
      <c r="O381" s="34">
        <v>3307.5</v>
      </c>
      <c r="P381" s="34">
        <v>2549.84</v>
      </c>
      <c r="Q381" s="34">
        <v>706.06</v>
      </c>
      <c r="R381" s="34">
        <v>561.28</v>
      </c>
      <c r="S381" s="34">
        <v>561.27</v>
      </c>
      <c r="T381" s="34">
        <v>86.34</v>
      </c>
      <c r="U381" s="34">
        <v>255.47</v>
      </c>
      <c r="V381" s="34">
        <v>8.11</v>
      </c>
      <c r="W381" s="34">
        <v>2.74</v>
      </c>
      <c r="X381" s="34">
        <v>0.79</v>
      </c>
      <c r="Y381" s="35">
        <v>18.873200000000001</v>
      </c>
      <c r="Z381" s="35">
        <v>33.795999999999999</v>
      </c>
      <c r="AA381" s="35">
        <v>43.838200000000001</v>
      </c>
    </row>
    <row r="382" spans="1:27" ht="15.75" hidden="1" customHeight="1" x14ac:dyDescent="0.2">
      <c r="A382" s="2"/>
      <c r="B382" s="31">
        <v>377</v>
      </c>
      <c r="C382" s="36" t="s">
        <v>706</v>
      </c>
      <c r="D382" s="36" t="s">
        <v>755</v>
      </c>
      <c r="E382" s="36" t="s">
        <v>756</v>
      </c>
      <c r="F382" s="36" t="s">
        <v>939</v>
      </c>
      <c r="G382" s="36" t="s">
        <v>940</v>
      </c>
      <c r="H382" s="37" t="s">
        <v>95</v>
      </c>
      <c r="I382" s="37" t="s">
        <v>81</v>
      </c>
      <c r="J382" s="37" t="s">
        <v>82</v>
      </c>
      <c r="K382" s="37" t="s">
        <v>87</v>
      </c>
      <c r="L382" s="36" t="s">
        <v>84</v>
      </c>
      <c r="M382" s="34">
        <v>3220.57</v>
      </c>
      <c r="N382" s="34">
        <v>2281.02</v>
      </c>
      <c r="O382" s="34">
        <v>939.56</v>
      </c>
      <c r="P382" s="34">
        <v>1632.32</v>
      </c>
      <c r="Q382" s="34">
        <v>-10.7</v>
      </c>
      <c r="R382" s="34">
        <v>-15.19</v>
      </c>
      <c r="S382" s="34">
        <v>-15.19</v>
      </c>
      <c r="T382" s="34">
        <v>-7.26</v>
      </c>
      <c r="U382" s="34">
        <v>118.25</v>
      </c>
      <c r="V382" s="34">
        <v>-23.84</v>
      </c>
      <c r="W382" s="34">
        <v>1.46</v>
      </c>
      <c r="X382" s="34">
        <v>2.4300000000000002</v>
      </c>
      <c r="Y382" s="35">
        <v>-1.7907</v>
      </c>
      <c r="Z382" s="35">
        <v>-6.1379000000000001</v>
      </c>
      <c r="AA382" s="35">
        <v>-3.5329000000000002</v>
      </c>
    </row>
    <row r="383" spans="1:27" ht="15.75" hidden="1" customHeight="1" x14ac:dyDescent="0.2">
      <c r="A383" s="2"/>
      <c r="B383" s="31">
        <v>378</v>
      </c>
      <c r="C383" s="36" t="s">
        <v>706</v>
      </c>
      <c r="D383" s="36" t="s">
        <v>751</v>
      </c>
      <c r="E383" s="36" t="s">
        <v>752</v>
      </c>
      <c r="F383" s="36" t="s">
        <v>941</v>
      </c>
      <c r="G383" s="36" t="s">
        <v>942</v>
      </c>
      <c r="H383" s="37" t="s">
        <v>95</v>
      </c>
      <c r="I383" s="37" t="s">
        <v>81</v>
      </c>
      <c r="J383" s="37" t="s">
        <v>82</v>
      </c>
      <c r="K383" s="37" t="s">
        <v>87</v>
      </c>
      <c r="L383" s="36" t="s">
        <v>84</v>
      </c>
      <c r="M383" s="34">
        <v>59.42</v>
      </c>
      <c r="N383" s="34">
        <v>4.03</v>
      </c>
      <c r="O383" s="34">
        <v>55.38</v>
      </c>
      <c r="P383" s="34">
        <v>12.72</v>
      </c>
      <c r="Q383" s="34">
        <v>0.15</v>
      </c>
      <c r="R383" s="34">
        <v>0.15</v>
      </c>
      <c r="S383" s="34">
        <v>0.15</v>
      </c>
      <c r="T383" s="34">
        <v>-0.34</v>
      </c>
      <c r="U383" s="34">
        <v>31.65</v>
      </c>
      <c r="V383" s="34">
        <v>-4625.16</v>
      </c>
      <c r="W383" s="34">
        <v>49.14</v>
      </c>
      <c r="X383" s="34">
        <v>7.0000000000000007E-2</v>
      </c>
      <c r="Y383" s="35">
        <v>-0.99029999999999996</v>
      </c>
      <c r="Z383" s="35">
        <v>-1.0623</v>
      </c>
      <c r="AA383" s="35">
        <v>-4.6266999999999996</v>
      </c>
    </row>
    <row r="384" spans="1:27" ht="15.75" hidden="1" customHeight="1" x14ac:dyDescent="0.2">
      <c r="A384" s="2"/>
      <c r="B384" s="31">
        <v>379</v>
      </c>
      <c r="C384" s="36" t="s">
        <v>706</v>
      </c>
      <c r="D384" s="36" t="s">
        <v>789</v>
      </c>
      <c r="E384" s="36" t="s">
        <v>790</v>
      </c>
      <c r="F384" s="36" t="s">
        <v>943</v>
      </c>
      <c r="G384" s="36" t="s">
        <v>944</v>
      </c>
      <c r="H384" s="37" t="s">
        <v>80</v>
      </c>
      <c r="I384" s="37" t="s">
        <v>81</v>
      </c>
      <c r="J384" s="37" t="s">
        <v>82</v>
      </c>
      <c r="K384" s="37" t="s">
        <v>87</v>
      </c>
      <c r="L384" s="36" t="s">
        <v>84</v>
      </c>
      <c r="M384" s="34">
        <v>8157.66</v>
      </c>
      <c r="N384" s="34">
        <v>576.09</v>
      </c>
      <c r="O384" s="34">
        <v>7581.57</v>
      </c>
      <c r="P384" s="34">
        <v>4081.69</v>
      </c>
      <c r="Q384" s="34">
        <v>779.86</v>
      </c>
      <c r="R384" s="34">
        <v>613.41</v>
      </c>
      <c r="S384" s="34">
        <v>603.80999999999995</v>
      </c>
      <c r="T384" s="34">
        <v>94.76</v>
      </c>
      <c r="U384" s="34">
        <v>729.12</v>
      </c>
      <c r="V384" s="34">
        <v>13.61</v>
      </c>
      <c r="W384" s="34">
        <v>1.77</v>
      </c>
      <c r="X384" s="34">
        <v>0.08</v>
      </c>
      <c r="Y384" s="35">
        <v>12.0783</v>
      </c>
      <c r="Z384" s="35">
        <v>12.996</v>
      </c>
      <c r="AA384" s="35">
        <v>24.139600000000002</v>
      </c>
    </row>
    <row r="385" spans="1:27" ht="15.75" hidden="1" customHeight="1" x14ac:dyDescent="0.2">
      <c r="A385" s="2"/>
      <c r="B385" s="31">
        <v>380</v>
      </c>
      <c r="C385" s="36" t="s">
        <v>706</v>
      </c>
      <c r="D385" s="36" t="s">
        <v>743</v>
      </c>
      <c r="E385" s="36" t="s">
        <v>744</v>
      </c>
      <c r="F385" s="36" t="s">
        <v>945</v>
      </c>
      <c r="G385" s="36" t="s">
        <v>946</v>
      </c>
      <c r="H385" s="37" t="s">
        <v>95</v>
      </c>
      <c r="I385" s="37" t="s">
        <v>81</v>
      </c>
      <c r="J385" s="37" t="s">
        <v>82</v>
      </c>
      <c r="K385" s="37" t="s">
        <v>87</v>
      </c>
      <c r="L385" s="36" t="s">
        <v>84</v>
      </c>
      <c r="M385" s="34">
        <v>3327.02</v>
      </c>
      <c r="N385" s="34">
        <v>8590.24</v>
      </c>
      <c r="O385" s="34">
        <v>-5263.21</v>
      </c>
      <c r="P385" s="34">
        <v>1141.3900000000001</v>
      </c>
      <c r="Q385" s="34">
        <v>46.75</v>
      </c>
      <c r="R385" s="34">
        <v>16.18</v>
      </c>
      <c r="S385" s="34">
        <v>16.18</v>
      </c>
      <c r="T385" s="34">
        <v>291.26</v>
      </c>
      <c r="U385" s="34">
        <v>-2105.15</v>
      </c>
      <c r="V385" s="34">
        <v>0.57999999999999996</v>
      </c>
      <c r="W385" s="34">
        <v>-0.08</v>
      </c>
      <c r="X385" s="34">
        <v>-1.63</v>
      </c>
      <c r="Y385" s="35">
        <v>21.8871</v>
      </c>
      <c r="Z385" s="35" t="s">
        <v>95</v>
      </c>
      <c r="AA385" s="35">
        <v>63.7986</v>
      </c>
    </row>
    <row r="386" spans="1:27" ht="15.75" hidden="1" customHeight="1" x14ac:dyDescent="0.2">
      <c r="A386" s="2"/>
      <c r="B386" s="31">
        <v>381</v>
      </c>
      <c r="C386" s="36" t="s">
        <v>706</v>
      </c>
      <c r="D386" s="36" t="s">
        <v>743</v>
      </c>
      <c r="E386" s="36" t="s">
        <v>744</v>
      </c>
      <c r="F386" s="36" t="s">
        <v>947</v>
      </c>
      <c r="G386" s="36" t="s">
        <v>948</v>
      </c>
      <c r="H386" s="37" t="s">
        <v>80</v>
      </c>
      <c r="I386" s="37" t="s">
        <v>81</v>
      </c>
      <c r="J386" s="37" t="s">
        <v>82</v>
      </c>
      <c r="K386" s="37" t="s">
        <v>87</v>
      </c>
      <c r="L386" s="36" t="s">
        <v>84</v>
      </c>
      <c r="M386" s="34">
        <v>168.66</v>
      </c>
      <c r="N386" s="34">
        <v>98.34</v>
      </c>
      <c r="O386" s="34">
        <v>70.319999999999993</v>
      </c>
      <c r="P386" s="34">
        <v>437.59</v>
      </c>
      <c r="Q386" s="34">
        <v>-1.63</v>
      </c>
      <c r="R386" s="34">
        <v>-1.71</v>
      </c>
      <c r="S386" s="34">
        <v>-1.71</v>
      </c>
      <c r="T386" s="34">
        <v>-3.34</v>
      </c>
      <c r="U386" s="34">
        <v>56.67</v>
      </c>
      <c r="V386" s="34">
        <v>-49.69</v>
      </c>
      <c r="W386" s="34">
        <v>2.93</v>
      </c>
      <c r="X386" s="34">
        <v>1.4</v>
      </c>
      <c r="Y386" s="35">
        <v>-2.4581</v>
      </c>
      <c r="Z386" s="35">
        <v>-5.8952999999999998</v>
      </c>
      <c r="AA386" s="35">
        <v>-0.94740000000000002</v>
      </c>
    </row>
    <row r="387" spans="1:27" ht="15.75" hidden="1" customHeight="1" x14ac:dyDescent="0.2">
      <c r="A387" s="2"/>
      <c r="B387" s="31">
        <v>382</v>
      </c>
      <c r="C387" s="36" t="s">
        <v>706</v>
      </c>
      <c r="D387" s="36" t="s">
        <v>773</v>
      </c>
      <c r="E387" s="36" t="s">
        <v>774</v>
      </c>
      <c r="F387" s="36" t="s">
        <v>949</v>
      </c>
      <c r="G387" s="36" t="s">
        <v>950</v>
      </c>
      <c r="H387" s="37" t="s">
        <v>95</v>
      </c>
      <c r="I387" s="37" t="s">
        <v>81</v>
      </c>
      <c r="J387" s="37" t="s">
        <v>82</v>
      </c>
      <c r="K387" s="37" t="s">
        <v>87</v>
      </c>
      <c r="L387" s="36" t="s">
        <v>84</v>
      </c>
      <c r="M387" s="34">
        <v>448.27</v>
      </c>
      <c r="N387" s="34">
        <v>133.1</v>
      </c>
      <c r="O387" s="34">
        <v>315.17</v>
      </c>
      <c r="P387" s="34">
        <v>130.78</v>
      </c>
      <c r="Q387" s="34">
        <v>23.21</v>
      </c>
      <c r="R387" s="34">
        <v>17.93</v>
      </c>
      <c r="S387" s="34">
        <v>17.920000000000002</v>
      </c>
      <c r="T387" s="34">
        <v>15.39</v>
      </c>
      <c r="U387" s="34">
        <v>116.3</v>
      </c>
      <c r="V387" s="34">
        <v>13.65</v>
      </c>
      <c r="W387" s="34">
        <v>1.81</v>
      </c>
      <c r="X387" s="34">
        <v>0.42</v>
      </c>
      <c r="Y387" s="35">
        <v>9.3020999999999994</v>
      </c>
      <c r="Z387" s="35">
        <v>13.230399999999999</v>
      </c>
      <c r="AA387" s="35">
        <v>31.885000000000002</v>
      </c>
    </row>
    <row r="388" spans="1:27" ht="15.75" hidden="1" customHeight="1" x14ac:dyDescent="0.2">
      <c r="A388" s="2"/>
      <c r="B388" s="31">
        <v>383</v>
      </c>
      <c r="C388" s="36" t="s">
        <v>706</v>
      </c>
      <c r="D388" s="36" t="s">
        <v>751</v>
      </c>
      <c r="E388" s="36" t="s">
        <v>752</v>
      </c>
      <c r="F388" s="36" t="s">
        <v>951</v>
      </c>
      <c r="G388" s="36" t="s">
        <v>952</v>
      </c>
      <c r="H388" s="37" t="s">
        <v>95</v>
      </c>
      <c r="I388" s="37" t="s">
        <v>81</v>
      </c>
      <c r="J388" s="37" t="s">
        <v>82</v>
      </c>
      <c r="K388" s="37" t="s">
        <v>87</v>
      </c>
      <c r="L388" s="36" t="s">
        <v>84</v>
      </c>
      <c r="M388" s="34">
        <v>4615.24</v>
      </c>
      <c r="N388" s="34">
        <v>4053.44</v>
      </c>
      <c r="O388" s="34">
        <v>561.79999999999995</v>
      </c>
      <c r="P388" s="34">
        <v>398.47</v>
      </c>
      <c r="Q388" s="34">
        <v>-131.52000000000001</v>
      </c>
      <c r="R388" s="34">
        <v>-131.52000000000001</v>
      </c>
      <c r="S388" s="34">
        <v>-119.33</v>
      </c>
      <c r="T388" s="34">
        <v>-17.38</v>
      </c>
      <c r="U388" s="34">
        <v>19.100000000000001</v>
      </c>
      <c r="V388" s="34">
        <v>-0.69</v>
      </c>
      <c r="W388" s="34">
        <v>0.63</v>
      </c>
      <c r="X388" s="34">
        <v>7.22</v>
      </c>
      <c r="Y388" s="35">
        <v>-11.079800000000001</v>
      </c>
      <c r="Z388" s="35">
        <v>-91.021299999999997</v>
      </c>
      <c r="AA388" s="35">
        <v>-128.32980000000001</v>
      </c>
    </row>
    <row r="389" spans="1:27" ht="15.75" hidden="1" customHeight="1" x14ac:dyDescent="0.2">
      <c r="A389" s="2"/>
      <c r="B389" s="31">
        <v>384</v>
      </c>
      <c r="C389" s="36" t="s">
        <v>706</v>
      </c>
      <c r="D389" s="36" t="s">
        <v>751</v>
      </c>
      <c r="E389" s="36" t="s">
        <v>752</v>
      </c>
      <c r="F389" s="36" t="s">
        <v>953</v>
      </c>
      <c r="G389" s="36" t="s">
        <v>954</v>
      </c>
      <c r="H389" s="37" t="s">
        <v>80</v>
      </c>
      <c r="I389" s="37" t="s">
        <v>81</v>
      </c>
      <c r="J389" s="37" t="s">
        <v>82</v>
      </c>
      <c r="K389" s="37" t="s">
        <v>87</v>
      </c>
      <c r="L389" s="36" t="s">
        <v>84</v>
      </c>
      <c r="M389" s="34">
        <v>2371.48</v>
      </c>
      <c r="N389" s="34">
        <v>1561.89</v>
      </c>
      <c r="O389" s="34">
        <v>809.59</v>
      </c>
      <c r="P389" s="34">
        <v>301.37</v>
      </c>
      <c r="Q389" s="34">
        <v>-48.16</v>
      </c>
      <c r="R389" s="34">
        <v>-48.16</v>
      </c>
      <c r="S389" s="34">
        <v>-48.01</v>
      </c>
      <c r="T389" s="34">
        <v>-8.1</v>
      </c>
      <c r="U389" s="34">
        <v>62.56</v>
      </c>
      <c r="V389" s="34">
        <v>-4.07</v>
      </c>
      <c r="W389" s="34">
        <v>0.53</v>
      </c>
      <c r="X389" s="34">
        <v>1.93</v>
      </c>
      <c r="Y389" s="35">
        <v>-4.4225000000000003</v>
      </c>
      <c r="Z389" s="35">
        <v>-12.9544</v>
      </c>
      <c r="AA389" s="35">
        <v>-34.800899999999999</v>
      </c>
    </row>
    <row r="390" spans="1:27" ht="15.75" hidden="1" customHeight="1" x14ac:dyDescent="0.2">
      <c r="A390" s="2"/>
      <c r="B390" s="31">
        <v>385</v>
      </c>
      <c r="C390" s="36" t="s">
        <v>706</v>
      </c>
      <c r="D390" s="36" t="s">
        <v>755</v>
      </c>
      <c r="E390" s="36" t="s">
        <v>756</v>
      </c>
      <c r="F390" s="36" t="s">
        <v>955</v>
      </c>
      <c r="G390" s="36" t="s">
        <v>956</v>
      </c>
      <c r="H390" s="37" t="s">
        <v>80</v>
      </c>
      <c r="I390" s="37" t="s">
        <v>81</v>
      </c>
      <c r="J390" s="37" t="s">
        <v>82</v>
      </c>
      <c r="K390" s="37" t="s">
        <v>87</v>
      </c>
      <c r="L390" s="36" t="s">
        <v>84</v>
      </c>
      <c r="M390" s="34">
        <v>3585.04</v>
      </c>
      <c r="N390" s="34">
        <v>429.17</v>
      </c>
      <c r="O390" s="34">
        <v>3155.87</v>
      </c>
      <c r="P390" s="34">
        <v>1431.95</v>
      </c>
      <c r="Q390" s="34">
        <v>390.47</v>
      </c>
      <c r="R390" s="34">
        <v>314.2</v>
      </c>
      <c r="S390" s="34">
        <v>314.20999999999998</v>
      </c>
      <c r="T390" s="34">
        <v>73.680000000000007</v>
      </c>
      <c r="U390" s="34">
        <v>369.35</v>
      </c>
      <c r="V390" s="34">
        <v>27.28</v>
      </c>
      <c r="W390" s="34">
        <v>5.44</v>
      </c>
      <c r="X390" s="34">
        <v>0.14000000000000001</v>
      </c>
      <c r="Y390" s="35">
        <v>17.560400000000001</v>
      </c>
      <c r="Z390" s="35">
        <v>19.948499999999999</v>
      </c>
      <c r="AA390" s="35">
        <v>43.964399999999998</v>
      </c>
    </row>
    <row r="391" spans="1:27" ht="15.75" hidden="1" customHeight="1" x14ac:dyDescent="0.2">
      <c r="A391" s="2"/>
      <c r="B391" s="31">
        <v>386</v>
      </c>
      <c r="C391" s="36" t="s">
        <v>706</v>
      </c>
      <c r="D391" s="36" t="s">
        <v>957</v>
      </c>
      <c r="E391" s="36" t="s">
        <v>958</v>
      </c>
      <c r="F391" s="36" t="s">
        <v>959</v>
      </c>
      <c r="G391" s="36" t="s">
        <v>960</v>
      </c>
      <c r="H391" s="37" t="s">
        <v>95</v>
      </c>
      <c r="I391" s="37" t="s">
        <v>81</v>
      </c>
      <c r="J391" s="37" t="s">
        <v>82</v>
      </c>
      <c r="K391" s="37" t="s">
        <v>87</v>
      </c>
      <c r="L391" s="36" t="s">
        <v>84</v>
      </c>
      <c r="M391" s="34">
        <v>79800.75</v>
      </c>
      <c r="N391" s="34">
        <v>18725.96</v>
      </c>
      <c r="O391" s="34">
        <v>61074.8</v>
      </c>
      <c r="P391" s="34">
        <v>44368.53</v>
      </c>
      <c r="Q391" s="34">
        <v>294.37</v>
      </c>
      <c r="R391" s="34">
        <v>120.25</v>
      </c>
      <c r="S391" s="34">
        <v>117.16</v>
      </c>
      <c r="T391" s="34">
        <v>89.63</v>
      </c>
      <c r="U391" s="34">
        <v>31742.2</v>
      </c>
      <c r="V391" s="34">
        <v>155.91999999999999</v>
      </c>
      <c r="W391" s="34">
        <v>0.44</v>
      </c>
      <c r="X391" s="34">
        <v>0.31</v>
      </c>
      <c r="Y391" s="35">
        <v>0.21609999999999999</v>
      </c>
      <c r="Z391" s="35">
        <v>0.28239999999999998</v>
      </c>
      <c r="AA391" s="35">
        <v>0.38869999999999999</v>
      </c>
    </row>
    <row r="392" spans="1:27" ht="15.75" hidden="1" customHeight="1" x14ac:dyDescent="0.2">
      <c r="A392" s="2"/>
      <c r="B392" s="31">
        <v>387</v>
      </c>
      <c r="C392" s="36" t="s">
        <v>706</v>
      </c>
      <c r="D392" s="36" t="s">
        <v>957</v>
      </c>
      <c r="E392" s="36" t="s">
        <v>958</v>
      </c>
      <c r="F392" s="36" t="s">
        <v>961</v>
      </c>
      <c r="G392" s="36" t="s">
        <v>962</v>
      </c>
      <c r="H392" s="37" t="s">
        <v>95</v>
      </c>
      <c r="I392" s="37" t="s">
        <v>81</v>
      </c>
      <c r="J392" s="37" t="s">
        <v>82</v>
      </c>
      <c r="K392" s="37" t="s">
        <v>87</v>
      </c>
      <c r="L392" s="36" t="s">
        <v>84</v>
      </c>
      <c r="M392" s="34">
        <v>44795.22</v>
      </c>
      <c r="N392" s="34">
        <v>20810.48</v>
      </c>
      <c r="O392" s="34">
        <v>23984.74</v>
      </c>
      <c r="P392" s="34">
        <v>55173.34</v>
      </c>
      <c r="Q392" s="34">
        <v>3748.14</v>
      </c>
      <c r="R392" s="34">
        <v>2128.39</v>
      </c>
      <c r="S392" s="34">
        <v>2128.39</v>
      </c>
      <c r="T392" s="34">
        <v>46.92</v>
      </c>
      <c r="U392" s="34">
        <v>206.2</v>
      </c>
      <c r="V392" s="34">
        <v>17.37</v>
      </c>
      <c r="W392" s="34">
        <v>3.95</v>
      </c>
      <c r="X392" s="34">
        <v>0.87</v>
      </c>
      <c r="Y392" s="35">
        <v>12.1831</v>
      </c>
      <c r="Z392" s="35">
        <v>22.753799999999998</v>
      </c>
      <c r="AA392" s="35">
        <v>9.8914000000000009</v>
      </c>
    </row>
    <row r="393" spans="1:27" ht="15.75" hidden="1" customHeight="1" x14ac:dyDescent="0.2">
      <c r="A393" s="2"/>
      <c r="B393" s="31">
        <v>388</v>
      </c>
      <c r="C393" s="36" t="s">
        <v>706</v>
      </c>
      <c r="D393" s="36" t="s">
        <v>957</v>
      </c>
      <c r="E393" s="36" t="s">
        <v>958</v>
      </c>
      <c r="F393" s="36" t="s">
        <v>963</v>
      </c>
      <c r="G393" s="36" t="s">
        <v>964</v>
      </c>
      <c r="H393" s="37" t="s">
        <v>95</v>
      </c>
      <c r="I393" s="37" t="s">
        <v>81</v>
      </c>
      <c r="J393" s="37" t="s">
        <v>82</v>
      </c>
      <c r="K393" s="37" t="s">
        <v>87</v>
      </c>
      <c r="L393" s="36" t="s">
        <v>84</v>
      </c>
      <c r="M393" s="34">
        <v>627.39</v>
      </c>
      <c r="N393" s="34">
        <v>186.33</v>
      </c>
      <c r="O393" s="34">
        <v>441.06</v>
      </c>
      <c r="P393" s="34">
        <v>149.65</v>
      </c>
      <c r="Q393" s="34">
        <v>10.83</v>
      </c>
      <c r="R393" s="34">
        <v>7.75</v>
      </c>
      <c r="S393" s="34">
        <v>7.75</v>
      </c>
      <c r="T393" s="34">
        <v>21.88</v>
      </c>
      <c r="U393" s="34">
        <v>468.85</v>
      </c>
      <c r="V393" s="34">
        <v>24.91</v>
      </c>
      <c r="W393" s="34">
        <v>1.1599999999999999</v>
      </c>
      <c r="X393" s="34">
        <v>0.42</v>
      </c>
      <c r="Y393" s="35">
        <v>3.2803</v>
      </c>
      <c r="Z393" s="35">
        <v>4.6661000000000001</v>
      </c>
      <c r="AA393" s="35">
        <v>13.752800000000001</v>
      </c>
    </row>
    <row r="394" spans="1:27" ht="15.75" hidden="1" customHeight="1" x14ac:dyDescent="0.2">
      <c r="A394" s="2"/>
      <c r="B394" s="31">
        <v>389</v>
      </c>
      <c r="C394" s="36" t="s">
        <v>706</v>
      </c>
      <c r="D394" s="36" t="s">
        <v>957</v>
      </c>
      <c r="E394" s="36" t="s">
        <v>958</v>
      </c>
      <c r="F394" s="36" t="s">
        <v>965</v>
      </c>
      <c r="G394" s="36" t="s">
        <v>966</v>
      </c>
      <c r="H394" s="37" t="s">
        <v>95</v>
      </c>
      <c r="I394" s="37" t="s">
        <v>81</v>
      </c>
      <c r="J394" s="37" t="s">
        <v>82</v>
      </c>
      <c r="K394" s="37" t="s">
        <v>87</v>
      </c>
      <c r="L394" s="36" t="s">
        <v>84</v>
      </c>
      <c r="M394" s="34">
        <v>3141.36</v>
      </c>
      <c r="N394" s="34">
        <v>1215.32</v>
      </c>
      <c r="O394" s="34">
        <v>1926.04</v>
      </c>
      <c r="P394" s="34">
        <v>2879.21</v>
      </c>
      <c r="Q394" s="34">
        <v>196.55</v>
      </c>
      <c r="R394" s="34">
        <v>148.29</v>
      </c>
      <c r="S394" s="34">
        <v>148.28</v>
      </c>
      <c r="T394" s="34">
        <v>142.72999999999999</v>
      </c>
      <c r="U394" s="34">
        <v>917.22</v>
      </c>
      <c r="V394" s="34">
        <v>8.9</v>
      </c>
      <c r="W394" s="34">
        <v>1.38</v>
      </c>
      <c r="X394" s="34">
        <v>0.63</v>
      </c>
      <c r="Y394" s="35">
        <v>9.5410000000000004</v>
      </c>
      <c r="Z394" s="35">
        <v>15.561400000000001</v>
      </c>
      <c r="AA394" s="35">
        <v>10.409700000000001</v>
      </c>
    </row>
    <row r="395" spans="1:27" ht="15.75" hidden="1" customHeight="1" x14ac:dyDescent="0.2">
      <c r="A395" s="2"/>
      <c r="B395" s="31">
        <v>390</v>
      </c>
      <c r="C395" s="36" t="s">
        <v>706</v>
      </c>
      <c r="D395" s="36" t="s">
        <v>967</v>
      </c>
      <c r="E395" s="36" t="s">
        <v>968</v>
      </c>
      <c r="F395" s="36" t="s">
        <v>969</v>
      </c>
      <c r="G395" s="36" t="s">
        <v>970</v>
      </c>
      <c r="H395" s="37" t="s">
        <v>95</v>
      </c>
      <c r="I395" s="37" t="s">
        <v>81</v>
      </c>
      <c r="J395" s="37" t="s">
        <v>82</v>
      </c>
      <c r="K395" s="37" t="s">
        <v>87</v>
      </c>
      <c r="L395" s="36" t="s">
        <v>84</v>
      </c>
      <c r="M395" s="34">
        <v>57.96</v>
      </c>
      <c r="N395" s="34">
        <v>6.06</v>
      </c>
      <c r="O395" s="34">
        <v>51.89</v>
      </c>
      <c r="P395" s="34">
        <v>9.44</v>
      </c>
      <c r="Q395" s="34">
        <v>0.91</v>
      </c>
      <c r="R395" s="34">
        <v>0.76</v>
      </c>
      <c r="S395" s="34">
        <v>0.76</v>
      </c>
      <c r="T395" s="34">
        <v>0.59</v>
      </c>
      <c r="U395" s="34">
        <v>20.36</v>
      </c>
      <c r="V395" s="34">
        <v>524.53</v>
      </c>
      <c r="W395" s="34">
        <v>15.33</v>
      </c>
      <c r="X395" s="34">
        <v>0.12</v>
      </c>
      <c r="Y395" s="35">
        <v>2.6158999999999999</v>
      </c>
      <c r="Z395" s="35">
        <v>2.9217</v>
      </c>
      <c r="AA395" s="35">
        <v>16.059100000000001</v>
      </c>
    </row>
    <row r="396" spans="1:27" ht="15.75" hidden="1" customHeight="1" x14ac:dyDescent="0.2">
      <c r="A396" s="2"/>
      <c r="B396" s="31">
        <v>391</v>
      </c>
      <c r="C396" s="36" t="s">
        <v>706</v>
      </c>
      <c r="D396" s="36" t="s">
        <v>967</v>
      </c>
      <c r="E396" s="36" t="s">
        <v>968</v>
      </c>
      <c r="F396" s="36" t="s">
        <v>971</v>
      </c>
      <c r="G396" s="36" t="s">
        <v>972</v>
      </c>
      <c r="H396" s="37" t="s">
        <v>95</v>
      </c>
      <c r="I396" s="37" t="s">
        <v>81</v>
      </c>
      <c r="J396" s="37" t="s">
        <v>82</v>
      </c>
      <c r="K396" s="37" t="s">
        <v>87</v>
      </c>
      <c r="L396" s="36" t="s">
        <v>84</v>
      </c>
      <c r="M396" s="34">
        <v>68.08</v>
      </c>
      <c r="N396" s="34">
        <v>33.14</v>
      </c>
      <c r="O396" s="34">
        <v>34.950000000000003</v>
      </c>
      <c r="P396" s="34">
        <v>9.1300000000000008</v>
      </c>
      <c r="Q396" s="34">
        <v>-3.05</v>
      </c>
      <c r="R396" s="34">
        <v>-2.99</v>
      </c>
      <c r="S396" s="34">
        <v>-2.99</v>
      </c>
      <c r="T396" s="34">
        <v>-51.78</v>
      </c>
      <c r="U396" s="34">
        <v>44.73</v>
      </c>
      <c r="V396" s="34">
        <v>-3.44</v>
      </c>
      <c r="W396" s="34">
        <v>3.98</v>
      </c>
      <c r="X396" s="34">
        <v>0.95</v>
      </c>
      <c r="Y396" s="35">
        <v>-59.413600000000002</v>
      </c>
      <c r="Z396" s="35">
        <v>-115.7474</v>
      </c>
      <c r="AA396" s="35">
        <v>-443.11360000000002</v>
      </c>
    </row>
    <row r="397" spans="1:27" ht="15.75" hidden="1" customHeight="1" x14ac:dyDescent="0.2">
      <c r="A397" s="2"/>
      <c r="B397" s="31">
        <v>392</v>
      </c>
      <c r="C397" s="36" t="s">
        <v>706</v>
      </c>
      <c r="D397" s="36" t="s">
        <v>967</v>
      </c>
      <c r="E397" s="36" t="s">
        <v>968</v>
      </c>
      <c r="F397" s="36" t="s">
        <v>973</v>
      </c>
      <c r="G397" s="36" t="s">
        <v>974</v>
      </c>
      <c r="H397" s="37" t="s">
        <v>80</v>
      </c>
      <c r="I397" s="37" t="s">
        <v>81</v>
      </c>
      <c r="J397" s="37" t="s">
        <v>82</v>
      </c>
      <c r="K397" s="37" t="s">
        <v>87</v>
      </c>
      <c r="L397" s="36" t="s">
        <v>84</v>
      </c>
      <c r="M397" s="34">
        <v>4580.63</v>
      </c>
      <c r="N397" s="34">
        <v>2914.33</v>
      </c>
      <c r="O397" s="34">
        <v>1666.3</v>
      </c>
      <c r="P397" s="34">
        <v>2159.98</v>
      </c>
      <c r="Q397" s="34">
        <v>51.54</v>
      </c>
      <c r="R397" s="34">
        <v>55.33</v>
      </c>
      <c r="S397" s="34">
        <v>54.03</v>
      </c>
      <c r="T397" s="34">
        <v>76.790000000000006</v>
      </c>
      <c r="U397" s="34">
        <v>1166.4100000000001</v>
      </c>
      <c r="V397" s="34">
        <v>15.56</v>
      </c>
      <c r="W397" s="34">
        <v>1.02</v>
      </c>
      <c r="X397" s="34">
        <v>1.75</v>
      </c>
      <c r="Y397" s="35">
        <v>2.3948</v>
      </c>
      <c r="Z397" s="35">
        <v>6.5831</v>
      </c>
      <c r="AA397" s="35">
        <v>5.0785</v>
      </c>
    </row>
    <row r="398" spans="1:27" ht="15.75" hidden="1" customHeight="1" x14ac:dyDescent="0.2">
      <c r="A398" s="2"/>
      <c r="B398" s="31">
        <v>393</v>
      </c>
      <c r="C398" s="36" t="s">
        <v>706</v>
      </c>
      <c r="D398" s="36" t="s">
        <v>967</v>
      </c>
      <c r="E398" s="36" t="s">
        <v>968</v>
      </c>
      <c r="F398" s="36" t="s">
        <v>975</v>
      </c>
      <c r="G398" s="36" t="s">
        <v>976</v>
      </c>
      <c r="H398" s="37" t="s">
        <v>80</v>
      </c>
      <c r="I398" s="37" t="s">
        <v>81</v>
      </c>
      <c r="J398" s="37" t="s">
        <v>82</v>
      </c>
      <c r="K398" s="37" t="s">
        <v>87</v>
      </c>
      <c r="L398" s="36" t="s">
        <v>84</v>
      </c>
      <c r="M398" s="34">
        <v>664.79</v>
      </c>
      <c r="N398" s="34">
        <v>313.64999999999998</v>
      </c>
      <c r="O398" s="34">
        <v>351.14</v>
      </c>
      <c r="P398" s="34">
        <v>186.88</v>
      </c>
      <c r="Q398" s="34">
        <v>-15.47</v>
      </c>
      <c r="R398" s="34">
        <v>-16.28</v>
      </c>
      <c r="S398" s="34">
        <v>-16.28</v>
      </c>
      <c r="T398" s="34">
        <v>-20.100000000000001</v>
      </c>
      <c r="U398" s="34">
        <v>328.16</v>
      </c>
      <c r="V398" s="34">
        <v>-7.01</v>
      </c>
      <c r="W398" s="34">
        <v>0.43</v>
      </c>
      <c r="X398" s="34">
        <v>0.89</v>
      </c>
      <c r="Y398" s="35">
        <v>-3.2353999999999998</v>
      </c>
      <c r="Z398" s="35">
        <v>-6.1254999999999997</v>
      </c>
      <c r="AA398" s="35">
        <v>-11.509499999999999</v>
      </c>
    </row>
    <row r="399" spans="1:27" ht="15.75" hidden="1" customHeight="1" x14ac:dyDescent="0.2">
      <c r="A399" s="2"/>
      <c r="B399" s="31">
        <v>394</v>
      </c>
      <c r="C399" s="36" t="s">
        <v>706</v>
      </c>
      <c r="D399" s="36" t="s">
        <v>967</v>
      </c>
      <c r="E399" s="36" t="s">
        <v>968</v>
      </c>
      <c r="F399" s="36" t="s">
        <v>977</v>
      </c>
      <c r="G399" s="36" t="s">
        <v>978</v>
      </c>
      <c r="H399" s="37" t="s">
        <v>80</v>
      </c>
      <c r="I399" s="37" t="s">
        <v>81</v>
      </c>
      <c r="J399" s="37" t="s">
        <v>82</v>
      </c>
      <c r="K399" s="37" t="s">
        <v>87</v>
      </c>
      <c r="L399" s="36" t="s">
        <v>84</v>
      </c>
      <c r="M399" s="34">
        <v>817.09</v>
      </c>
      <c r="N399" s="34">
        <v>243.08</v>
      </c>
      <c r="O399" s="34">
        <v>574.01</v>
      </c>
      <c r="P399" s="34">
        <v>189.98</v>
      </c>
      <c r="Q399" s="34">
        <v>1.3</v>
      </c>
      <c r="R399" s="34">
        <v>0.4</v>
      </c>
      <c r="S399" s="34">
        <v>0.39</v>
      </c>
      <c r="T399" s="34">
        <v>-11.76</v>
      </c>
      <c r="U399" s="34">
        <v>1341.14</v>
      </c>
      <c r="V399" s="34">
        <v>-26.69</v>
      </c>
      <c r="W399" s="34">
        <v>0.23</v>
      </c>
      <c r="X399" s="34">
        <v>0.42</v>
      </c>
      <c r="Y399" s="35">
        <v>-0.61619999999999997</v>
      </c>
      <c r="Z399" s="35">
        <v>-0.87719999999999998</v>
      </c>
      <c r="AA399" s="35">
        <v>-2.6501999999999999</v>
      </c>
    </row>
    <row r="400" spans="1:27" ht="15.75" hidden="1" customHeight="1" x14ac:dyDescent="0.2">
      <c r="A400" s="2"/>
      <c r="B400" s="31">
        <v>395</v>
      </c>
      <c r="C400" s="36" t="s">
        <v>706</v>
      </c>
      <c r="D400" s="36" t="s">
        <v>967</v>
      </c>
      <c r="E400" s="36" t="s">
        <v>968</v>
      </c>
      <c r="F400" s="36" t="s">
        <v>979</v>
      </c>
      <c r="G400" s="36" t="s">
        <v>980</v>
      </c>
      <c r="H400" s="37" t="s">
        <v>80</v>
      </c>
      <c r="I400" s="37" t="s">
        <v>81</v>
      </c>
      <c r="J400" s="37" t="s">
        <v>82</v>
      </c>
      <c r="K400" s="37" t="s">
        <v>87</v>
      </c>
      <c r="L400" s="36" t="s">
        <v>84</v>
      </c>
      <c r="M400" s="34">
        <v>1757.97</v>
      </c>
      <c r="N400" s="34">
        <v>414.58</v>
      </c>
      <c r="O400" s="34">
        <v>1343.39</v>
      </c>
      <c r="P400" s="34">
        <v>511.32</v>
      </c>
      <c r="Q400" s="34">
        <v>42.95</v>
      </c>
      <c r="R400" s="34">
        <v>35.75</v>
      </c>
      <c r="S400" s="34">
        <v>35.86</v>
      </c>
      <c r="T400" s="34">
        <v>21.67</v>
      </c>
      <c r="U400" s="34">
        <v>228.38</v>
      </c>
      <c r="V400" s="34">
        <v>14.03</v>
      </c>
      <c r="W400" s="34">
        <v>1.33</v>
      </c>
      <c r="X400" s="34">
        <v>0.31</v>
      </c>
      <c r="Y400" s="35">
        <v>7.2515000000000001</v>
      </c>
      <c r="Z400" s="35">
        <v>9.4893999999999998</v>
      </c>
      <c r="AA400" s="35">
        <v>24.9314</v>
      </c>
    </row>
    <row r="401" spans="1:27" ht="15.75" hidden="1" customHeight="1" x14ac:dyDescent="0.2">
      <c r="A401" s="2"/>
      <c r="B401" s="31">
        <v>396</v>
      </c>
      <c r="C401" s="36" t="s">
        <v>706</v>
      </c>
      <c r="D401" s="36" t="s">
        <v>967</v>
      </c>
      <c r="E401" s="36" t="s">
        <v>968</v>
      </c>
      <c r="F401" s="36" t="s">
        <v>981</v>
      </c>
      <c r="G401" s="36" t="s">
        <v>982</v>
      </c>
      <c r="H401" s="37" t="s">
        <v>95</v>
      </c>
      <c r="I401" s="37" t="s">
        <v>81</v>
      </c>
      <c r="J401" s="37" t="s">
        <v>82</v>
      </c>
      <c r="K401" s="37" t="s">
        <v>87</v>
      </c>
      <c r="L401" s="36" t="s">
        <v>84</v>
      </c>
      <c r="M401" s="34">
        <v>212</v>
      </c>
      <c r="N401" s="34">
        <v>42.12</v>
      </c>
      <c r="O401" s="34">
        <v>169.88</v>
      </c>
      <c r="P401" s="34">
        <v>52.49</v>
      </c>
      <c r="Q401" s="34">
        <v>1.1200000000000001</v>
      </c>
      <c r="R401" s="34">
        <v>0.76</v>
      </c>
      <c r="S401" s="34">
        <v>0.43</v>
      </c>
      <c r="T401" s="34">
        <v>0.19</v>
      </c>
      <c r="U401" s="34">
        <v>39.64</v>
      </c>
      <c r="V401" s="34">
        <v>340.84</v>
      </c>
      <c r="W401" s="34">
        <v>1.66</v>
      </c>
      <c r="X401" s="34">
        <v>0.25</v>
      </c>
      <c r="Y401" s="35">
        <v>0.39140000000000003</v>
      </c>
      <c r="Z401" s="35">
        <v>0.48849999999999999</v>
      </c>
      <c r="AA401" s="35">
        <v>1.5808</v>
      </c>
    </row>
    <row r="402" spans="1:27" ht="15.75" hidden="1" customHeight="1" x14ac:dyDescent="0.2">
      <c r="A402" s="2"/>
      <c r="B402" s="31">
        <v>397</v>
      </c>
      <c r="C402" s="36" t="s">
        <v>706</v>
      </c>
      <c r="D402" s="36" t="s">
        <v>967</v>
      </c>
      <c r="E402" s="36" t="s">
        <v>968</v>
      </c>
      <c r="F402" s="36" t="s">
        <v>983</v>
      </c>
      <c r="G402" s="36" t="s">
        <v>984</v>
      </c>
      <c r="H402" s="37" t="s">
        <v>80</v>
      </c>
      <c r="I402" s="37" t="s">
        <v>81</v>
      </c>
      <c r="J402" s="37" t="s">
        <v>82</v>
      </c>
      <c r="K402" s="37" t="s">
        <v>87</v>
      </c>
      <c r="L402" s="36" t="s">
        <v>84</v>
      </c>
      <c r="M402" s="34">
        <v>2359.34</v>
      </c>
      <c r="N402" s="34">
        <v>531.29999999999995</v>
      </c>
      <c r="O402" s="34">
        <v>1828.04</v>
      </c>
      <c r="P402" s="34">
        <v>1072.28</v>
      </c>
      <c r="Q402" s="34">
        <v>62.55</v>
      </c>
      <c r="R402" s="34">
        <v>48.45</v>
      </c>
      <c r="S402" s="34">
        <v>48.45</v>
      </c>
      <c r="T402" s="34">
        <v>-86.09</v>
      </c>
      <c r="U402" s="34">
        <v>4545.87</v>
      </c>
      <c r="V402" s="34">
        <v>-39.72</v>
      </c>
      <c r="W402" s="34">
        <v>0.75</v>
      </c>
      <c r="X402" s="34">
        <v>0.28999999999999998</v>
      </c>
      <c r="Y402" s="35">
        <v>-1.4674</v>
      </c>
      <c r="Z402" s="35">
        <v>-1.8938999999999999</v>
      </c>
      <c r="AA402" s="35">
        <v>-3.2286999999999999</v>
      </c>
    </row>
    <row r="403" spans="1:27" ht="15.75" hidden="1" customHeight="1" x14ac:dyDescent="0.2">
      <c r="A403" s="2"/>
      <c r="B403" s="31">
        <v>398</v>
      </c>
      <c r="C403" s="36" t="s">
        <v>706</v>
      </c>
      <c r="D403" s="36" t="s">
        <v>967</v>
      </c>
      <c r="E403" s="36" t="s">
        <v>968</v>
      </c>
      <c r="F403" s="36" t="s">
        <v>985</v>
      </c>
      <c r="G403" s="36" t="s">
        <v>986</v>
      </c>
      <c r="H403" s="37" t="s">
        <v>80</v>
      </c>
      <c r="I403" s="37" t="s">
        <v>81</v>
      </c>
      <c r="J403" s="37" t="s">
        <v>82</v>
      </c>
      <c r="K403" s="37" t="s">
        <v>83</v>
      </c>
      <c r="L403" s="36" t="s">
        <v>90</v>
      </c>
      <c r="M403" s="34">
        <v>8540.67</v>
      </c>
      <c r="N403" s="34">
        <v>2749.74</v>
      </c>
      <c r="O403" s="34">
        <v>5790.93</v>
      </c>
      <c r="P403" s="34">
        <v>4269.53</v>
      </c>
      <c r="Q403" s="34">
        <v>11.45</v>
      </c>
      <c r="R403" s="34">
        <v>-6.15</v>
      </c>
      <c r="S403" s="34">
        <v>-6.2</v>
      </c>
      <c r="T403" s="34">
        <v>21.41</v>
      </c>
      <c r="U403" s="34">
        <v>1393.2</v>
      </c>
      <c r="V403" s="34">
        <v>22.51</v>
      </c>
      <c r="W403" s="34">
        <v>0.35</v>
      </c>
      <c r="X403" s="34">
        <v>0.47</v>
      </c>
      <c r="Y403" s="35">
        <v>1.042</v>
      </c>
      <c r="Z403" s="35">
        <v>1.5367999999999999</v>
      </c>
      <c r="AA403" s="35">
        <v>2.0844</v>
      </c>
    </row>
    <row r="404" spans="1:27" ht="15.75" hidden="1" customHeight="1" x14ac:dyDescent="0.2">
      <c r="A404" s="2"/>
      <c r="B404" s="31">
        <v>399</v>
      </c>
      <c r="C404" s="36" t="s">
        <v>706</v>
      </c>
      <c r="D404" s="36" t="s">
        <v>967</v>
      </c>
      <c r="E404" s="36" t="s">
        <v>968</v>
      </c>
      <c r="F404" s="36" t="s">
        <v>987</v>
      </c>
      <c r="G404" s="36" t="s">
        <v>988</v>
      </c>
      <c r="H404" s="37" t="s">
        <v>80</v>
      </c>
      <c r="I404" s="37" t="s">
        <v>81</v>
      </c>
      <c r="J404" s="37" t="s">
        <v>82</v>
      </c>
      <c r="K404" s="37" t="s">
        <v>87</v>
      </c>
      <c r="L404" s="36" t="s">
        <v>84</v>
      </c>
      <c r="M404" s="34">
        <v>18528.47</v>
      </c>
      <c r="N404" s="34">
        <v>15956.97</v>
      </c>
      <c r="O404" s="34">
        <v>2571.5</v>
      </c>
      <c r="P404" s="34">
        <v>18204.53</v>
      </c>
      <c r="Q404" s="34">
        <v>2826.79</v>
      </c>
      <c r="R404" s="34">
        <v>2155.58</v>
      </c>
      <c r="S404" s="34">
        <v>2155.58</v>
      </c>
      <c r="T404" s="34">
        <v>80.150000000000006</v>
      </c>
      <c r="U404" s="34">
        <v>67.400000000000006</v>
      </c>
      <c r="V404" s="34">
        <v>22.21</v>
      </c>
      <c r="W404" s="34">
        <v>26.41</v>
      </c>
      <c r="X404" s="34">
        <v>6.21</v>
      </c>
      <c r="Y404" s="35">
        <v>16.502199999999998</v>
      </c>
      <c r="Z404" s="35">
        <v>118.90389999999999</v>
      </c>
      <c r="AA404" s="35">
        <v>16.7959</v>
      </c>
    </row>
    <row r="405" spans="1:27" ht="15.75" hidden="1" customHeight="1" x14ac:dyDescent="0.2">
      <c r="A405" s="2"/>
      <c r="B405" s="31">
        <v>400</v>
      </c>
      <c r="C405" s="36" t="s">
        <v>706</v>
      </c>
      <c r="D405" s="36" t="s">
        <v>967</v>
      </c>
      <c r="E405" s="36" t="s">
        <v>968</v>
      </c>
      <c r="F405" s="36" t="s">
        <v>989</v>
      </c>
      <c r="G405" s="36" t="s">
        <v>990</v>
      </c>
      <c r="H405" s="37" t="s">
        <v>80</v>
      </c>
      <c r="I405" s="37" t="s">
        <v>81</v>
      </c>
      <c r="J405" s="37" t="s">
        <v>82</v>
      </c>
      <c r="K405" s="37" t="s">
        <v>87</v>
      </c>
      <c r="L405" s="36" t="s">
        <v>84</v>
      </c>
      <c r="M405" s="34">
        <v>1315.4</v>
      </c>
      <c r="N405" s="34">
        <v>257.91000000000003</v>
      </c>
      <c r="O405" s="34">
        <v>1057.49</v>
      </c>
      <c r="P405" s="34">
        <v>676.67</v>
      </c>
      <c r="Q405" s="34">
        <v>104.11</v>
      </c>
      <c r="R405" s="34">
        <v>80.739999999999995</v>
      </c>
      <c r="S405" s="34">
        <v>80.739999999999995</v>
      </c>
      <c r="T405" s="34">
        <v>23.67</v>
      </c>
      <c r="U405" s="34">
        <v>157.65</v>
      </c>
      <c r="V405" s="34">
        <v>27.67</v>
      </c>
      <c r="W405" s="34">
        <v>4.1500000000000004</v>
      </c>
      <c r="X405" s="34">
        <v>0.24</v>
      </c>
      <c r="Y405" s="35">
        <v>12.073</v>
      </c>
      <c r="Z405" s="35">
        <v>15.0175</v>
      </c>
      <c r="AA405" s="35">
        <v>23.469100000000001</v>
      </c>
    </row>
    <row r="406" spans="1:27" ht="15.75" hidden="1" customHeight="1" x14ac:dyDescent="0.2">
      <c r="A406" s="2"/>
      <c r="B406" s="31">
        <v>401</v>
      </c>
      <c r="C406" s="36" t="s">
        <v>991</v>
      </c>
      <c r="D406" s="36" t="s">
        <v>992</v>
      </c>
      <c r="E406" s="36" t="s">
        <v>993</v>
      </c>
      <c r="F406" s="36" t="s">
        <v>994</v>
      </c>
      <c r="G406" s="36" t="s">
        <v>995</v>
      </c>
      <c r="H406" s="37" t="s">
        <v>95</v>
      </c>
      <c r="I406" s="37" t="s">
        <v>81</v>
      </c>
      <c r="J406" s="37" t="s">
        <v>82</v>
      </c>
      <c r="K406" s="37" t="s">
        <v>87</v>
      </c>
      <c r="L406" s="36" t="s">
        <v>84</v>
      </c>
      <c r="M406" s="34">
        <v>74.41</v>
      </c>
      <c r="N406" s="34">
        <v>5.58</v>
      </c>
      <c r="O406" s="34">
        <v>68.83</v>
      </c>
      <c r="P406" s="34">
        <v>13.34</v>
      </c>
      <c r="Q406" s="34">
        <v>0.05</v>
      </c>
      <c r="R406" s="34">
        <v>-0.16</v>
      </c>
      <c r="S406" s="34">
        <v>-0.16</v>
      </c>
      <c r="T406" s="34">
        <v>0.59</v>
      </c>
      <c r="U406" s="34">
        <v>68.41</v>
      </c>
      <c r="V406" s="34">
        <v>87.54</v>
      </c>
      <c r="W406" s="34">
        <v>0.76</v>
      </c>
      <c r="X406" s="34">
        <v>0.08</v>
      </c>
      <c r="Y406" s="35">
        <v>0.80310000000000004</v>
      </c>
      <c r="Z406" s="35">
        <v>0.86819999999999997</v>
      </c>
      <c r="AA406" s="35">
        <v>4.4787999999999997</v>
      </c>
    </row>
    <row r="407" spans="1:27" ht="15.75" hidden="1" customHeight="1" x14ac:dyDescent="0.2">
      <c r="A407" s="2"/>
      <c r="B407" s="31">
        <v>402</v>
      </c>
      <c r="C407" s="36" t="s">
        <v>991</v>
      </c>
      <c r="D407" s="36" t="s">
        <v>992</v>
      </c>
      <c r="E407" s="36" t="s">
        <v>993</v>
      </c>
      <c r="F407" s="36" t="s">
        <v>996</v>
      </c>
      <c r="G407" s="36" t="s">
        <v>997</v>
      </c>
      <c r="H407" s="37" t="s">
        <v>80</v>
      </c>
      <c r="I407" s="37" t="s">
        <v>81</v>
      </c>
      <c r="J407" s="37" t="s">
        <v>82</v>
      </c>
      <c r="K407" s="37" t="s">
        <v>87</v>
      </c>
      <c r="L407" s="36" t="s">
        <v>84</v>
      </c>
      <c r="M407" s="34">
        <v>22032.080000000002</v>
      </c>
      <c r="N407" s="34">
        <v>6183.16</v>
      </c>
      <c r="O407" s="34">
        <v>15848.92</v>
      </c>
      <c r="P407" s="34">
        <v>9583.33</v>
      </c>
      <c r="Q407" s="34">
        <v>1114.8800000000001</v>
      </c>
      <c r="R407" s="34">
        <v>984.22</v>
      </c>
      <c r="S407" s="34">
        <v>938.97</v>
      </c>
      <c r="T407" s="34">
        <v>406.41</v>
      </c>
      <c r="U407" s="34">
        <v>3288.34</v>
      </c>
      <c r="V407" s="34">
        <v>5.68</v>
      </c>
      <c r="W407" s="34">
        <v>0.7</v>
      </c>
      <c r="X407" s="34">
        <v>0.39</v>
      </c>
      <c r="Y407" s="35">
        <v>8.8905999999999992</v>
      </c>
      <c r="Z407" s="35">
        <v>12.3591</v>
      </c>
      <c r="AA407" s="35">
        <v>20.439499999999999</v>
      </c>
    </row>
    <row r="408" spans="1:27" ht="15.75" hidden="1" customHeight="1" x14ac:dyDescent="0.2">
      <c r="A408" s="2"/>
      <c r="B408" s="31">
        <v>403</v>
      </c>
      <c r="C408" s="36" t="s">
        <v>991</v>
      </c>
      <c r="D408" s="36" t="s">
        <v>992</v>
      </c>
      <c r="E408" s="36" t="s">
        <v>993</v>
      </c>
      <c r="F408" s="36" t="s">
        <v>998</v>
      </c>
      <c r="G408" s="36" t="s">
        <v>999</v>
      </c>
      <c r="H408" s="37" t="s">
        <v>80</v>
      </c>
      <c r="I408" s="37" t="s">
        <v>81</v>
      </c>
      <c r="J408" s="37" t="s">
        <v>82</v>
      </c>
      <c r="K408" s="37" t="s">
        <v>87</v>
      </c>
      <c r="L408" s="36" t="s">
        <v>84</v>
      </c>
      <c r="M408" s="34">
        <v>1489.01</v>
      </c>
      <c r="N408" s="34">
        <v>581.39</v>
      </c>
      <c r="O408" s="34">
        <v>907.62</v>
      </c>
      <c r="P408" s="34">
        <v>811.85</v>
      </c>
      <c r="Q408" s="34">
        <v>85.72</v>
      </c>
      <c r="R408" s="34">
        <v>66.56</v>
      </c>
      <c r="S408" s="34">
        <v>61.04</v>
      </c>
      <c r="T408" s="34">
        <v>54</v>
      </c>
      <c r="U408" s="34">
        <v>387.25</v>
      </c>
      <c r="V408" s="34">
        <v>20</v>
      </c>
      <c r="W408" s="34">
        <v>2.79</v>
      </c>
      <c r="X408" s="34">
        <v>0.64</v>
      </c>
      <c r="Y408" s="35">
        <v>8.4993999999999996</v>
      </c>
      <c r="Z408" s="35">
        <v>13.9438</v>
      </c>
      <c r="AA408" s="35">
        <v>15.588699999999999</v>
      </c>
    </row>
    <row r="409" spans="1:27" ht="15.75" hidden="1" customHeight="1" x14ac:dyDescent="0.2">
      <c r="A409" s="2"/>
      <c r="B409" s="31">
        <v>404</v>
      </c>
      <c r="C409" s="36" t="s">
        <v>991</v>
      </c>
      <c r="D409" s="36" t="s">
        <v>1000</v>
      </c>
      <c r="E409" s="36" t="s">
        <v>1001</v>
      </c>
      <c r="F409" s="36" t="s">
        <v>1002</v>
      </c>
      <c r="G409" s="36" t="s">
        <v>1003</v>
      </c>
      <c r="H409" s="37" t="s">
        <v>80</v>
      </c>
      <c r="I409" s="37" t="s">
        <v>81</v>
      </c>
      <c r="J409" s="37" t="s">
        <v>82</v>
      </c>
      <c r="K409" s="37" t="s">
        <v>87</v>
      </c>
      <c r="L409" s="36" t="s">
        <v>84</v>
      </c>
      <c r="M409" s="34">
        <v>4354.4399999999996</v>
      </c>
      <c r="N409" s="34">
        <v>685.86</v>
      </c>
      <c r="O409" s="34">
        <v>3668.58</v>
      </c>
      <c r="P409" s="34">
        <v>1003.01</v>
      </c>
      <c r="Q409" s="34">
        <v>27.37</v>
      </c>
      <c r="R409" s="34">
        <v>12.63</v>
      </c>
      <c r="S409" s="34">
        <v>-4.4800000000000004</v>
      </c>
      <c r="T409" s="34">
        <v>184.33</v>
      </c>
      <c r="U409" s="34">
        <v>8151.37</v>
      </c>
      <c r="V409" s="34">
        <v>28.48</v>
      </c>
      <c r="W409" s="34">
        <v>0.64</v>
      </c>
      <c r="X409" s="34">
        <v>0.19</v>
      </c>
      <c r="Y409" s="35">
        <v>1.9051</v>
      </c>
      <c r="Z409" s="35">
        <v>2.2612999999999999</v>
      </c>
      <c r="AA409" s="35">
        <v>8.2707999999999995</v>
      </c>
    </row>
    <row r="410" spans="1:27" ht="15.75" hidden="1" customHeight="1" x14ac:dyDescent="0.2">
      <c r="A410" s="2"/>
      <c r="B410" s="31">
        <v>405</v>
      </c>
      <c r="C410" s="36" t="s">
        <v>991</v>
      </c>
      <c r="D410" s="36" t="s">
        <v>992</v>
      </c>
      <c r="E410" s="36" t="s">
        <v>993</v>
      </c>
      <c r="F410" s="36" t="s">
        <v>1004</v>
      </c>
      <c r="G410" s="36" t="s">
        <v>1005</v>
      </c>
      <c r="H410" s="37" t="s">
        <v>80</v>
      </c>
      <c r="I410" s="37" t="s">
        <v>81</v>
      </c>
      <c r="J410" s="37" t="s">
        <v>82</v>
      </c>
      <c r="K410" s="37" t="s">
        <v>87</v>
      </c>
      <c r="L410" s="36" t="s">
        <v>84</v>
      </c>
      <c r="M410" s="34">
        <v>3853.55</v>
      </c>
      <c r="N410" s="34">
        <v>1355.48</v>
      </c>
      <c r="O410" s="34">
        <v>2498.0700000000002</v>
      </c>
      <c r="P410" s="34">
        <v>2773.67</v>
      </c>
      <c r="Q410" s="34">
        <v>312.61</v>
      </c>
      <c r="R410" s="34">
        <v>245.41</v>
      </c>
      <c r="S410" s="34">
        <v>240.17</v>
      </c>
      <c r="T410" s="34">
        <v>123.76</v>
      </c>
      <c r="U410" s="34">
        <v>530.84</v>
      </c>
      <c r="V410" s="34">
        <v>8.1199999999999992</v>
      </c>
      <c r="W410" s="34">
        <v>1.89</v>
      </c>
      <c r="X410" s="34">
        <v>0.54</v>
      </c>
      <c r="Y410" s="35">
        <v>15.113300000000001</v>
      </c>
      <c r="Z410" s="35">
        <v>23.314</v>
      </c>
      <c r="AA410" s="35">
        <v>20.997499999999999</v>
      </c>
    </row>
    <row r="411" spans="1:27" ht="15.75" hidden="1" customHeight="1" x14ac:dyDescent="0.2">
      <c r="A411" s="2"/>
      <c r="B411" s="31">
        <v>406</v>
      </c>
      <c r="C411" s="36" t="s">
        <v>991</v>
      </c>
      <c r="D411" s="36" t="s">
        <v>1000</v>
      </c>
      <c r="E411" s="36" t="s">
        <v>1001</v>
      </c>
      <c r="F411" s="36" t="s">
        <v>1006</v>
      </c>
      <c r="G411" s="36" t="s">
        <v>1007</v>
      </c>
      <c r="H411" s="37" t="s">
        <v>80</v>
      </c>
      <c r="I411" s="37" t="s">
        <v>81</v>
      </c>
      <c r="J411" s="37" t="s">
        <v>82</v>
      </c>
      <c r="K411" s="37" t="s">
        <v>87</v>
      </c>
      <c r="L411" s="36" t="s">
        <v>84</v>
      </c>
      <c r="M411" s="34">
        <v>1958.9</v>
      </c>
      <c r="N411" s="34">
        <v>999.45</v>
      </c>
      <c r="O411" s="34">
        <v>959.46</v>
      </c>
      <c r="P411" s="34">
        <v>1362.94</v>
      </c>
      <c r="Q411" s="34">
        <v>39.380000000000003</v>
      </c>
      <c r="R411" s="34">
        <v>30.11</v>
      </c>
      <c r="S411" s="34">
        <v>30.11</v>
      </c>
      <c r="T411" s="34">
        <v>139.94999999999999</v>
      </c>
      <c r="U411" s="34">
        <v>2340.14</v>
      </c>
      <c r="V411" s="34">
        <v>8.4</v>
      </c>
      <c r="W411" s="34">
        <v>0.5</v>
      </c>
      <c r="X411" s="34">
        <v>1.04</v>
      </c>
      <c r="Y411" s="35">
        <v>2.9291</v>
      </c>
      <c r="Z411" s="35">
        <v>5.9802</v>
      </c>
      <c r="AA411" s="35">
        <v>4.2098000000000004</v>
      </c>
    </row>
    <row r="412" spans="1:27" ht="15.75" hidden="1" customHeight="1" x14ac:dyDescent="0.2">
      <c r="A412" s="2"/>
      <c r="B412" s="31">
        <v>407</v>
      </c>
      <c r="C412" s="36" t="s">
        <v>991</v>
      </c>
      <c r="D412" s="36" t="s">
        <v>1000</v>
      </c>
      <c r="E412" s="36" t="s">
        <v>1001</v>
      </c>
      <c r="F412" s="36" t="s">
        <v>1008</v>
      </c>
      <c r="G412" s="36" t="s">
        <v>1009</v>
      </c>
      <c r="H412" s="37" t="s">
        <v>80</v>
      </c>
      <c r="I412" s="37" t="s">
        <v>81</v>
      </c>
      <c r="J412" s="37" t="s">
        <v>82</v>
      </c>
      <c r="K412" s="37" t="s">
        <v>87</v>
      </c>
      <c r="L412" s="36" t="s">
        <v>84</v>
      </c>
      <c r="M412" s="34">
        <v>21493.43</v>
      </c>
      <c r="N412" s="34">
        <v>11756.27</v>
      </c>
      <c r="O412" s="34">
        <v>9737.16</v>
      </c>
      <c r="P412" s="34">
        <v>8520.9</v>
      </c>
      <c r="Q412" s="34">
        <v>584.32000000000005</v>
      </c>
      <c r="R412" s="34">
        <v>450.5</v>
      </c>
      <c r="S412" s="34">
        <v>450.5</v>
      </c>
      <c r="T412" s="34">
        <v>304.26</v>
      </c>
      <c r="U412" s="34">
        <v>2794.18</v>
      </c>
      <c r="V412" s="34">
        <v>3.32</v>
      </c>
      <c r="W412" s="34">
        <v>0.36</v>
      </c>
      <c r="X412" s="34">
        <v>1.21</v>
      </c>
      <c r="Y412" s="35">
        <v>4.9329999999999998</v>
      </c>
      <c r="Z412" s="35">
        <v>10.8889</v>
      </c>
      <c r="AA412" s="35">
        <v>12.443199999999999</v>
      </c>
    </row>
    <row r="413" spans="1:27" ht="15.75" hidden="1" customHeight="1" x14ac:dyDescent="0.2">
      <c r="A413" s="2"/>
      <c r="B413" s="31">
        <v>408</v>
      </c>
      <c r="C413" s="36" t="s">
        <v>991</v>
      </c>
      <c r="D413" s="36" t="s">
        <v>992</v>
      </c>
      <c r="E413" s="36" t="s">
        <v>993</v>
      </c>
      <c r="F413" s="36" t="s">
        <v>1010</v>
      </c>
      <c r="G413" s="36" t="s">
        <v>1011</v>
      </c>
      <c r="H413" s="37" t="s">
        <v>80</v>
      </c>
      <c r="I413" s="37" t="s">
        <v>81</v>
      </c>
      <c r="J413" s="37" t="s">
        <v>82</v>
      </c>
      <c r="K413" s="37" t="s">
        <v>87</v>
      </c>
      <c r="L413" s="36" t="s">
        <v>84</v>
      </c>
      <c r="M413" s="34">
        <v>4297.16</v>
      </c>
      <c r="N413" s="34">
        <v>735.15</v>
      </c>
      <c r="O413" s="34">
        <v>3562.01</v>
      </c>
      <c r="P413" s="34">
        <v>1555.97</v>
      </c>
      <c r="Q413" s="34">
        <v>74.849999999999994</v>
      </c>
      <c r="R413" s="34">
        <v>44.27</v>
      </c>
      <c r="S413" s="34">
        <v>34.270000000000003</v>
      </c>
      <c r="T413" s="34">
        <v>9.5399999999999991</v>
      </c>
      <c r="U413" s="34">
        <v>542.78</v>
      </c>
      <c r="V413" s="34">
        <v>24.52</v>
      </c>
      <c r="W413" s="34">
        <v>0.43</v>
      </c>
      <c r="X413" s="34">
        <v>0.21</v>
      </c>
      <c r="Y413" s="35">
        <v>1.4574</v>
      </c>
      <c r="Z413" s="35">
        <v>1.7582</v>
      </c>
      <c r="AA413" s="35">
        <v>4.0250000000000004</v>
      </c>
    </row>
    <row r="414" spans="1:27" ht="15.75" hidden="1" customHeight="1" x14ac:dyDescent="0.2">
      <c r="A414" s="2"/>
      <c r="B414" s="31">
        <v>409</v>
      </c>
      <c r="C414" s="36" t="s">
        <v>991</v>
      </c>
      <c r="D414" s="36" t="s">
        <v>992</v>
      </c>
      <c r="E414" s="36" t="s">
        <v>993</v>
      </c>
      <c r="F414" s="36" t="s">
        <v>1012</v>
      </c>
      <c r="G414" s="36" t="s">
        <v>1013</v>
      </c>
      <c r="H414" s="37" t="s">
        <v>95</v>
      </c>
      <c r="I414" s="37" t="s">
        <v>81</v>
      </c>
      <c r="J414" s="37" t="s">
        <v>82</v>
      </c>
      <c r="K414" s="37" t="s">
        <v>87</v>
      </c>
      <c r="L414" s="36" t="s">
        <v>84</v>
      </c>
      <c r="M414" s="34">
        <v>175.19</v>
      </c>
      <c r="N414" s="34">
        <v>6.65</v>
      </c>
      <c r="O414" s="34">
        <v>168.54</v>
      </c>
      <c r="P414" s="34">
        <v>5.96</v>
      </c>
      <c r="Q414" s="34">
        <v>-2.54</v>
      </c>
      <c r="R414" s="34">
        <v>-2.54</v>
      </c>
      <c r="S414" s="34">
        <v>-2.54</v>
      </c>
      <c r="T414" s="34">
        <v>-0.41</v>
      </c>
      <c r="U414" s="34">
        <v>41.92</v>
      </c>
      <c r="V414" s="34">
        <v>-128.08000000000001</v>
      </c>
      <c r="W414" s="34">
        <v>1.26</v>
      </c>
      <c r="X414" s="34">
        <v>0.04</v>
      </c>
      <c r="Y414" s="35">
        <v>-0.9496</v>
      </c>
      <c r="Z414" s="35">
        <v>-0.98709999999999998</v>
      </c>
      <c r="AA414" s="35">
        <v>-27.923100000000002</v>
      </c>
    </row>
    <row r="415" spans="1:27" ht="15.75" hidden="1" customHeight="1" x14ac:dyDescent="0.2">
      <c r="A415" s="2"/>
      <c r="B415" s="31">
        <v>410</v>
      </c>
      <c r="C415" s="36" t="s">
        <v>991</v>
      </c>
      <c r="D415" s="36" t="s">
        <v>992</v>
      </c>
      <c r="E415" s="36" t="s">
        <v>993</v>
      </c>
      <c r="F415" s="36" t="s">
        <v>1014</v>
      </c>
      <c r="G415" s="36" t="s">
        <v>1015</v>
      </c>
      <c r="H415" s="37" t="s">
        <v>80</v>
      </c>
      <c r="I415" s="37" t="s">
        <v>81</v>
      </c>
      <c r="J415" s="37" t="s">
        <v>82</v>
      </c>
      <c r="K415" s="37" t="s">
        <v>87</v>
      </c>
      <c r="L415" s="36" t="s">
        <v>84</v>
      </c>
      <c r="M415" s="34">
        <v>130.43</v>
      </c>
      <c r="N415" s="34">
        <v>14.92</v>
      </c>
      <c r="O415" s="34">
        <v>115.51</v>
      </c>
      <c r="P415" s="34">
        <v>33.18</v>
      </c>
      <c r="Q415" s="34">
        <v>5.66</v>
      </c>
      <c r="R415" s="34">
        <v>4.9400000000000004</v>
      </c>
      <c r="S415" s="34">
        <v>4.9400000000000004</v>
      </c>
      <c r="T415" s="34">
        <v>3.93</v>
      </c>
      <c r="U415" s="34">
        <v>55.65</v>
      </c>
      <c r="V415" s="34">
        <v>22.13</v>
      </c>
      <c r="W415" s="34">
        <v>1.56</v>
      </c>
      <c r="X415" s="34">
        <v>0.13</v>
      </c>
      <c r="Y415" s="35">
        <v>6.2568999999999999</v>
      </c>
      <c r="Z415" s="35">
        <v>7.0650000000000004</v>
      </c>
      <c r="AA415" s="35">
        <v>24.598400000000002</v>
      </c>
    </row>
    <row r="416" spans="1:27" ht="15.75" hidden="1" customHeight="1" x14ac:dyDescent="0.2">
      <c r="A416" s="2"/>
      <c r="B416" s="31">
        <v>411</v>
      </c>
      <c r="C416" s="36" t="s">
        <v>991</v>
      </c>
      <c r="D416" s="36" t="s">
        <v>992</v>
      </c>
      <c r="E416" s="36" t="s">
        <v>993</v>
      </c>
      <c r="F416" s="36" t="s">
        <v>1016</v>
      </c>
      <c r="G416" s="36" t="s">
        <v>1017</v>
      </c>
      <c r="H416" s="37" t="s">
        <v>95</v>
      </c>
      <c r="I416" s="37" t="s">
        <v>81</v>
      </c>
      <c r="J416" s="37" t="s">
        <v>82</v>
      </c>
      <c r="K416" s="37" t="s">
        <v>87</v>
      </c>
      <c r="L416" s="36" t="s">
        <v>84</v>
      </c>
      <c r="M416" s="34">
        <v>69.09</v>
      </c>
      <c r="N416" s="34">
        <v>18.079999999999998</v>
      </c>
      <c r="O416" s="34">
        <v>51.01</v>
      </c>
      <c r="P416" s="34">
        <v>32.270000000000003</v>
      </c>
      <c r="Q416" s="34">
        <v>0.78</v>
      </c>
      <c r="R416" s="34">
        <v>0.52</v>
      </c>
      <c r="S416" s="34">
        <v>0.52</v>
      </c>
      <c r="T416" s="34">
        <v>0.78</v>
      </c>
      <c r="U416" s="34">
        <v>78.48</v>
      </c>
      <c r="V416" s="34">
        <v>111.15</v>
      </c>
      <c r="W416" s="34">
        <v>1.1100000000000001</v>
      </c>
      <c r="X416" s="34">
        <v>0.35</v>
      </c>
      <c r="Y416" s="35">
        <v>0.73640000000000005</v>
      </c>
      <c r="Z416" s="35">
        <v>0.99739999999999995</v>
      </c>
      <c r="AA416" s="35">
        <v>1.5768</v>
      </c>
    </row>
    <row r="417" spans="1:27" ht="15.75" hidden="1" customHeight="1" x14ac:dyDescent="0.2">
      <c r="A417" s="2"/>
      <c r="B417" s="31">
        <v>412</v>
      </c>
      <c r="C417" s="36" t="s">
        <v>991</v>
      </c>
      <c r="D417" s="36" t="s">
        <v>992</v>
      </c>
      <c r="E417" s="36" t="s">
        <v>993</v>
      </c>
      <c r="F417" s="36" t="s">
        <v>1018</v>
      </c>
      <c r="G417" s="36" t="s">
        <v>1019</v>
      </c>
      <c r="H417" s="37" t="s">
        <v>80</v>
      </c>
      <c r="I417" s="37" t="s">
        <v>81</v>
      </c>
      <c r="J417" s="37" t="s">
        <v>82</v>
      </c>
      <c r="K417" s="37" t="s">
        <v>87</v>
      </c>
      <c r="L417" s="36" t="s">
        <v>84</v>
      </c>
      <c r="M417" s="34">
        <v>371.81</v>
      </c>
      <c r="N417" s="34">
        <v>31.48</v>
      </c>
      <c r="O417" s="34">
        <v>340.33</v>
      </c>
      <c r="P417" s="34">
        <v>91.34</v>
      </c>
      <c r="Q417" s="34">
        <v>20.82</v>
      </c>
      <c r="R417" s="34">
        <v>17.88</v>
      </c>
      <c r="S417" s="34">
        <v>17.88</v>
      </c>
      <c r="T417" s="34">
        <v>81.84</v>
      </c>
      <c r="U417" s="34">
        <v>800.77</v>
      </c>
      <c r="V417" s="34">
        <v>5.91</v>
      </c>
      <c r="W417" s="34">
        <v>0.6</v>
      </c>
      <c r="X417" s="34">
        <v>0.09</v>
      </c>
      <c r="Y417" s="35">
        <v>9.3547999999999991</v>
      </c>
      <c r="Z417" s="35">
        <v>10.2201</v>
      </c>
      <c r="AA417" s="35">
        <v>38.08</v>
      </c>
    </row>
    <row r="418" spans="1:27" ht="15.75" hidden="1" customHeight="1" x14ac:dyDescent="0.2">
      <c r="A418" s="2"/>
      <c r="B418" s="31">
        <v>413</v>
      </c>
      <c r="C418" s="36" t="s">
        <v>991</v>
      </c>
      <c r="D418" s="36" t="s">
        <v>1000</v>
      </c>
      <c r="E418" s="36" t="s">
        <v>1001</v>
      </c>
      <c r="F418" s="36" t="s">
        <v>1020</v>
      </c>
      <c r="G418" s="36" t="s">
        <v>1021</v>
      </c>
      <c r="H418" s="37" t="s">
        <v>80</v>
      </c>
      <c r="I418" s="37" t="s">
        <v>81</v>
      </c>
      <c r="J418" s="37" t="s">
        <v>82</v>
      </c>
      <c r="K418" s="37" t="s">
        <v>87</v>
      </c>
      <c r="L418" s="36" t="s">
        <v>84</v>
      </c>
      <c r="M418" s="34">
        <v>8328.9599999999991</v>
      </c>
      <c r="N418" s="34">
        <v>1894.56</v>
      </c>
      <c r="O418" s="34">
        <v>6434.4</v>
      </c>
      <c r="P418" s="34">
        <v>3444.89</v>
      </c>
      <c r="Q418" s="34">
        <v>458.94</v>
      </c>
      <c r="R418" s="34">
        <v>361.64</v>
      </c>
      <c r="S418" s="34">
        <v>361.63</v>
      </c>
      <c r="T418" s="34">
        <v>56.71</v>
      </c>
      <c r="U418" s="34">
        <v>700.69</v>
      </c>
      <c r="V418" s="34">
        <v>109.33</v>
      </c>
      <c r="W418" s="34">
        <v>8.85</v>
      </c>
      <c r="X418" s="34">
        <v>0.28999999999999998</v>
      </c>
      <c r="Y418" s="35">
        <v>6.2521000000000004</v>
      </c>
      <c r="Z418" s="35">
        <v>8.093</v>
      </c>
      <c r="AA418" s="35">
        <v>15.116300000000001</v>
      </c>
    </row>
    <row r="419" spans="1:27" ht="15.75" hidden="1" customHeight="1" x14ac:dyDescent="0.2">
      <c r="A419" s="2"/>
      <c r="B419" s="31">
        <v>414</v>
      </c>
      <c r="C419" s="36" t="s">
        <v>991</v>
      </c>
      <c r="D419" s="36" t="s">
        <v>992</v>
      </c>
      <c r="E419" s="36" t="s">
        <v>993</v>
      </c>
      <c r="F419" s="36" t="s">
        <v>1022</v>
      </c>
      <c r="G419" s="36" t="s">
        <v>1023</v>
      </c>
      <c r="H419" s="37" t="s">
        <v>80</v>
      </c>
      <c r="I419" s="37" t="s">
        <v>81</v>
      </c>
      <c r="J419" s="37" t="s">
        <v>82</v>
      </c>
      <c r="K419" s="37" t="s">
        <v>87</v>
      </c>
      <c r="L419" s="36" t="s">
        <v>84</v>
      </c>
      <c r="M419" s="34">
        <v>303.27999999999997</v>
      </c>
      <c r="N419" s="34">
        <v>143.02000000000001</v>
      </c>
      <c r="O419" s="34">
        <v>160.26</v>
      </c>
      <c r="P419" s="34">
        <v>142.19</v>
      </c>
      <c r="Q419" s="34">
        <v>10.98</v>
      </c>
      <c r="R419" s="34">
        <v>8.57</v>
      </c>
      <c r="S419" s="34">
        <v>8.57</v>
      </c>
      <c r="T419" s="34">
        <v>8.64</v>
      </c>
      <c r="U419" s="34">
        <v>58.92</v>
      </c>
      <c r="V419" s="34">
        <v>12.15</v>
      </c>
      <c r="W419" s="34">
        <v>1.78</v>
      </c>
      <c r="X419" s="34">
        <v>0.89</v>
      </c>
      <c r="Y419" s="35">
        <v>7.7497999999999996</v>
      </c>
      <c r="Z419" s="35">
        <v>14.6663</v>
      </c>
      <c r="AA419" s="35">
        <v>16.529800000000002</v>
      </c>
    </row>
    <row r="420" spans="1:27" ht="15.75" hidden="1" customHeight="1" x14ac:dyDescent="0.2">
      <c r="A420" s="2"/>
      <c r="B420" s="31">
        <v>415</v>
      </c>
      <c r="C420" s="36" t="s">
        <v>991</v>
      </c>
      <c r="D420" s="36" t="s">
        <v>992</v>
      </c>
      <c r="E420" s="36" t="s">
        <v>993</v>
      </c>
      <c r="F420" s="36" t="s">
        <v>1024</v>
      </c>
      <c r="G420" s="36" t="s">
        <v>1025</v>
      </c>
      <c r="H420" s="37" t="s">
        <v>80</v>
      </c>
      <c r="I420" s="37" t="s">
        <v>81</v>
      </c>
      <c r="J420" s="37" t="s">
        <v>82</v>
      </c>
      <c r="K420" s="37" t="s">
        <v>87</v>
      </c>
      <c r="L420" s="36" t="s">
        <v>84</v>
      </c>
      <c r="M420" s="34">
        <v>5051.4799999999996</v>
      </c>
      <c r="N420" s="34">
        <v>918.88</v>
      </c>
      <c r="O420" s="34">
        <v>4132.6000000000004</v>
      </c>
      <c r="P420" s="34">
        <v>2555.81</v>
      </c>
      <c r="Q420" s="34">
        <v>715.06</v>
      </c>
      <c r="R420" s="34">
        <v>573.57000000000005</v>
      </c>
      <c r="S420" s="34">
        <v>530.76</v>
      </c>
      <c r="T420" s="34">
        <v>192.7</v>
      </c>
      <c r="U420" s="34">
        <v>717.63</v>
      </c>
      <c r="V420" s="34">
        <v>9.6</v>
      </c>
      <c r="W420" s="34">
        <v>2.58</v>
      </c>
      <c r="X420" s="34">
        <v>0.22</v>
      </c>
      <c r="Y420" s="35">
        <v>21.967300000000002</v>
      </c>
      <c r="Z420" s="35">
        <v>26.851700000000001</v>
      </c>
      <c r="AA420" s="35">
        <v>43.417700000000004</v>
      </c>
    </row>
    <row r="421" spans="1:27" ht="15.75" hidden="1" customHeight="1" x14ac:dyDescent="0.2">
      <c r="A421" s="2"/>
      <c r="B421" s="31">
        <v>416</v>
      </c>
      <c r="C421" s="36" t="s">
        <v>991</v>
      </c>
      <c r="D421" s="36" t="s">
        <v>1000</v>
      </c>
      <c r="E421" s="36" t="s">
        <v>1001</v>
      </c>
      <c r="F421" s="36" t="s">
        <v>1026</v>
      </c>
      <c r="G421" s="36" t="s">
        <v>1027</v>
      </c>
      <c r="H421" s="37" t="s">
        <v>80</v>
      </c>
      <c r="I421" s="37" t="s">
        <v>81</v>
      </c>
      <c r="J421" s="37" t="s">
        <v>82</v>
      </c>
      <c r="K421" s="37" t="s">
        <v>87</v>
      </c>
      <c r="L421" s="36" t="s">
        <v>84</v>
      </c>
      <c r="M421" s="34">
        <v>570.26</v>
      </c>
      <c r="N421" s="34">
        <v>233.52</v>
      </c>
      <c r="O421" s="34">
        <v>336.73</v>
      </c>
      <c r="P421" s="34">
        <v>304.45</v>
      </c>
      <c r="Q421" s="34">
        <v>19.05</v>
      </c>
      <c r="R421" s="34">
        <v>15.13</v>
      </c>
      <c r="S421" s="34">
        <v>14.43</v>
      </c>
      <c r="T421" s="34">
        <v>6.96</v>
      </c>
      <c r="U421" s="34">
        <v>96.75</v>
      </c>
      <c r="V421" s="34">
        <v>18.399999999999999</v>
      </c>
      <c r="W421" s="34">
        <v>1.32</v>
      </c>
      <c r="X421" s="34">
        <v>0.69</v>
      </c>
      <c r="Y421" s="35">
        <v>4.2454000000000001</v>
      </c>
      <c r="Z421" s="35">
        <v>7.1896000000000004</v>
      </c>
      <c r="AA421" s="35">
        <v>7.952</v>
      </c>
    </row>
    <row r="422" spans="1:27" ht="15.75" hidden="1" customHeight="1" x14ac:dyDescent="0.2">
      <c r="A422" s="2"/>
      <c r="B422" s="31">
        <v>417</v>
      </c>
      <c r="C422" s="36" t="s">
        <v>991</v>
      </c>
      <c r="D422" s="36" t="s">
        <v>992</v>
      </c>
      <c r="E422" s="36" t="s">
        <v>993</v>
      </c>
      <c r="F422" s="36" t="s">
        <v>1028</v>
      </c>
      <c r="G422" s="36" t="s">
        <v>1029</v>
      </c>
      <c r="H422" s="37" t="s">
        <v>80</v>
      </c>
      <c r="I422" s="37" t="s">
        <v>81</v>
      </c>
      <c r="J422" s="37" t="s">
        <v>82</v>
      </c>
      <c r="K422" s="37" t="s">
        <v>87</v>
      </c>
      <c r="L422" s="36" t="s">
        <v>84</v>
      </c>
      <c r="M422" s="34">
        <v>1791.47</v>
      </c>
      <c r="N422" s="34">
        <v>626.63</v>
      </c>
      <c r="O422" s="34">
        <v>1164.8399999999999</v>
      </c>
      <c r="P422" s="34">
        <v>414.04</v>
      </c>
      <c r="Q422" s="34">
        <v>4.33</v>
      </c>
      <c r="R422" s="34">
        <v>8.0500000000000007</v>
      </c>
      <c r="S422" s="34">
        <v>4.7300000000000004</v>
      </c>
      <c r="T422" s="34">
        <v>-0.06</v>
      </c>
      <c r="U422" s="34">
        <v>26.63</v>
      </c>
      <c r="V422" s="34">
        <v>-3609.53</v>
      </c>
      <c r="W422" s="34">
        <v>8.7100000000000009</v>
      </c>
      <c r="X422" s="34">
        <v>0.54</v>
      </c>
      <c r="Y422" s="35">
        <v>-0.157</v>
      </c>
      <c r="Z422" s="35">
        <v>-0.2414</v>
      </c>
      <c r="AA422" s="35">
        <v>-0.67920000000000003</v>
      </c>
    </row>
    <row r="423" spans="1:27" ht="15.75" hidden="1" customHeight="1" x14ac:dyDescent="0.2">
      <c r="A423" s="2"/>
      <c r="B423" s="31">
        <v>418</v>
      </c>
      <c r="C423" s="36" t="s">
        <v>991</v>
      </c>
      <c r="D423" s="36" t="s">
        <v>1030</v>
      </c>
      <c r="E423" s="36" t="s">
        <v>1031</v>
      </c>
      <c r="F423" s="36" t="s">
        <v>1032</v>
      </c>
      <c r="G423" s="36" t="s">
        <v>1033</v>
      </c>
      <c r="H423" s="37" t="s">
        <v>95</v>
      </c>
      <c r="I423" s="37" t="s">
        <v>127</v>
      </c>
      <c r="J423" s="37" t="s">
        <v>82</v>
      </c>
      <c r="K423" s="37" t="s">
        <v>87</v>
      </c>
      <c r="L423" s="36" t="s">
        <v>84</v>
      </c>
      <c r="M423" s="34">
        <v>355.77</v>
      </c>
      <c r="N423" s="34">
        <v>117.8</v>
      </c>
      <c r="O423" s="34">
        <v>237.96</v>
      </c>
      <c r="P423" s="34">
        <v>3.07</v>
      </c>
      <c r="Q423" s="34">
        <v>-11.64</v>
      </c>
      <c r="R423" s="34">
        <v>-11.64</v>
      </c>
      <c r="S423" s="34">
        <v>-11.64</v>
      </c>
      <c r="T423" s="34">
        <v>-7.37</v>
      </c>
      <c r="U423" s="34">
        <v>126.91</v>
      </c>
      <c r="V423" s="34">
        <v>-6.79</v>
      </c>
      <c r="W423" s="34">
        <v>0.39</v>
      </c>
      <c r="X423" s="34">
        <v>0.5</v>
      </c>
      <c r="Y423" s="35">
        <v>-3.8826000000000001</v>
      </c>
      <c r="Z423" s="35">
        <v>-5.8048000000000002</v>
      </c>
      <c r="AA423" s="35">
        <v>-450.10739999999998</v>
      </c>
    </row>
    <row r="424" spans="1:27" ht="15.75" hidden="1" customHeight="1" x14ac:dyDescent="0.2">
      <c r="A424" s="2"/>
      <c r="B424" s="31">
        <v>419</v>
      </c>
      <c r="C424" s="36" t="s">
        <v>991</v>
      </c>
      <c r="D424" s="36" t="s">
        <v>1030</v>
      </c>
      <c r="E424" s="36" t="s">
        <v>1031</v>
      </c>
      <c r="F424" s="36" t="s">
        <v>1034</v>
      </c>
      <c r="G424" s="36" t="s">
        <v>1035</v>
      </c>
      <c r="H424" s="37" t="s">
        <v>80</v>
      </c>
      <c r="I424" s="37" t="s">
        <v>81</v>
      </c>
      <c r="J424" s="37" t="s">
        <v>82</v>
      </c>
      <c r="K424" s="37" t="s">
        <v>87</v>
      </c>
      <c r="L424" s="36" t="s">
        <v>84</v>
      </c>
      <c r="M424" s="34">
        <v>444.14</v>
      </c>
      <c r="N424" s="34">
        <v>149.82</v>
      </c>
      <c r="O424" s="34">
        <v>294.32</v>
      </c>
      <c r="P424" s="34">
        <v>205.52</v>
      </c>
      <c r="Q424" s="34">
        <v>5.0199999999999996</v>
      </c>
      <c r="R424" s="34">
        <v>2.36</v>
      </c>
      <c r="S424" s="34">
        <v>1.56</v>
      </c>
      <c r="T424" s="34">
        <v>13.45</v>
      </c>
      <c r="U424" s="34">
        <v>294.32</v>
      </c>
      <c r="V424" s="34">
        <v>11.89</v>
      </c>
      <c r="W424" s="34">
        <v>0.54</v>
      </c>
      <c r="X424" s="34">
        <v>0.51</v>
      </c>
      <c r="Y424" s="35">
        <v>3.0291000000000001</v>
      </c>
      <c r="Z424" s="35">
        <v>4.5711000000000004</v>
      </c>
      <c r="AA424" s="35">
        <v>6.5461999999999998</v>
      </c>
    </row>
    <row r="425" spans="1:27" ht="15.75" hidden="1" customHeight="1" x14ac:dyDescent="0.2">
      <c r="A425" s="2"/>
      <c r="B425" s="31">
        <v>420</v>
      </c>
      <c r="C425" s="36" t="s">
        <v>991</v>
      </c>
      <c r="D425" s="36" t="s">
        <v>1030</v>
      </c>
      <c r="E425" s="36" t="s">
        <v>1031</v>
      </c>
      <c r="F425" s="36" t="s">
        <v>1036</v>
      </c>
      <c r="G425" s="36" t="s">
        <v>1037</v>
      </c>
      <c r="H425" s="37" t="s">
        <v>80</v>
      </c>
      <c r="I425" s="37" t="s">
        <v>81</v>
      </c>
      <c r="J425" s="37" t="s">
        <v>82</v>
      </c>
      <c r="K425" s="37" t="s">
        <v>87</v>
      </c>
      <c r="L425" s="36" t="s">
        <v>84</v>
      </c>
      <c r="M425" s="34">
        <v>1101.52</v>
      </c>
      <c r="N425" s="34">
        <v>662.9</v>
      </c>
      <c r="O425" s="34">
        <v>438.62</v>
      </c>
      <c r="P425" s="34">
        <v>734.46</v>
      </c>
      <c r="Q425" s="34">
        <v>26.71</v>
      </c>
      <c r="R425" s="34">
        <v>14.05</v>
      </c>
      <c r="S425" s="34">
        <v>13.92</v>
      </c>
      <c r="T425" s="34">
        <v>17.690000000000001</v>
      </c>
      <c r="U425" s="34">
        <v>274.14</v>
      </c>
      <c r="V425" s="34">
        <v>6.84</v>
      </c>
      <c r="W425" s="34">
        <v>0.44</v>
      </c>
      <c r="X425" s="34">
        <v>1.51</v>
      </c>
      <c r="Y425" s="35">
        <v>2.5695000000000001</v>
      </c>
      <c r="Z425" s="35">
        <v>6.4527999999999999</v>
      </c>
      <c r="AA425" s="35">
        <v>3.8536000000000001</v>
      </c>
    </row>
    <row r="426" spans="1:27" ht="15.75" hidden="1" customHeight="1" x14ac:dyDescent="0.2">
      <c r="A426" s="2"/>
      <c r="B426" s="31">
        <v>421</v>
      </c>
      <c r="C426" s="36" t="s">
        <v>991</v>
      </c>
      <c r="D426" s="36" t="s">
        <v>1038</v>
      </c>
      <c r="E426" s="36" t="s">
        <v>1039</v>
      </c>
      <c r="F426" s="36" t="s">
        <v>1040</v>
      </c>
      <c r="G426" s="36" t="s">
        <v>1041</v>
      </c>
      <c r="H426" s="37" t="s">
        <v>80</v>
      </c>
      <c r="I426" s="37" t="s">
        <v>81</v>
      </c>
      <c r="J426" s="37" t="s">
        <v>82</v>
      </c>
      <c r="K426" s="37" t="s">
        <v>87</v>
      </c>
      <c r="L426" s="36" t="s">
        <v>84</v>
      </c>
      <c r="M426" s="34">
        <v>195.31</v>
      </c>
      <c r="N426" s="34">
        <v>97.2</v>
      </c>
      <c r="O426" s="34">
        <v>98.11</v>
      </c>
      <c r="P426" s="34">
        <v>37.700000000000003</v>
      </c>
      <c r="Q426" s="34">
        <v>-7.31</v>
      </c>
      <c r="R426" s="34">
        <v>-5.71</v>
      </c>
      <c r="S426" s="34">
        <v>-5.71</v>
      </c>
      <c r="T426" s="34">
        <v>-36.950000000000003</v>
      </c>
      <c r="U426" s="34">
        <v>355.47</v>
      </c>
      <c r="V426" s="34">
        <v>-3.92</v>
      </c>
      <c r="W426" s="34">
        <v>0.41</v>
      </c>
      <c r="X426" s="34">
        <v>0.99</v>
      </c>
      <c r="Y426" s="35">
        <v>-5.2222</v>
      </c>
      <c r="Z426" s="35">
        <v>-10.396000000000001</v>
      </c>
      <c r="AA426" s="35">
        <v>-27.055800000000001</v>
      </c>
    </row>
    <row r="427" spans="1:27" ht="15.75" hidden="1" customHeight="1" x14ac:dyDescent="0.2">
      <c r="A427" s="2"/>
      <c r="B427" s="31">
        <v>422</v>
      </c>
      <c r="C427" s="36" t="s">
        <v>991</v>
      </c>
      <c r="D427" s="36" t="s">
        <v>1030</v>
      </c>
      <c r="E427" s="36" t="s">
        <v>1031</v>
      </c>
      <c r="F427" s="36" t="s">
        <v>1042</v>
      </c>
      <c r="G427" s="36" t="s">
        <v>1043</v>
      </c>
      <c r="H427" s="37" t="s">
        <v>95</v>
      </c>
      <c r="I427" s="37" t="s">
        <v>81</v>
      </c>
      <c r="J427" s="37" t="s">
        <v>82</v>
      </c>
      <c r="K427" s="37" t="s">
        <v>87</v>
      </c>
      <c r="L427" s="36" t="s">
        <v>84</v>
      </c>
      <c r="M427" s="34">
        <v>164.07</v>
      </c>
      <c r="N427" s="34">
        <v>89.24</v>
      </c>
      <c r="O427" s="34">
        <v>74.83</v>
      </c>
      <c r="P427" s="34">
        <v>73.069999999999993</v>
      </c>
      <c r="Q427" s="34">
        <v>14.07</v>
      </c>
      <c r="R427" s="34">
        <v>10.97</v>
      </c>
      <c r="S427" s="34">
        <v>10.96</v>
      </c>
      <c r="T427" s="34">
        <v>14.13</v>
      </c>
      <c r="U427" s="34">
        <v>57.22</v>
      </c>
      <c r="V427" s="34">
        <v>21.37</v>
      </c>
      <c r="W427" s="34">
        <v>5.28</v>
      </c>
      <c r="X427" s="34">
        <v>1.19</v>
      </c>
      <c r="Y427" s="35">
        <v>11.262600000000001</v>
      </c>
      <c r="Z427" s="35">
        <v>24.694199999999999</v>
      </c>
      <c r="AA427" s="35">
        <v>25.290099999999999</v>
      </c>
    </row>
    <row r="428" spans="1:27" ht="15.75" hidden="1" customHeight="1" x14ac:dyDescent="0.2">
      <c r="A428" s="2"/>
      <c r="B428" s="31">
        <v>423</v>
      </c>
      <c r="C428" s="36" t="s">
        <v>991</v>
      </c>
      <c r="D428" s="36" t="s">
        <v>1038</v>
      </c>
      <c r="E428" s="36" t="s">
        <v>1039</v>
      </c>
      <c r="F428" s="36" t="s">
        <v>1044</v>
      </c>
      <c r="G428" s="36" t="s">
        <v>1045</v>
      </c>
      <c r="H428" s="37" t="s">
        <v>80</v>
      </c>
      <c r="I428" s="37" t="s">
        <v>81</v>
      </c>
      <c r="J428" s="37" t="s">
        <v>82</v>
      </c>
      <c r="K428" s="37" t="s">
        <v>87</v>
      </c>
      <c r="L428" s="36" t="s">
        <v>84</v>
      </c>
      <c r="M428" s="34">
        <v>559.69000000000005</v>
      </c>
      <c r="N428" s="34">
        <v>220.32</v>
      </c>
      <c r="O428" s="34">
        <v>339.37</v>
      </c>
      <c r="P428" s="34">
        <v>155.55000000000001</v>
      </c>
      <c r="Q428" s="34">
        <v>12.6</v>
      </c>
      <c r="R428" s="34">
        <v>9.83</v>
      </c>
      <c r="S428" s="34">
        <v>9.83</v>
      </c>
      <c r="T428" s="34">
        <v>3.72</v>
      </c>
      <c r="U428" s="34">
        <v>73.89</v>
      </c>
      <c r="V428" s="34">
        <v>50.82</v>
      </c>
      <c r="W428" s="34">
        <v>2.56</v>
      </c>
      <c r="X428" s="34">
        <v>0.65</v>
      </c>
      <c r="Y428" s="35">
        <v>3.0518999999999998</v>
      </c>
      <c r="Z428" s="35">
        <v>5.0331999999999999</v>
      </c>
      <c r="AA428" s="35">
        <v>10.9815</v>
      </c>
    </row>
    <row r="429" spans="1:27" ht="15.75" hidden="1" customHeight="1" x14ac:dyDescent="0.2">
      <c r="A429" s="2"/>
      <c r="B429" s="31">
        <v>424</v>
      </c>
      <c r="C429" s="36" t="s">
        <v>991</v>
      </c>
      <c r="D429" s="36" t="s">
        <v>1038</v>
      </c>
      <c r="E429" s="36" t="s">
        <v>1039</v>
      </c>
      <c r="F429" s="36" t="s">
        <v>1046</v>
      </c>
      <c r="G429" s="36" t="s">
        <v>1047</v>
      </c>
      <c r="H429" s="37" t="s">
        <v>80</v>
      </c>
      <c r="I429" s="37" t="s">
        <v>81</v>
      </c>
      <c r="J429" s="37" t="s">
        <v>82</v>
      </c>
      <c r="K429" s="37" t="s">
        <v>87</v>
      </c>
      <c r="L429" s="36" t="s">
        <v>84</v>
      </c>
      <c r="M429" s="34">
        <v>680.24</v>
      </c>
      <c r="N429" s="34">
        <v>555.05999999999995</v>
      </c>
      <c r="O429" s="34">
        <v>125.18</v>
      </c>
      <c r="P429" s="34">
        <v>236.86</v>
      </c>
      <c r="Q429" s="34">
        <v>-17.36</v>
      </c>
      <c r="R429" s="34">
        <v>-14.01</v>
      </c>
      <c r="S429" s="34">
        <v>-14.01</v>
      </c>
      <c r="T429" s="34">
        <v>-39.340000000000003</v>
      </c>
      <c r="U429" s="34">
        <v>124.12</v>
      </c>
      <c r="V429" s="34">
        <v>-3.63</v>
      </c>
      <c r="W429" s="34">
        <v>1.1499999999999999</v>
      </c>
      <c r="X429" s="34">
        <v>4.43</v>
      </c>
      <c r="Y429" s="35">
        <v>-5.8331</v>
      </c>
      <c r="Z429" s="35">
        <v>-31.6981</v>
      </c>
      <c r="AA429" s="35">
        <v>-16.752600000000001</v>
      </c>
    </row>
    <row r="430" spans="1:27" ht="15.75" hidden="1" customHeight="1" x14ac:dyDescent="0.2">
      <c r="A430" s="2"/>
      <c r="B430" s="31">
        <v>425</v>
      </c>
      <c r="C430" s="36" t="s">
        <v>991</v>
      </c>
      <c r="D430" s="36" t="s">
        <v>1030</v>
      </c>
      <c r="E430" s="36" t="s">
        <v>1031</v>
      </c>
      <c r="F430" s="36" t="s">
        <v>1048</v>
      </c>
      <c r="G430" s="36" t="s">
        <v>1049</v>
      </c>
      <c r="H430" s="37" t="s">
        <v>95</v>
      </c>
      <c r="I430" s="37" t="s">
        <v>81</v>
      </c>
      <c r="J430" s="37" t="s">
        <v>82</v>
      </c>
      <c r="K430" s="37" t="s">
        <v>87</v>
      </c>
      <c r="L430" s="36" t="s">
        <v>84</v>
      </c>
      <c r="M430" s="34">
        <v>107.08</v>
      </c>
      <c r="N430" s="34">
        <v>22.35</v>
      </c>
      <c r="O430" s="34">
        <v>84.73</v>
      </c>
      <c r="P430" s="34">
        <v>31.07</v>
      </c>
      <c r="Q430" s="34">
        <v>1.65</v>
      </c>
      <c r="R430" s="34">
        <v>0.99</v>
      </c>
      <c r="S430" s="34">
        <v>0.99</v>
      </c>
      <c r="T430" s="34">
        <v>0.57999999999999996</v>
      </c>
      <c r="U430" s="34">
        <v>44.19</v>
      </c>
      <c r="V430" s="34">
        <v>279.58999999999997</v>
      </c>
      <c r="W430" s="34">
        <v>3.67</v>
      </c>
      <c r="X430" s="34">
        <v>0.26</v>
      </c>
      <c r="Y430" s="35">
        <v>1.0376000000000001</v>
      </c>
      <c r="Z430" s="35">
        <v>1.3112999999999999</v>
      </c>
      <c r="AA430" s="35">
        <v>3.5758000000000001</v>
      </c>
    </row>
    <row r="431" spans="1:27" ht="15.75" hidden="1" customHeight="1" x14ac:dyDescent="0.2">
      <c r="A431" s="2"/>
      <c r="B431" s="31">
        <v>426</v>
      </c>
      <c r="C431" s="36" t="s">
        <v>991</v>
      </c>
      <c r="D431" s="36" t="s">
        <v>1030</v>
      </c>
      <c r="E431" s="36" t="s">
        <v>1031</v>
      </c>
      <c r="F431" s="36" t="s">
        <v>1050</v>
      </c>
      <c r="G431" s="36" t="s">
        <v>1051</v>
      </c>
      <c r="H431" s="37" t="s">
        <v>95</v>
      </c>
      <c r="I431" s="37" t="s">
        <v>81</v>
      </c>
      <c r="J431" s="37" t="s">
        <v>82</v>
      </c>
      <c r="K431" s="37" t="s">
        <v>87</v>
      </c>
      <c r="L431" s="36" t="s">
        <v>84</v>
      </c>
      <c r="M431" s="34">
        <v>203.5</v>
      </c>
      <c r="N431" s="34">
        <v>57.27</v>
      </c>
      <c r="O431" s="34">
        <v>146.22999999999999</v>
      </c>
      <c r="P431" s="34">
        <v>102.75</v>
      </c>
      <c r="Q431" s="34">
        <v>11.19</v>
      </c>
      <c r="R431" s="34">
        <v>9.64</v>
      </c>
      <c r="S431" s="34">
        <v>9.5299999999999994</v>
      </c>
      <c r="T431" s="34">
        <v>-0.49</v>
      </c>
      <c r="U431" s="34">
        <v>76.77</v>
      </c>
      <c r="V431" s="34">
        <v>-1182.75</v>
      </c>
      <c r="W431" s="34">
        <v>7.62</v>
      </c>
      <c r="X431" s="34">
        <v>0.39</v>
      </c>
      <c r="Y431" s="35">
        <v>-0.46300000000000002</v>
      </c>
      <c r="Z431" s="35">
        <v>-0.64429999999999998</v>
      </c>
      <c r="AA431" s="35">
        <v>-0.91700000000000004</v>
      </c>
    </row>
    <row r="432" spans="1:27" ht="15.75" hidden="1" customHeight="1" x14ac:dyDescent="0.2">
      <c r="A432" s="2"/>
      <c r="B432" s="31">
        <v>427</v>
      </c>
      <c r="C432" s="36" t="s">
        <v>991</v>
      </c>
      <c r="D432" s="36" t="s">
        <v>1038</v>
      </c>
      <c r="E432" s="36" t="s">
        <v>1039</v>
      </c>
      <c r="F432" s="36" t="s">
        <v>1052</v>
      </c>
      <c r="G432" s="36" t="s">
        <v>1053</v>
      </c>
      <c r="H432" s="37" t="s">
        <v>80</v>
      </c>
      <c r="I432" s="37" t="s">
        <v>81</v>
      </c>
      <c r="J432" s="37" t="s">
        <v>82</v>
      </c>
      <c r="K432" s="37" t="s">
        <v>87</v>
      </c>
      <c r="L432" s="36" t="s">
        <v>84</v>
      </c>
      <c r="M432" s="34">
        <v>1424.29</v>
      </c>
      <c r="N432" s="34">
        <v>471.15</v>
      </c>
      <c r="O432" s="34">
        <v>953.14</v>
      </c>
      <c r="P432" s="34">
        <v>571.72</v>
      </c>
      <c r="Q432" s="34">
        <v>40.869999999999997</v>
      </c>
      <c r="R432" s="34">
        <v>25.54</v>
      </c>
      <c r="S432" s="34">
        <v>25.54</v>
      </c>
      <c r="T432" s="34">
        <v>75.430000000000007</v>
      </c>
      <c r="U432" s="34">
        <v>1588.56</v>
      </c>
      <c r="V432" s="34">
        <v>6.55</v>
      </c>
      <c r="W432" s="34">
        <v>0.31</v>
      </c>
      <c r="X432" s="34">
        <v>0.49</v>
      </c>
      <c r="Y432" s="35">
        <v>3.1775000000000002</v>
      </c>
      <c r="Z432" s="35">
        <v>4.7481</v>
      </c>
      <c r="AA432" s="35">
        <v>7.9157999999999999</v>
      </c>
    </row>
    <row r="433" spans="1:27" ht="15.75" hidden="1" customHeight="1" x14ac:dyDescent="0.2">
      <c r="A433" s="2"/>
      <c r="B433" s="31">
        <v>428</v>
      </c>
      <c r="C433" s="36" t="s">
        <v>991</v>
      </c>
      <c r="D433" s="36" t="s">
        <v>1030</v>
      </c>
      <c r="E433" s="36" t="s">
        <v>1031</v>
      </c>
      <c r="F433" s="36" t="s">
        <v>1054</v>
      </c>
      <c r="G433" s="36" t="s">
        <v>1055</v>
      </c>
      <c r="H433" s="37" t="s">
        <v>95</v>
      </c>
      <c r="I433" s="37" t="s">
        <v>81</v>
      </c>
      <c r="J433" s="37" t="s">
        <v>82</v>
      </c>
      <c r="K433" s="37" t="s">
        <v>87</v>
      </c>
      <c r="L433" s="36" t="s">
        <v>84</v>
      </c>
      <c r="M433" s="34">
        <v>51.06</v>
      </c>
      <c r="N433" s="34">
        <v>8.77</v>
      </c>
      <c r="O433" s="34">
        <v>42.29</v>
      </c>
      <c r="P433" s="34">
        <v>4.7699999999999996</v>
      </c>
      <c r="Q433" s="34">
        <v>-3.06</v>
      </c>
      <c r="R433" s="34">
        <v>-3.06</v>
      </c>
      <c r="S433" s="34">
        <v>-3.06</v>
      </c>
      <c r="T433" s="34">
        <v>-3.2</v>
      </c>
      <c r="U433" s="34">
        <v>22.26</v>
      </c>
      <c r="V433" s="34">
        <v>-33.75</v>
      </c>
      <c r="W433" s="34">
        <v>4.8499999999999996</v>
      </c>
      <c r="X433" s="34">
        <v>0.21</v>
      </c>
      <c r="Y433" s="35">
        <v>-11.907299999999999</v>
      </c>
      <c r="Z433" s="35">
        <v>-14.376200000000001</v>
      </c>
      <c r="AA433" s="35">
        <v>-127.3476</v>
      </c>
    </row>
    <row r="434" spans="1:27" ht="15.75" hidden="1" customHeight="1" x14ac:dyDescent="0.2">
      <c r="A434" s="2"/>
      <c r="B434" s="31">
        <v>429</v>
      </c>
      <c r="C434" s="36" t="s">
        <v>991</v>
      </c>
      <c r="D434" s="36" t="s">
        <v>1056</v>
      </c>
      <c r="E434" s="36" t="s">
        <v>1057</v>
      </c>
      <c r="F434" s="36" t="s">
        <v>1058</v>
      </c>
      <c r="G434" s="36" t="s">
        <v>1059</v>
      </c>
      <c r="H434" s="37" t="s">
        <v>80</v>
      </c>
      <c r="I434" s="37" t="s">
        <v>81</v>
      </c>
      <c r="J434" s="37" t="s">
        <v>82</v>
      </c>
      <c r="K434" s="37" t="s">
        <v>87</v>
      </c>
      <c r="L434" s="36" t="s">
        <v>84</v>
      </c>
      <c r="M434" s="34">
        <v>405.72</v>
      </c>
      <c r="N434" s="34">
        <v>64.22</v>
      </c>
      <c r="O434" s="34">
        <v>341.5</v>
      </c>
      <c r="P434" s="34">
        <v>110.46</v>
      </c>
      <c r="Q434" s="34">
        <v>9.7799999999999994</v>
      </c>
      <c r="R434" s="34">
        <v>9.7799999999999994</v>
      </c>
      <c r="S434" s="34">
        <v>9.7799999999999994</v>
      </c>
      <c r="T434" s="34">
        <v>3.77</v>
      </c>
      <c r="U434" s="34">
        <v>136.6</v>
      </c>
      <c r="V434" s="34">
        <v>49.83</v>
      </c>
      <c r="W434" s="34">
        <v>1.38</v>
      </c>
      <c r="X434" s="34">
        <v>0.19</v>
      </c>
      <c r="Y434" s="35">
        <v>2.3247</v>
      </c>
      <c r="Z434" s="35">
        <v>2.7618999999999998</v>
      </c>
      <c r="AA434" s="35">
        <v>8.5383999999999993</v>
      </c>
    </row>
    <row r="435" spans="1:27" ht="15.75" hidden="1" customHeight="1" x14ac:dyDescent="0.2">
      <c r="A435" s="2"/>
      <c r="B435" s="31">
        <v>430</v>
      </c>
      <c r="C435" s="36" t="s">
        <v>991</v>
      </c>
      <c r="D435" s="36" t="s">
        <v>1030</v>
      </c>
      <c r="E435" s="36" t="s">
        <v>1031</v>
      </c>
      <c r="F435" s="36" t="s">
        <v>1060</v>
      </c>
      <c r="G435" s="36" t="s">
        <v>1061</v>
      </c>
      <c r="H435" s="37" t="s">
        <v>95</v>
      </c>
      <c r="I435" s="37" t="s">
        <v>81</v>
      </c>
      <c r="J435" s="37" t="s">
        <v>82</v>
      </c>
      <c r="K435" s="37" t="s">
        <v>87</v>
      </c>
      <c r="L435" s="36" t="s">
        <v>84</v>
      </c>
      <c r="M435" s="34">
        <v>60.7</v>
      </c>
      <c r="N435" s="34">
        <v>15.2</v>
      </c>
      <c r="O435" s="34">
        <v>45.5</v>
      </c>
      <c r="P435" s="34">
        <v>23.06</v>
      </c>
      <c r="Q435" s="34">
        <v>0.64</v>
      </c>
      <c r="R435" s="34">
        <v>0.56000000000000005</v>
      </c>
      <c r="S435" s="34">
        <v>0.56000000000000005</v>
      </c>
      <c r="T435" s="34">
        <v>-0.53</v>
      </c>
      <c r="U435" s="34">
        <v>27.52</v>
      </c>
      <c r="V435" s="34">
        <v>-277.94</v>
      </c>
      <c r="W435" s="34">
        <v>5.38</v>
      </c>
      <c r="X435" s="34">
        <v>0.33</v>
      </c>
      <c r="Y435" s="35">
        <v>-1.4505999999999999</v>
      </c>
      <c r="Z435" s="35">
        <v>-1.9351</v>
      </c>
      <c r="AA435" s="35">
        <v>-3.8187000000000002</v>
      </c>
    </row>
    <row r="436" spans="1:27" ht="15.75" hidden="1" customHeight="1" x14ac:dyDescent="0.2">
      <c r="A436" s="2"/>
      <c r="B436" s="31">
        <v>431</v>
      </c>
      <c r="C436" s="36" t="s">
        <v>991</v>
      </c>
      <c r="D436" s="36" t="s">
        <v>1030</v>
      </c>
      <c r="E436" s="36" t="s">
        <v>1031</v>
      </c>
      <c r="F436" s="36" t="s">
        <v>1062</v>
      </c>
      <c r="G436" s="36" t="s">
        <v>1063</v>
      </c>
      <c r="H436" s="37" t="s">
        <v>80</v>
      </c>
      <c r="I436" s="37" t="s">
        <v>81</v>
      </c>
      <c r="J436" s="37" t="s">
        <v>82</v>
      </c>
      <c r="K436" s="37" t="s">
        <v>87</v>
      </c>
      <c r="L436" s="36" t="s">
        <v>84</v>
      </c>
      <c r="M436" s="34">
        <v>7502.18</v>
      </c>
      <c r="N436" s="34">
        <v>2941.68</v>
      </c>
      <c r="O436" s="34">
        <v>4560.5</v>
      </c>
      <c r="P436" s="34">
        <v>1451.41</v>
      </c>
      <c r="Q436" s="34">
        <v>110.83</v>
      </c>
      <c r="R436" s="34">
        <v>83.11</v>
      </c>
      <c r="S436" s="34">
        <v>86.6</v>
      </c>
      <c r="T436" s="34">
        <v>25.46</v>
      </c>
      <c r="U436" s="34">
        <v>708.43</v>
      </c>
      <c r="V436" s="34">
        <v>18.309999999999999</v>
      </c>
      <c r="W436" s="34">
        <v>0.66</v>
      </c>
      <c r="X436" s="34">
        <v>0.65</v>
      </c>
      <c r="Y436" s="35">
        <v>2.1844000000000001</v>
      </c>
      <c r="Z436" s="35">
        <v>3.5933999999999999</v>
      </c>
      <c r="AA436" s="35">
        <v>11.290800000000001</v>
      </c>
    </row>
    <row r="437" spans="1:27" ht="15.75" hidden="1" customHeight="1" x14ac:dyDescent="0.2">
      <c r="A437" s="2"/>
      <c r="B437" s="31">
        <v>432</v>
      </c>
      <c r="C437" s="36" t="s">
        <v>991</v>
      </c>
      <c r="D437" s="36" t="s">
        <v>1064</v>
      </c>
      <c r="E437" s="36" t="s">
        <v>1065</v>
      </c>
      <c r="F437" s="36" t="s">
        <v>1066</v>
      </c>
      <c r="G437" s="36" t="s">
        <v>1067</v>
      </c>
      <c r="H437" s="37" t="s">
        <v>80</v>
      </c>
      <c r="I437" s="37" t="s">
        <v>81</v>
      </c>
      <c r="J437" s="37" t="s">
        <v>82</v>
      </c>
      <c r="K437" s="37" t="s">
        <v>83</v>
      </c>
      <c r="L437" s="36" t="s">
        <v>84</v>
      </c>
      <c r="M437" s="34">
        <v>324.37</v>
      </c>
      <c r="N437" s="34">
        <v>208.66</v>
      </c>
      <c r="O437" s="34">
        <v>115.7</v>
      </c>
      <c r="P437" s="34">
        <v>173.76</v>
      </c>
      <c r="Q437" s="34">
        <v>8.7100000000000009</v>
      </c>
      <c r="R437" s="34">
        <v>6.54</v>
      </c>
      <c r="S437" s="34">
        <v>6.54</v>
      </c>
      <c r="T437" s="34">
        <v>11.19</v>
      </c>
      <c r="U437" s="34">
        <v>89.42</v>
      </c>
      <c r="V437" s="34">
        <v>91.57</v>
      </c>
      <c r="W437" s="34">
        <v>11.46</v>
      </c>
      <c r="X437" s="34">
        <v>1.8</v>
      </c>
      <c r="Y437" s="35">
        <v>4.4653</v>
      </c>
      <c r="Z437" s="35">
        <v>12.5183</v>
      </c>
      <c r="AA437" s="35">
        <v>8.3355999999999995</v>
      </c>
    </row>
    <row r="438" spans="1:27" ht="15.75" hidden="1" customHeight="1" x14ac:dyDescent="0.2">
      <c r="A438" s="2"/>
      <c r="B438" s="31">
        <v>433</v>
      </c>
      <c r="C438" s="36" t="s">
        <v>991</v>
      </c>
      <c r="D438" s="36" t="s">
        <v>1068</v>
      </c>
      <c r="E438" s="36" t="s">
        <v>1069</v>
      </c>
      <c r="F438" s="36" t="s">
        <v>1070</v>
      </c>
      <c r="G438" s="36" t="s">
        <v>1071</v>
      </c>
      <c r="H438" s="37" t="s">
        <v>80</v>
      </c>
      <c r="I438" s="37" t="s">
        <v>81</v>
      </c>
      <c r="J438" s="37" t="s">
        <v>82</v>
      </c>
      <c r="K438" s="37" t="s">
        <v>87</v>
      </c>
      <c r="L438" s="36" t="s">
        <v>84</v>
      </c>
      <c r="M438" s="34">
        <v>276.75</v>
      </c>
      <c r="N438" s="34">
        <v>102.22</v>
      </c>
      <c r="O438" s="34">
        <v>174.53</v>
      </c>
      <c r="P438" s="34">
        <v>384.13</v>
      </c>
      <c r="Q438" s="34">
        <v>14.45</v>
      </c>
      <c r="R438" s="34">
        <v>12.47</v>
      </c>
      <c r="S438" s="34">
        <v>12.36</v>
      </c>
      <c r="T438" s="34">
        <v>12.78</v>
      </c>
      <c r="U438" s="34">
        <v>101.18</v>
      </c>
      <c r="V438" s="34">
        <v>12.99</v>
      </c>
      <c r="W438" s="34">
        <v>1.64</v>
      </c>
      <c r="X438" s="34">
        <v>0.59</v>
      </c>
      <c r="Y438" s="35">
        <v>7.9654999999999996</v>
      </c>
      <c r="Z438" s="35">
        <v>12.630599999999999</v>
      </c>
      <c r="AA438" s="35">
        <v>5.7388000000000003</v>
      </c>
    </row>
    <row r="439" spans="1:27" ht="15.75" hidden="1" customHeight="1" x14ac:dyDescent="0.2">
      <c r="A439" s="2"/>
      <c r="B439" s="31">
        <v>434</v>
      </c>
      <c r="C439" s="36" t="s">
        <v>991</v>
      </c>
      <c r="D439" s="36" t="s">
        <v>1064</v>
      </c>
      <c r="E439" s="36" t="s">
        <v>1065</v>
      </c>
      <c r="F439" s="36" t="s">
        <v>1072</v>
      </c>
      <c r="G439" s="36" t="s">
        <v>1073</v>
      </c>
      <c r="H439" s="37" t="s">
        <v>80</v>
      </c>
      <c r="I439" s="37" t="s">
        <v>81</v>
      </c>
      <c r="J439" s="37" t="s">
        <v>82</v>
      </c>
      <c r="K439" s="37" t="s">
        <v>87</v>
      </c>
      <c r="L439" s="36" t="s">
        <v>84</v>
      </c>
      <c r="M439" s="34">
        <v>190.18</v>
      </c>
      <c r="N439" s="34">
        <v>22.84</v>
      </c>
      <c r="O439" s="34">
        <v>167.34</v>
      </c>
      <c r="P439" s="34">
        <v>4.9800000000000004</v>
      </c>
      <c r="Q439" s="34">
        <v>-4.8</v>
      </c>
      <c r="R439" s="34">
        <v>-5.18</v>
      </c>
      <c r="S439" s="34">
        <v>-5.17</v>
      </c>
      <c r="T439" s="34">
        <v>-0.48</v>
      </c>
      <c r="U439" s="34">
        <v>4.9800000000000004</v>
      </c>
      <c r="V439" s="34">
        <v>-103.56</v>
      </c>
      <c r="W439" s="34">
        <v>10.039999999999999</v>
      </c>
      <c r="X439" s="34">
        <v>0.14000000000000001</v>
      </c>
      <c r="Y439" s="35">
        <v>-8.5298999999999996</v>
      </c>
      <c r="Z439" s="35">
        <v>-9.6940000000000008</v>
      </c>
      <c r="AA439" s="35">
        <v>-325.4871</v>
      </c>
    </row>
    <row r="440" spans="1:27" ht="15.75" hidden="1" customHeight="1" x14ac:dyDescent="0.2">
      <c r="A440" s="2"/>
      <c r="B440" s="31">
        <v>435</v>
      </c>
      <c r="C440" s="36" t="s">
        <v>991</v>
      </c>
      <c r="D440" s="36" t="s">
        <v>1064</v>
      </c>
      <c r="E440" s="36" t="s">
        <v>1065</v>
      </c>
      <c r="F440" s="36" t="s">
        <v>1074</v>
      </c>
      <c r="G440" s="36" t="s">
        <v>1075</v>
      </c>
      <c r="H440" s="37" t="s">
        <v>95</v>
      </c>
      <c r="I440" s="37" t="s">
        <v>431</v>
      </c>
      <c r="J440" s="37" t="s">
        <v>82</v>
      </c>
      <c r="K440" s="37" t="s">
        <v>104</v>
      </c>
      <c r="L440" s="36" t="s">
        <v>90</v>
      </c>
      <c r="M440" s="34">
        <v>356.89</v>
      </c>
      <c r="N440" s="34">
        <v>109.24</v>
      </c>
      <c r="O440" s="34">
        <v>247.66</v>
      </c>
      <c r="P440" s="34">
        <v>60.44</v>
      </c>
      <c r="Q440" s="34">
        <v>-15.26</v>
      </c>
      <c r="R440" s="34">
        <v>-13.62</v>
      </c>
      <c r="S440" s="34">
        <v>-13.62</v>
      </c>
      <c r="T440" s="34">
        <v>-9.49</v>
      </c>
      <c r="U440" s="34">
        <v>172.58</v>
      </c>
      <c r="V440" s="34">
        <v>-0.84</v>
      </c>
      <c r="W440" s="34">
        <v>0.05</v>
      </c>
      <c r="X440" s="34">
        <v>0.44</v>
      </c>
      <c r="Y440" s="35">
        <v>-3.8170999999999999</v>
      </c>
      <c r="Z440" s="35">
        <v>-5.5007999999999999</v>
      </c>
      <c r="AA440" s="35">
        <v>-22.541599999999999</v>
      </c>
    </row>
    <row r="441" spans="1:27" ht="15.75" hidden="1" customHeight="1" x14ac:dyDescent="0.2">
      <c r="A441" s="2"/>
      <c r="B441" s="31">
        <v>436</v>
      </c>
      <c r="C441" s="36" t="s">
        <v>991</v>
      </c>
      <c r="D441" s="36" t="s">
        <v>1064</v>
      </c>
      <c r="E441" s="36" t="s">
        <v>1065</v>
      </c>
      <c r="F441" s="36" t="s">
        <v>1076</v>
      </c>
      <c r="G441" s="36" t="s">
        <v>1077</v>
      </c>
      <c r="H441" s="37" t="s">
        <v>80</v>
      </c>
      <c r="I441" s="37" t="s">
        <v>81</v>
      </c>
      <c r="J441" s="37" t="s">
        <v>82</v>
      </c>
      <c r="K441" s="37" t="s">
        <v>83</v>
      </c>
      <c r="L441" s="36" t="s">
        <v>84</v>
      </c>
      <c r="M441" s="34">
        <v>1274.29</v>
      </c>
      <c r="N441" s="34">
        <v>678.7</v>
      </c>
      <c r="O441" s="34">
        <v>595.59</v>
      </c>
      <c r="P441" s="34">
        <v>179.1</v>
      </c>
      <c r="Q441" s="34">
        <v>1.1499999999999999</v>
      </c>
      <c r="R441" s="34">
        <v>0.79</v>
      </c>
      <c r="S441" s="34">
        <v>0.79</v>
      </c>
      <c r="T441" s="34">
        <v>2.41</v>
      </c>
      <c r="U441" s="34">
        <v>89.34</v>
      </c>
      <c r="V441" s="34">
        <v>34.42</v>
      </c>
      <c r="W441" s="34">
        <v>0.93</v>
      </c>
      <c r="X441" s="34">
        <v>1.1399999999999999</v>
      </c>
      <c r="Y441" s="35">
        <v>1.2614000000000001</v>
      </c>
      <c r="Z441" s="35">
        <v>2.6987999999999999</v>
      </c>
      <c r="AA441" s="35">
        <v>8.9747000000000003</v>
      </c>
    </row>
    <row r="442" spans="1:27" ht="15.75" hidden="1" customHeight="1" x14ac:dyDescent="0.2">
      <c r="A442" s="2"/>
      <c r="B442" s="31">
        <v>437</v>
      </c>
      <c r="C442" s="36" t="s">
        <v>991</v>
      </c>
      <c r="D442" s="36" t="s">
        <v>1078</v>
      </c>
      <c r="E442" s="36" t="s">
        <v>1079</v>
      </c>
      <c r="F442" s="36" t="s">
        <v>1080</v>
      </c>
      <c r="G442" s="36" t="s">
        <v>1081</v>
      </c>
      <c r="H442" s="37" t="s">
        <v>80</v>
      </c>
      <c r="I442" s="37" t="s">
        <v>81</v>
      </c>
      <c r="J442" s="37" t="s">
        <v>82</v>
      </c>
      <c r="K442" s="37" t="s">
        <v>87</v>
      </c>
      <c r="L442" s="36" t="s">
        <v>84</v>
      </c>
      <c r="M442" s="34">
        <v>224.68</v>
      </c>
      <c r="N442" s="34">
        <v>44.83</v>
      </c>
      <c r="O442" s="34">
        <v>179.85</v>
      </c>
      <c r="P442" s="34">
        <v>19.54</v>
      </c>
      <c r="Q442" s="34">
        <v>5.12</v>
      </c>
      <c r="R442" s="34">
        <v>4.53</v>
      </c>
      <c r="S442" s="34">
        <v>4.53</v>
      </c>
      <c r="T442" s="34">
        <v>2.59</v>
      </c>
      <c r="U442" s="34">
        <v>51.84</v>
      </c>
      <c r="V442" s="34">
        <v>32.479999999999997</v>
      </c>
      <c r="W442" s="34">
        <v>1.62</v>
      </c>
      <c r="X442" s="34">
        <v>0.25</v>
      </c>
      <c r="Y442" s="35">
        <v>3.9927999999999999</v>
      </c>
      <c r="Z442" s="35">
        <v>4.9880000000000004</v>
      </c>
      <c r="AA442" s="35">
        <v>45.905099999999997</v>
      </c>
    </row>
    <row r="443" spans="1:27" ht="15.75" hidden="1" customHeight="1" x14ac:dyDescent="0.2">
      <c r="A443" s="2"/>
      <c r="B443" s="31">
        <v>438</v>
      </c>
      <c r="C443" s="36" t="s">
        <v>991</v>
      </c>
      <c r="D443" s="36" t="s">
        <v>1078</v>
      </c>
      <c r="E443" s="36" t="s">
        <v>1079</v>
      </c>
      <c r="F443" s="36" t="s">
        <v>1082</v>
      </c>
      <c r="G443" s="36" t="s">
        <v>1083</v>
      </c>
      <c r="H443" s="37" t="s">
        <v>95</v>
      </c>
      <c r="I443" s="37" t="s">
        <v>81</v>
      </c>
      <c r="J443" s="37" t="s">
        <v>82</v>
      </c>
      <c r="K443" s="37" t="s">
        <v>87</v>
      </c>
      <c r="L443" s="36" t="s">
        <v>84</v>
      </c>
      <c r="M443" s="34">
        <v>1153.8599999999999</v>
      </c>
      <c r="N443" s="34">
        <v>1020.45</v>
      </c>
      <c r="O443" s="34">
        <v>133.41</v>
      </c>
      <c r="P443" s="34">
        <v>55.63</v>
      </c>
      <c r="Q443" s="34">
        <v>10.95</v>
      </c>
      <c r="R443" s="34">
        <v>11.53</v>
      </c>
      <c r="S443" s="34">
        <v>11.53</v>
      </c>
      <c r="T443" s="34">
        <v>0.78</v>
      </c>
      <c r="U443" s="34">
        <v>42.03</v>
      </c>
      <c r="V443" s="34">
        <v>1656.55</v>
      </c>
      <c r="W443" s="34">
        <v>30.81</v>
      </c>
      <c r="X443" s="34">
        <v>7.65</v>
      </c>
      <c r="Y443" s="35">
        <v>0.21510000000000001</v>
      </c>
      <c r="Z443" s="35">
        <v>1.86</v>
      </c>
      <c r="AA443" s="35">
        <v>4.4610000000000003</v>
      </c>
    </row>
    <row r="444" spans="1:27" ht="15.75" hidden="1" customHeight="1" x14ac:dyDescent="0.2">
      <c r="A444" s="2"/>
      <c r="B444" s="31">
        <v>439</v>
      </c>
      <c r="C444" s="36" t="s">
        <v>991</v>
      </c>
      <c r="D444" s="36" t="s">
        <v>1084</v>
      </c>
      <c r="E444" s="36" t="s">
        <v>1085</v>
      </c>
      <c r="F444" s="36" t="s">
        <v>1086</v>
      </c>
      <c r="G444" s="36" t="s">
        <v>1087</v>
      </c>
      <c r="H444" s="37" t="s">
        <v>95</v>
      </c>
      <c r="I444" s="37" t="s">
        <v>81</v>
      </c>
      <c r="J444" s="37" t="s">
        <v>82</v>
      </c>
      <c r="K444" s="37" t="s">
        <v>87</v>
      </c>
      <c r="L444" s="36" t="s">
        <v>84</v>
      </c>
      <c r="M444" s="34">
        <v>377.98</v>
      </c>
      <c r="N444" s="34">
        <v>434.53</v>
      </c>
      <c r="O444" s="34">
        <v>-56.55</v>
      </c>
      <c r="P444" s="34">
        <v>159.44</v>
      </c>
      <c r="Q444" s="34">
        <v>-40.520000000000003</v>
      </c>
      <c r="R444" s="34">
        <v>-40.520000000000003</v>
      </c>
      <c r="S444" s="34">
        <v>-40.42</v>
      </c>
      <c r="T444" s="34">
        <v>-46.95</v>
      </c>
      <c r="U444" s="34">
        <v>-43.5</v>
      </c>
      <c r="V444" s="34">
        <v>-1.1100000000000001</v>
      </c>
      <c r="W444" s="34">
        <v>-1.2</v>
      </c>
      <c r="X444" s="34">
        <v>-7.68</v>
      </c>
      <c r="Y444" s="35">
        <v>-16.148199999999999</v>
      </c>
      <c r="Z444" s="35" t="s">
        <v>95</v>
      </c>
      <c r="AA444" s="35">
        <v>-38.283299999999997</v>
      </c>
    </row>
    <row r="445" spans="1:27" ht="15.75" hidden="1" customHeight="1" x14ac:dyDescent="0.2">
      <c r="A445" s="2"/>
      <c r="B445" s="31">
        <v>440</v>
      </c>
      <c r="C445" s="36" t="s">
        <v>991</v>
      </c>
      <c r="D445" s="36" t="s">
        <v>1078</v>
      </c>
      <c r="E445" s="36" t="s">
        <v>1079</v>
      </c>
      <c r="F445" s="36" t="s">
        <v>1088</v>
      </c>
      <c r="G445" s="36" t="s">
        <v>1089</v>
      </c>
      <c r="H445" s="37" t="s">
        <v>80</v>
      </c>
      <c r="I445" s="37" t="s">
        <v>81</v>
      </c>
      <c r="J445" s="37" t="s">
        <v>82</v>
      </c>
      <c r="K445" s="37" t="s">
        <v>87</v>
      </c>
      <c r="L445" s="36" t="s">
        <v>84</v>
      </c>
      <c r="M445" s="34">
        <v>571.6</v>
      </c>
      <c r="N445" s="34">
        <v>299.49</v>
      </c>
      <c r="O445" s="34">
        <v>272.11</v>
      </c>
      <c r="P445" s="34">
        <v>283.07</v>
      </c>
      <c r="Q445" s="34">
        <v>12.52</v>
      </c>
      <c r="R445" s="34">
        <v>7.98</v>
      </c>
      <c r="S445" s="34">
        <v>5.0999999999999996</v>
      </c>
      <c r="T445" s="34">
        <v>0.84</v>
      </c>
      <c r="U445" s="34">
        <v>37.53</v>
      </c>
      <c r="V445" s="34">
        <v>77.48</v>
      </c>
      <c r="W445" s="34">
        <v>1.73</v>
      </c>
      <c r="X445" s="34">
        <v>1.1000000000000001</v>
      </c>
      <c r="Y445" s="35">
        <v>1.0641</v>
      </c>
      <c r="Z445" s="35">
        <v>2.2351999999999999</v>
      </c>
      <c r="AA445" s="35">
        <v>2.1486999999999998</v>
      </c>
    </row>
    <row r="446" spans="1:27" ht="15.75" hidden="1" customHeight="1" x14ac:dyDescent="0.2">
      <c r="A446" s="2"/>
      <c r="B446" s="31">
        <v>441</v>
      </c>
      <c r="C446" s="36" t="s">
        <v>991</v>
      </c>
      <c r="D446" s="36" t="s">
        <v>1084</v>
      </c>
      <c r="E446" s="36" t="s">
        <v>1085</v>
      </c>
      <c r="F446" s="36" t="s">
        <v>1090</v>
      </c>
      <c r="G446" s="36" t="s">
        <v>1091</v>
      </c>
      <c r="H446" s="37" t="s">
        <v>95</v>
      </c>
      <c r="I446" s="37" t="s">
        <v>81</v>
      </c>
      <c r="J446" s="37" t="s">
        <v>82</v>
      </c>
      <c r="K446" s="37" t="s">
        <v>87</v>
      </c>
      <c r="L446" s="36" t="s">
        <v>84</v>
      </c>
      <c r="M446" s="34">
        <v>320.49</v>
      </c>
      <c r="N446" s="34">
        <v>263.13</v>
      </c>
      <c r="O446" s="34">
        <v>57.37</v>
      </c>
      <c r="P446" s="34">
        <v>44.69</v>
      </c>
      <c r="Q446" s="34">
        <v>-10.19</v>
      </c>
      <c r="R446" s="34">
        <v>-8.27</v>
      </c>
      <c r="S446" s="34">
        <v>-8.27</v>
      </c>
      <c r="T446" s="34">
        <v>-19.28</v>
      </c>
      <c r="U446" s="34">
        <v>94.33</v>
      </c>
      <c r="V446" s="34">
        <v>-4.41</v>
      </c>
      <c r="W446" s="34">
        <v>0.9</v>
      </c>
      <c r="X446" s="34">
        <v>4.59</v>
      </c>
      <c r="Y446" s="35">
        <v>-3.6595</v>
      </c>
      <c r="Z446" s="35">
        <v>-20.444199999999999</v>
      </c>
      <c r="AA446" s="35">
        <v>-26.246600000000001</v>
      </c>
    </row>
    <row r="447" spans="1:27" ht="15.75" hidden="1" customHeight="1" x14ac:dyDescent="0.2">
      <c r="A447" s="2"/>
      <c r="B447" s="31">
        <v>442</v>
      </c>
      <c r="C447" s="36" t="s">
        <v>991</v>
      </c>
      <c r="D447" s="36" t="s">
        <v>1078</v>
      </c>
      <c r="E447" s="36" t="s">
        <v>1079</v>
      </c>
      <c r="F447" s="36" t="s">
        <v>1092</v>
      </c>
      <c r="G447" s="36" t="s">
        <v>1093</v>
      </c>
      <c r="H447" s="37" t="s">
        <v>95</v>
      </c>
      <c r="I447" s="37" t="s">
        <v>81</v>
      </c>
      <c r="J447" s="37" t="s">
        <v>578</v>
      </c>
      <c r="K447" s="37" t="s">
        <v>87</v>
      </c>
      <c r="L447" s="36" t="s">
        <v>84</v>
      </c>
      <c r="M447" s="34">
        <v>404.95</v>
      </c>
      <c r="N447" s="34">
        <v>911.1</v>
      </c>
      <c r="O447" s="34">
        <v>-506.16</v>
      </c>
      <c r="P447" s="34">
        <v>87.37</v>
      </c>
      <c r="Q447" s="34">
        <v>-30.54</v>
      </c>
      <c r="R447" s="34">
        <v>-30.54</v>
      </c>
      <c r="S447" s="34">
        <v>-30.54</v>
      </c>
      <c r="T447" s="34">
        <v>-1172.19</v>
      </c>
      <c r="U447" s="34">
        <v>-3893.52</v>
      </c>
      <c r="V447" s="34">
        <v>-0.21</v>
      </c>
      <c r="W447" s="34">
        <v>-0.06</v>
      </c>
      <c r="X447" s="34">
        <v>-1.8</v>
      </c>
      <c r="Y447" s="35">
        <v>-37.630899999999997</v>
      </c>
      <c r="Z447" s="35" t="s">
        <v>95</v>
      </c>
      <c r="AA447" s="35">
        <v>-174.4161</v>
      </c>
    </row>
    <row r="448" spans="1:27" ht="15.75" hidden="1" customHeight="1" x14ac:dyDescent="0.2">
      <c r="A448" s="2"/>
      <c r="B448" s="31">
        <v>443</v>
      </c>
      <c r="C448" s="36" t="s">
        <v>991</v>
      </c>
      <c r="D448" s="36" t="s">
        <v>1078</v>
      </c>
      <c r="E448" s="36" t="s">
        <v>1079</v>
      </c>
      <c r="F448" s="36" t="s">
        <v>1094</v>
      </c>
      <c r="G448" s="36" t="s">
        <v>1095</v>
      </c>
      <c r="H448" s="37" t="s">
        <v>95</v>
      </c>
      <c r="I448" s="37" t="s">
        <v>81</v>
      </c>
      <c r="J448" s="37" t="s">
        <v>578</v>
      </c>
      <c r="K448" s="37" t="s">
        <v>87</v>
      </c>
      <c r="L448" s="36" t="s">
        <v>84</v>
      </c>
      <c r="M448" s="34">
        <v>404.95</v>
      </c>
      <c r="N448" s="34">
        <v>911.1</v>
      </c>
      <c r="O448" s="34">
        <v>-506.16</v>
      </c>
      <c r="P448" s="34">
        <v>87.37</v>
      </c>
      <c r="Q448" s="34">
        <v>-30.54</v>
      </c>
      <c r="R448" s="34">
        <v>-30.54</v>
      </c>
      <c r="S448" s="34">
        <v>-30.54</v>
      </c>
      <c r="T448" s="34">
        <v>-2176.9299999999998</v>
      </c>
      <c r="U448" s="34">
        <v>-7230.83</v>
      </c>
      <c r="V448" s="34">
        <v>-7.0000000000000007E-2</v>
      </c>
      <c r="W448" s="34">
        <v>-0.02</v>
      </c>
      <c r="X448" s="34">
        <v>-1.8</v>
      </c>
      <c r="Y448" s="35">
        <v>-37.630899999999997</v>
      </c>
      <c r="Z448" s="35" t="s">
        <v>95</v>
      </c>
      <c r="AA448" s="35">
        <v>-174.4161</v>
      </c>
    </row>
    <row r="449" spans="1:27" ht="15.75" hidden="1" customHeight="1" x14ac:dyDescent="0.2">
      <c r="A449" s="2"/>
      <c r="B449" s="31">
        <v>444</v>
      </c>
      <c r="C449" s="36" t="s">
        <v>991</v>
      </c>
      <c r="D449" s="36" t="s">
        <v>1096</v>
      </c>
      <c r="E449" s="36" t="s">
        <v>1097</v>
      </c>
      <c r="F449" s="36" t="s">
        <v>1098</v>
      </c>
      <c r="G449" s="36" t="s">
        <v>1099</v>
      </c>
      <c r="H449" s="37" t="s">
        <v>95</v>
      </c>
      <c r="I449" s="37" t="s">
        <v>81</v>
      </c>
      <c r="J449" s="37" t="s">
        <v>82</v>
      </c>
      <c r="K449" s="37" t="s">
        <v>87</v>
      </c>
      <c r="L449" s="36" t="s">
        <v>84</v>
      </c>
      <c r="M449" s="34">
        <v>1273.97</v>
      </c>
      <c r="N449" s="34">
        <v>814.66</v>
      </c>
      <c r="O449" s="34">
        <v>459.31</v>
      </c>
      <c r="P449" s="34">
        <v>1014.73</v>
      </c>
      <c r="Q449" s="34">
        <v>28.13</v>
      </c>
      <c r="R449" s="34">
        <v>23.41</v>
      </c>
      <c r="S449" s="34">
        <v>23.41</v>
      </c>
      <c r="T449" s="34">
        <v>33.479999999999997</v>
      </c>
      <c r="U449" s="34">
        <v>357.01</v>
      </c>
      <c r="V449" s="34">
        <v>5.1100000000000003</v>
      </c>
      <c r="W449" s="34">
        <v>0.48</v>
      </c>
      <c r="X449" s="34">
        <v>1.77</v>
      </c>
      <c r="Y449" s="35">
        <v>3.3807999999999998</v>
      </c>
      <c r="Z449" s="35">
        <v>9.3772000000000002</v>
      </c>
      <c r="AA449" s="35">
        <v>4.2445000000000004</v>
      </c>
    </row>
    <row r="450" spans="1:27" ht="15.75" hidden="1" customHeight="1" x14ac:dyDescent="0.2">
      <c r="A450" s="2"/>
      <c r="B450" s="31">
        <v>445</v>
      </c>
      <c r="C450" s="36" t="s">
        <v>991</v>
      </c>
      <c r="D450" s="36" t="s">
        <v>1078</v>
      </c>
      <c r="E450" s="36" t="s">
        <v>1079</v>
      </c>
      <c r="F450" s="36" t="s">
        <v>1100</v>
      </c>
      <c r="G450" s="36" t="s">
        <v>1101</v>
      </c>
      <c r="H450" s="37" t="s">
        <v>95</v>
      </c>
      <c r="I450" s="37" t="s">
        <v>81</v>
      </c>
      <c r="J450" s="37" t="s">
        <v>82</v>
      </c>
      <c r="K450" s="37" t="s">
        <v>87</v>
      </c>
      <c r="L450" s="36" t="s">
        <v>84</v>
      </c>
      <c r="M450" s="34">
        <v>778.85</v>
      </c>
      <c r="N450" s="34">
        <v>501.54</v>
      </c>
      <c r="O450" s="34">
        <v>277.31</v>
      </c>
      <c r="P450" s="34">
        <v>214.24</v>
      </c>
      <c r="Q450" s="34">
        <v>9.66</v>
      </c>
      <c r="R450" s="34">
        <v>9.66</v>
      </c>
      <c r="S450" s="34">
        <v>9.66</v>
      </c>
      <c r="T450" s="34">
        <v>8.27</v>
      </c>
      <c r="U450" s="34">
        <v>137.61000000000001</v>
      </c>
      <c r="V450" s="34">
        <v>11.96</v>
      </c>
      <c r="W450" s="34">
        <v>0.72</v>
      </c>
      <c r="X450" s="34">
        <v>1.81</v>
      </c>
      <c r="Y450" s="35">
        <v>2.141</v>
      </c>
      <c r="Z450" s="35">
        <v>6.0133000000000001</v>
      </c>
      <c r="AA450" s="35">
        <v>7.7836999999999996</v>
      </c>
    </row>
    <row r="451" spans="1:27" ht="15.75" hidden="1" customHeight="1" x14ac:dyDescent="0.2">
      <c r="A451" s="2"/>
      <c r="B451" s="31">
        <v>446</v>
      </c>
      <c r="C451" s="36" t="s">
        <v>991</v>
      </c>
      <c r="D451" s="36" t="s">
        <v>1096</v>
      </c>
      <c r="E451" s="36" t="s">
        <v>1097</v>
      </c>
      <c r="F451" s="36" t="s">
        <v>1102</v>
      </c>
      <c r="G451" s="36" t="s">
        <v>1103</v>
      </c>
      <c r="H451" s="37" t="s">
        <v>95</v>
      </c>
      <c r="I451" s="37" t="s">
        <v>81</v>
      </c>
      <c r="J451" s="37" t="s">
        <v>82</v>
      </c>
      <c r="K451" s="37" t="s">
        <v>87</v>
      </c>
      <c r="L451" s="36" t="s">
        <v>84</v>
      </c>
      <c r="M451" s="34">
        <v>6804.78</v>
      </c>
      <c r="N451" s="34">
        <v>4202.76</v>
      </c>
      <c r="O451" s="34">
        <v>2602.02</v>
      </c>
      <c r="P451" s="34">
        <v>15051.32</v>
      </c>
      <c r="Q451" s="34">
        <v>449.12</v>
      </c>
      <c r="R451" s="34">
        <v>348.95</v>
      </c>
      <c r="S451" s="34">
        <v>348.51</v>
      </c>
      <c r="T451" s="34">
        <v>127.04</v>
      </c>
      <c r="U451" s="34">
        <v>565.01</v>
      </c>
      <c r="V451" s="34">
        <v>7.2</v>
      </c>
      <c r="W451" s="34">
        <v>1.62</v>
      </c>
      <c r="X451" s="34">
        <v>1.62</v>
      </c>
      <c r="Y451" s="35">
        <v>8.5977999999999994</v>
      </c>
      <c r="Z451" s="35">
        <v>22.4849</v>
      </c>
      <c r="AA451" s="35">
        <v>3.8871000000000002</v>
      </c>
    </row>
    <row r="452" spans="1:27" ht="15.75" hidden="1" customHeight="1" x14ac:dyDescent="0.2">
      <c r="A452" s="2"/>
      <c r="B452" s="31">
        <v>447</v>
      </c>
      <c r="C452" s="36" t="s">
        <v>991</v>
      </c>
      <c r="D452" s="36" t="s">
        <v>1078</v>
      </c>
      <c r="E452" s="36" t="s">
        <v>1079</v>
      </c>
      <c r="F452" s="36" t="s">
        <v>1104</v>
      </c>
      <c r="G452" s="36" t="s">
        <v>1105</v>
      </c>
      <c r="H452" s="37" t="s">
        <v>80</v>
      </c>
      <c r="I452" s="37" t="s">
        <v>81</v>
      </c>
      <c r="J452" s="37" t="s">
        <v>82</v>
      </c>
      <c r="K452" s="37" t="s">
        <v>87</v>
      </c>
      <c r="L452" s="36" t="s">
        <v>84</v>
      </c>
      <c r="M452" s="34">
        <v>12273.39</v>
      </c>
      <c r="N452" s="34">
        <v>5887.96</v>
      </c>
      <c r="O452" s="34">
        <v>6385.43</v>
      </c>
      <c r="P452" s="34">
        <v>5950.84</v>
      </c>
      <c r="Q452" s="34">
        <v>-204.74</v>
      </c>
      <c r="R452" s="34">
        <v>-155.93</v>
      </c>
      <c r="S452" s="34">
        <v>-155.88999999999999</v>
      </c>
      <c r="T452" s="34">
        <v>-460.2</v>
      </c>
      <c r="U452" s="34">
        <v>9758.41</v>
      </c>
      <c r="V452" s="34">
        <v>-7.04</v>
      </c>
      <c r="W452" s="34">
        <v>0.33</v>
      </c>
      <c r="X452" s="34">
        <v>0.92</v>
      </c>
      <c r="Y452" s="35">
        <v>-2.4535</v>
      </c>
      <c r="Z452" s="35">
        <v>-4.7159000000000004</v>
      </c>
      <c r="AA452" s="35">
        <v>-5.0602999999999998</v>
      </c>
    </row>
    <row r="453" spans="1:27" ht="15.75" hidden="1" customHeight="1" x14ac:dyDescent="0.2">
      <c r="A453" s="2"/>
      <c r="B453" s="31">
        <v>448</v>
      </c>
      <c r="C453" s="36" t="s">
        <v>991</v>
      </c>
      <c r="D453" s="36" t="s">
        <v>1078</v>
      </c>
      <c r="E453" s="36" t="s">
        <v>1079</v>
      </c>
      <c r="F453" s="36" t="s">
        <v>1106</v>
      </c>
      <c r="G453" s="36" t="s">
        <v>1107</v>
      </c>
      <c r="H453" s="37" t="s">
        <v>95</v>
      </c>
      <c r="I453" s="37" t="s">
        <v>81</v>
      </c>
      <c r="J453" s="37" t="s">
        <v>82</v>
      </c>
      <c r="K453" s="37" t="s">
        <v>87</v>
      </c>
      <c r="L453" s="36" t="s">
        <v>84</v>
      </c>
      <c r="M453" s="34">
        <v>976.35</v>
      </c>
      <c r="N453" s="34">
        <v>682.16</v>
      </c>
      <c r="O453" s="34">
        <v>294.19</v>
      </c>
      <c r="P453" s="34">
        <v>285.20999999999998</v>
      </c>
      <c r="Q453" s="34">
        <v>-28.52</v>
      </c>
      <c r="R453" s="34">
        <v>-18.88</v>
      </c>
      <c r="S453" s="34">
        <v>-18.88</v>
      </c>
      <c r="T453" s="34">
        <v>32.94</v>
      </c>
      <c r="U453" s="34">
        <v>162.69</v>
      </c>
      <c r="V453" s="34">
        <v>2.88</v>
      </c>
      <c r="W453" s="34">
        <v>0.57999999999999996</v>
      </c>
      <c r="X453" s="34">
        <v>2.3199999999999998</v>
      </c>
      <c r="Y453" s="35">
        <v>6.0997000000000003</v>
      </c>
      <c r="Z453" s="35">
        <v>20.243500000000001</v>
      </c>
      <c r="AA453" s="35">
        <v>20.8811</v>
      </c>
    </row>
    <row r="454" spans="1:27" ht="15.75" hidden="1" customHeight="1" x14ac:dyDescent="0.2">
      <c r="A454" s="2"/>
      <c r="B454" s="31">
        <v>449</v>
      </c>
      <c r="C454" s="36" t="s">
        <v>991</v>
      </c>
      <c r="D454" s="36" t="s">
        <v>1078</v>
      </c>
      <c r="E454" s="36" t="s">
        <v>1079</v>
      </c>
      <c r="F454" s="36" t="s">
        <v>1108</v>
      </c>
      <c r="G454" s="36" t="s">
        <v>1109</v>
      </c>
      <c r="H454" s="37" t="s">
        <v>95</v>
      </c>
      <c r="I454" s="37" t="s">
        <v>81</v>
      </c>
      <c r="J454" s="37" t="s">
        <v>82</v>
      </c>
      <c r="K454" s="37" t="s">
        <v>87</v>
      </c>
      <c r="L454" s="36" t="s">
        <v>84</v>
      </c>
      <c r="M454" s="34">
        <v>3266.79</v>
      </c>
      <c r="N454" s="34">
        <v>3863.81</v>
      </c>
      <c r="O454" s="34">
        <v>-597.02</v>
      </c>
      <c r="P454" s="34">
        <v>490.55</v>
      </c>
      <c r="Q454" s="34">
        <v>-15.34</v>
      </c>
      <c r="R454" s="34">
        <v>-15.34</v>
      </c>
      <c r="S454" s="34">
        <v>-14.82</v>
      </c>
      <c r="T454" s="34">
        <v>-31.25</v>
      </c>
      <c r="U454" s="34">
        <v>-77.06</v>
      </c>
      <c r="V454" s="34">
        <v>-1.1499999999999999</v>
      </c>
      <c r="W454" s="34">
        <v>-0.47</v>
      </c>
      <c r="X454" s="34">
        <v>-6.47</v>
      </c>
      <c r="Y454" s="35">
        <v>-7.4109999999999996</v>
      </c>
      <c r="Z454" s="35" t="s">
        <v>95</v>
      </c>
      <c r="AA454" s="35">
        <v>-49.353400000000001</v>
      </c>
    </row>
    <row r="455" spans="1:27" ht="15.75" hidden="1" customHeight="1" x14ac:dyDescent="0.2">
      <c r="A455" s="2"/>
      <c r="B455" s="31">
        <v>450</v>
      </c>
      <c r="C455" s="36" t="s">
        <v>991</v>
      </c>
      <c r="D455" s="36" t="s">
        <v>1096</v>
      </c>
      <c r="E455" s="36" t="s">
        <v>1097</v>
      </c>
      <c r="F455" s="36" t="s">
        <v>1110</v>
      </c>
      <c r="G455" s="36" t="s">
        <v>1111</v>
      </c>
      <c r="H455" s="37" t="s">
        <v>95</v>
      </c>
      <c r="I455" s="37" t="s">
        <v>81</v>
      </c>
      <c r="J455" s="37" t="s">
        <v>82</v>
      </c>
      <c r="K455" s="37" t="s">
        <v>87</v>
      </c>
      <c r="L455" s="36" t="s">
        <v>84</v>
      </c>
      <c r="M455" s="34">
        <v>4268.92</v>
      </c>
      <c r="N455" s="34">
        <v>2205.48</v>
      </c>
      <c r="O455" s="34">
        <v>2063.44</v>
      </c>
      <c r="P455" s="34">
        <v>1949.58</v>
      </c>
      <c r="Q455" s="34">
        <v>1529.58</v>
      </c>
      <c r="R455" s="34">
        <v>1510.68</v>
      </c>
      <c r="S455" s="34">
        <v>1535.98</v>
      </c>
      <c r="T455" s="34">
        <v>67.400000000000006</v>
      </c>
      <c r="U455" s="34">
        <v>96.05</v>
      </c>
      <c r="V455" s="34">
        <v>0.57999999999999996</v>
      </c>
      <c r="W455" s="34">
        <v>0.41</v>
      </c>
      <c r="X455" s="34">
        <v>1.07</v>
      </c>
      <c r="Y455" s="35">
        <v>33.915300000000002</v>
      </c>
      <c r="Z455" s="35">
        <v>70.165099999999995</v>
      </c>
      <c r="AA455" s="35">
        <v>74.263000000000005</v>
      </c>
    </row>
    <row r="456" spans="1:27" ht="15.75" hidden="1" customHeight="1" x14ac:dyDescent="0.2">
      <c r="A456" s="2"/>
      <c r="B456" s="31">
        <v>451</v>
      </c>
      <c r="C456" s="36" t="s">
        <v>991</v>
      </c>
      <c r="D456" s="36" t="s">
        <v>1096</v>
      </c>
      <c r="E456" s="36" t="s">
        <v>1097</v>
      </c>
      <c r="F456" s="36" t="s">
        <v>1112</v>
      </c>
      <c r="G456" s="36" t="s">
        <v>1113</v>
      </c>
      <c r="H456" s="37" t="s">
        <v>95</v>
      </c>
      <c r="I456" s="37" t="s">
        <v>81</v>
      </c>
      <c r="J456" s="37" t="s">
        <v>82</v>
      </c>
      <c r="K456" s="37" t="s">
        <v>87</v>
      </c>
      <c r="L456" s="36" t="s">
        <v>84</v>
      </c>
      <c r="M456" s="34">
        <v>214.45</v>
      </c>
      <c r="N456" s="34">
        <v>82.15</v>
      </c>
      <c r="O456" s="34">
        <v>132.31</v>
      </c>
      <c r="P456" s="34">
        <v>77.59</v>
      </c>
      <c r="Q456" s="34">
        <v>8.66</v>
      </c>
      <c r="R456" s="34">
        <v>6.79</v>
      </c>
      <c r="S456" s="34">
        <v>6.79</v>
      </c>
      <c r="T456" s="34">
        <v>-0.66</v>
      </c>
      <c r="U456" s="34">
        <v>176.41</v>
      </c>
      <c r="V456" s="34">
        <v>-17724.349999999999</v>
      </c>
      <c r="W456" s="34">
        <v>66.040000000000006</v>
      </c>
      <c r="X456" s="34">
        <v>0.62</v>
      </c>
      <c r="Y456" s="35">
        <v>-0.22989999999999999</v>
      </c>
      <c r="Z456" s="35">
        <v>-0.37259999999999999</v>
      </c>
      <c r="AA456" s="35">
        <v>-0.63529999999999998</v>
      </c>
    </row>
    <row r="457" spans="1:27" ht="15.75" hidden="1" customHeight="1" x14ac:dyDescent="0.2">
      <c r="A457" s="2"/>
      <c r="B457" s="31">
        <v>452</v>
      </c>
      <c r="C457" s="36" t="s">
        <v>991</v>
      </c>
      <c r="D457" s="36" t="s">
        <v>1078</v>
      </c>
      <c r="E457" s="36" t="s">
        <v>1079</v>
      </c>
      <c r="F457" s="36" t="s">
        <v>1114</v>
      </c>
      <c r="G457" s="36" t="s">
        <v>1115</v>
      </c>
      <c r="H457" s="37" t="s">
        <v>95</v>
      </c>
      <c r="I457" s="37" t="s">
        <v>81</v>
      </c>
      <c r="J457" s="37" t="s">
        <v>82</v>
      </c>
      <c r="K457" s="37" t="s">
        <v>87</v>
      </c>
      <c r="L457" s="36" t="s">
        <v>84</v>
      </c>
      <c r="M457" s="34">
        <v>1653.28</v>
      </c>
      <c r="N457" s="34">
        <v>18089.93</v>
      </c>
      <c r="O457" s="34">
        <v>-16436.66</v>
      </c>
      <c r="P457" s="34">
        <v>367.71</v>
      </c>
      <c r="Q457" s="34">
        <v>-157.97</v>
      </c>
      <c r="R457" s="34">
        <v>-155.9</v>
      </c>
      <c r="S457" s="34">
        <v>-155.9</v>
      </c>
      <c r="T457" s="34">
        <v>-362.4</v>
      </c>
      <c r="U457" s="34">
        <v>-6585.85</v>
      </c>
      <c r="V457" s="34">
        <v>-0.09</v>
      </c>
      <c r="W457" s="34">
        <v>-0.01</v>
      </c>
      <c r="X457" s="34">
        <v>-1.1000000000000001</v>
      </c>
      <c r="Y457" s="35">
        <v>-54.706699999999998</v>
      </c>
      <c r="Z457" s="35" t="s">
        <v>95</v>
      </c>
      <c r="AA457" s="35">
        <v>-245.9718</v>
      </c>
    </row>
    <row r="458" spans="1:27" ht="15.75" hidden="1" customHeight="1" x14ac:dyDescent="0.2">
      <c r="A458" s="2"/>
      <c r="B458" s="31">
        <v>453</v>
      </c>
      <c r="C458" s="36" t="s">
        <v>991</v>
      </c>
      <c r="D458" s="36" t="s">
        <v>1096</v>
      </c>
      <c r="E458" s="36" t="s">
        <v>1097</v>
      </c>
      <c r="F458" s="36" t="s">
        <v>1116</v>
      </c>
      <c r="G458" s="36" t="s">
        <v>1117</v>
      </c>
      <c r="H458" s="37" t="s">
        <v>95</v>
      </c>
      <c r="I458" s="37" t="s">
        <v>81</v>
      </c>
      <c r="J458" s="37" t="s">
        <v>82</v>
      </c>
      <c r="K458" s="37" t="s">
        <v>87</v>
      </c>
      <c r="L458" s="36" t="s">
        <v>84</v>
      </c>
      <c r="M458" s="34">
        <v>1376.46</v>
      </c>
      <c r="N458" s="34">
        <v>1574.06</v>
      </c>
      <c r="O458" s="34">
        <v>-197.6</v>
      </c>
      <c r="P458" s="34">
        <v>329.29</v>
      </c>
      <c r="Q458" s="34">
        <v>-110.53</v>
      </c>
      <c r="R458" s="34">
        <v>-110.98</v>
      </c>
      <c r="S458" s="34">
        <v>-106.25</v>
      </c>
      <c r="T458" s="34">
        <v>-239.74</v>
      </c>
      <c r="U458" s="34">
        <v>-307.92</v>
      </c>
      <c r="V458" s="34">
        <v>-0.3</v>
      </c>
      <c r="W458" s="34">
        <v>-0.24</v>
      </c>
      <c r="X458" s="34">
        <v>-7.97</v>
      </c>
      <c r="Y458" s="35">
        <v>-11.177099999999999</v>
      </c>
      <c r="Z458" s="35" t="s">
        <v>95</v>
      </c>
      <c r="AA458" s="35">
        <v>-46.721800000000002</v>
      </c>
    </row>
    <row r="459" spans="1:27" ht="15.75" hidden="1" customHeight="1" x14ac:dyDescent="0.2">
      <c r="A459" s="2"/>
      <c r="B459" s="31">
        <v>454</v>
      </c>
      <c r="C459" s="36" t="s">
        <v>991</v>
      </c>
      <c r="D459" s="36" t="s">
        <v>1078</v>
      </c>
      <c r="E459" s="36" t="s">
        <v>1079</v>
      </c>
      <c r="F459" s="36" t="s">
        <v>1118</v>
      </c>
      <c r="G459" s="36" t="s">
        <v>1119</v>
      </c>
      <c r="H459" s="37" t="s">
        <v>95</v>
      </c>
      <c r="I459" s="37" t="s">
        <v>127</v>
      </c>
      <c r="J459" s="37" t="s">
        <v>82</v>
      </c>
      <c r="K459" s="37" t="s">
        <v>87</v>
      </c>
      <c r="L459" s="36" t="s">
        <v>84</v>
      </c>
      <c r="M459" s="34">
        <v>643.07000000000005</v>
      </c>
      <c r="N459" s="34">
        <v>495.54</v>
      </c>
      <c r="O459" s="34">
        <v>147.53</v>
      </c>
      <c r="P459" s="34">
        <v>11.09</v>
      </c>
      <c r="Q459" s="34">
        <v>-30.82</v>
      </c>
      <c r="R459" s="34">
        <v>-23.88</v>
      </c>
      <c r="S459" s="34">
        <v>-23.88</v>
      </c>
      <c r="T459" s="34">
        <v>-15.37</v>
      </c>
      <c r="U459" s="34">
        <v>31.04</v>
      </c>
      <c r="V459" s="34">
        <v>-7.0000000000000007E-2</v>
      </c>
      <c r="W459" s="34">
        <v>0.03</v>
      </c>
      <c r="X459" s="34">
        <v>3.36</v>
      </c>
      <c r="Y459" s="35">
        <v>-11.361000000000001</v>
      </c>
      <c r="Z459" s="35">
        <v>-49.522399999999998</v>
      </c>
      <c r="AA459" s="35">
        <v>-659.04079999999999</v>
      </c>
    </row>
    <row r="460" spans="1:27" ht="15.75" hidden="1" customHeight="1" x14ac:dyDescent="0.2">
      <c r="A460" s="2"/>
      <c r="B460" s="31">
        <v>455</v>
      </c>
      <c r="C460" s="36" t="s">
        <v>991</v>
      </c>
      <c r="D460" s="36" t="s">
        <v>1078</v>
      </c>
      <c r="E460" s="36" t="s">
        <v>1079</v>
      </c>
      <c r="F460" s="36" t="s">
        <v>1120</v>
      </c>
      <c r="G460" s="36" t="s">
        <v>1121</v>
      </c>
      <c r="H460" s="37" t="s">
        <v>95</v>
      </c>
      <c r="I460" s="37" t="s">
        <v>81</v>
      </c>
      <c r="J460" s="37" t="s">
        <v>82</v>
      </c>
      <c r="K460" s="37" t="s">
        <v>87</v>
      </c>
      <c r="L460" s="36" t="s">
        <v>84</v>
      </c>
      <c r="M460" s="34">
        <v>54.95</v>
      </c>
      <c r="N460" s="34">
        <v>5.69</v>
      </c>
      <c r="O460" s="34">
        <v>49.26</v>
      </c>
      <c r="P460" s="34">
        <v>23.75</v>
      </c>
      <c r="Q460" s="34">
        <v>1.36</v>
      </c>
      <c r="R460" s="34">
        <v>1.1499999999999999</v>
      </c>
      <c r="S460" s="34">
        <v>1.1499999999999999</v>
      </c>
      <c r="T460" s="34">
        <v>3.08</v>
      </c>
      <c r="U460" s="34">
        <v>61.57</v>
      </c>
      <c r="V460" s="34">
        <v>32.119999999999997</v>
      </c>
      <c r="W460" s="34">
        <v>1.61</v>
      </c>
      <c r="X460" s="34">
        <v>0.12</v>
      </c>
      <c r="Y460" s="35">
        <v>4.4866999999999999</v>
      </c>
      <c r="Z460" s="35">
        <v>5.0053000000000001</v>
      </c>
      <c r="AA460" s="35">
        <v>10.3809</v>
      </c>
    </row>
    <row r="461" spans="1:27" ht="15.75" hidden="1" customHeight="1" x14ac:dyDescent="0.2">
      <c r="A461" s="2"/>
      <c r="B461" s="31">
        <v>456</v>
      </c>
      <c r="C461" s="36" t="s">
        <v>991</v>
      </c>
      <c r="D461" s="36" t="s">
        <v>1078</v>
      </c>
      <c r="E461" s="36" t="s">
        <v>1079</v>
      </c>
      <c r="F461" s="36" t="s">
        <v>1122</v>
      </c>
      <c r="G461" s="36" t="s">
        <v>1123</v>
      </c>
      <c r="H461" s="37" t="s">
        <v>95</v>
      </c>
      <c r="I461" s="37" t="s">
        <v>338</v>
      </c>
      <c r="J461" s="37" t="s">
        <v>82</v>
      </c>
      <c r="K461" s="37" t="s">
        <v>87</v>
      </c>
      <c r="L461" s="36" t="s">
        <v>84</v>
      </c>
      <c r="M461" s="34">
        <v>8995.73</v>
      </c>
      <c r="N461" s="34">
        <v>24455.85</v>
      </c>
      <c r="O461" s="34">
        <v>-15460.12</v>
      </c>
      <c r="P461" s="34">
        <v>3042.87</v>
      </c>
      <c r="Q461" s="34">
        <v>-993.09</v>
      </c>
      <c r="R461" s="34">
        <v>-1000.25</v>
      </c>
      <c r="S461" s="34">
        <v>-1000.25</v>
      </c>
      <c r="T461" s="34">
        <v>-93.66</v>
      </c>
      <c r="U461" s="34">
        <v>-755.92</v>
      </c>
      <c r="V461" s="34">
        <v>-1.56</v>
      </c>
      <c r="W461" s="34">
        <v>-0.19</v>
      </c>
      <c r="X461" s="34">
        <v>-1.58</v>
      </c>
      <c r="Y461" s="35">
        <v>-21.292999999999999</v>
      </c>
      <c r="Z461" s="35" t="s">
        <v>95</v>
      </c>
      <c r="AA461" s="35">
        <v>-62.949100000000001</v>
      </c>
    </row>
    <row r="462" spans="1:27" ht="15.75" hidden="1" customHeight="1" x14ac:dyDescent="0.2">
      <c r="A462" s="2"/>
      <c r="B462" s="31">
        <v>457</v>
      </c>
      <c r="C462" s="36" t="s">
        <v>991</v>
      </c>
      <c r="D462" s="36" t="s">
        <v>1078</v>
      </c>
      <c r="E462" s="36" t="s">
        <v>1079</v>
      </c>
      <c r="F462" s="36" t="s">
        <v>1124</v>
      </c>
      <c r="G462" s="36" t="s">
        <v>1125</v>
      </c>
      <c r="H462" s="37" t="s">
        <v>80</v>
      </c>
      <c r="I462" s="37" t="s">
        <v>81</v>
      </c>
      <c r="J462" s="37" t="s">
        <v>82</v>
      </c>
      <c r="K462" s="37" t="s">
        <v>87</v>
      </c>
      <c r="L462" s="36" t="s">
        <v>84</v>
      </c>
      <c r="M462" s="34">
        <v>371.45</v>
      </c>
      <c r="N462" s="34">
        <v>150.31</v>
      </c>
      <c r="O462" s="34">
        <v>221.14</v>
      </c>
      <c r="P462" s="34">
        <v>124.23</v>
      </c>
      <c r="Q462" s="34">
        <v>1.75</v>
      </c>
      <c r="R462" s="34">
        <v>1.32</v>
      </c>
      <c r="S462" s="34">
        <v>1.32</v>
      </c>
      <c r="T462" s="34">
        <v>-22.36</v>
      </c>
      <c r="U462" s="34">
        <v>188.86</v>
      </c>
      <c r="V462" s="34">
        <v>-12.52</v>
      </c>
      <c r="W462" s="34">
        <v>1.48</v>
      </c>
      <c r="X462" s="34">
        <v>0.68</v>
      </c>
      <c r="Y462" s="35">
        <v>-7.0472000000000001</v>
      </c>
      <c r="Z462" s="35">
        <v>-11.837400000000001</v>
      </c>
      <c r="AA462" s="35">
        <v>-21.0703</v>
      </c>
    </row>
    <row r="463" spans="1:27" ht="15.75" hidden="1" customHeight="1" x14ac:dyDescent="0.2">
      <c r="A463" s="2"/>
      <c r="B463" s="31">
        <v>458</v>
      </c>
      <c r="C463" s="36" t="s">
        <v>991</v>
      </c>
      <c r="D463" s="36" t="s">
        <v>1078</v>
      </c>
      <c r="E463" s="36" t="s">
        <v>1079</v>
      </c>
      <c r="F463" s="36" t="s">
        <v>1126</v>
      </c>
      <c r="G463" s="36" t="s">
        <v>1127</v>
      </c>
      <c r="H463" s="37" t="s">
        <v>80</v>
      </c>
      <c r="I463" s="37" t="s">
        <v>81</v>
      </c>
      <c r="J463" s="37" t="s">
        <v>82</v>
      </c>
      <c r="K463" s="37" t="s">
        <v>87</v>
      </c>
      <c r="L463" s="36" t="s">
        <v>84</v>
      </c>
      <c r="M463" s="34">
        <v>5538.79</v>
      </c>
      <c r="N463" s="34">
        <v>392.63</v>
      </c>
      <c r="O463" s="34">
        <v>5146.16</v>
      </c>
      <c r="P463" s="34">
        <v>1502.13</v>
      </c>
      <c r="Q463" s="34">
        <v>62.63</v>
      </c>
      <c r="R463" s="34">
        <v>55.89</v>
      </c>
      <c r="S463" s="34">
        <v>55.89</v>
      </c>
      <c r="T463" s="34">
        <v>22.01</v>
      </c>
      <c r="U463" s="34">
        <v>1066.99</v>
      </c>
      <c r="V463" s="34">
        <v>22.71</v>
      </c>
      <c r="W463" s="34">
        <v>0.47</v>
      </c>
      <c r="X463" s="34">
        <v>0.08</v>
      </c>
      <c r="Y463" s="35">
        <v>1.9168000000000001</v>
      </c>
      <c r="Z463" s="35">
        <v>2.0630999999999999</v>
      </c>
      <c r="AA463" s="35">
        <v>7.0678999999999998</v>
      </c>
    </row>
    <row r="464" spans="1:27" ht="15.75" hidden="1" customHeight="1" x14ac:dyDescent="0.2">
      <c r="A464" s="2"/>
      <c r="B464" s="31">
        <v>459</v>
      </c>
      <c r="C464" s="36" t="s">
        <v>991</v>
      </c>
      <c r="D464" s="36" t="s">
        <v>1096</v>
      </c>
      <c r="E464" s="36" t="s">
        <v>1097</v>
      </c>
      <c r="F464" s="36" t="s">
        <v>1128</v>
      </c>
      <c r="G464" s="36" t="s">
        <v>1129</v>
      </c>
      <c r="H464" s="37" t="s">
        <v>80</v>
      </c>
      <c r="I464" s="37" t="s">
        <v>81</v>
      </c>
      <c r="J464" s="37" t="s">
        <v>82</v>
      </c>
      <c r="K464" s="37" t="s">
        <v>87</v>
      </c>
      <c r="L464" s="36" t="s">
        <v>84</v>
      </c>
      <c r="M464" s="34">
        <v>1269.8800000000001</v>
      </c>
      <c r="N464" s="34">
        <v>484.96</v>
      </c>
      <c r="O464" s="34">
        <v>784.91</v>
      </c>
      <c r="P464" s="34">
        <v>767.86</v>
      </c>
      <c r="Q464" s="34">
        <v>67.84</v>
      </c>
      <c r="R464" s="34">
        <v>51.58</v>
      </c>
      <c r="S464" s="34">
        <v>29.62</v>
      </c>
      <c r="T464" s="34">
        <v>17.55</v>
      </c>
      <c r="U464" s="34">
        <v>249.86</v>
      </c>
      <c r="V464" s="34">
        <v>10.83</v>
      </c>
      <c r="W464" s="34">
        <v>0.76</v>
      </c>
      <c r="X464" s="34">
        <v>0.62</v>
      </c>
      <c r="Y464" s="35">
        <v>4.3407999999999998</v>
      </c>
      <c r="Z464" s="35">
        <v>7.0227000000000004</v>
      </c>
      <c r="AA464" s="35">
        <v>7.1787000000000001</v>
      </c>
    </row>
    <row r="465" spans="1:27" ht="15.75" hidden="1" customHeight="1" x14ac:dyDescent="0.2">
      <c r="A465" s="2"/>
      <c r="B465" s="31">
        <v>460</v>
      </c>
      <c r="C465" s="36" t="s">
        <v>991</v>
      </c>
      <c r="D465" s="36" t="s">
        <v>1078</v>
      </c>
      <c r="E465" s="36" t="s">
        <v>1079</v>
      </c>
      <c r="F465" s="36" t="s">
        <v>1130</v>
      </c>
      <c r="G465" s="36" t="s">
        <v>1131</v>
      </c>
      <c r="H465" s="37" t="s">
        <v>95</v>
      </c>
      <c r="I465" s="37" t="s">
        <v>1132</v>
      </c>
      <c r="J465" s="37" t="s">
        <v>82</v>
      </c>
      <c r="K465" s="37" t="s">
        <v>87</v>
      </c>
      <c r="L465" s="36" t="s">
        <v>84</v>
      </c>
      <c r="M465" s="34">
        <v>363.63</v>
      </c>
      <c r="N465" s="34">
        <v>116.65</v>
      </c>
      <c r="O465" s="34">
        <v>246.98</v>
      </c>
      <c r="P465" s="34">
        <v>52.8</v>
      </c>
      <c r="Q465" s="34">
        <v>0.33</v>
      </c>
      <c r="R465" s="34">
        <v>0.25</v>
      </c>
      <c r="S465" s="34">
        <v>0.22</v>
      </c>
      <c r="T465" s="34">
        <v>4.53</v>
      </c>
      <c r="U465" s="34">
        <v>3274.66</v>
      </c>
      <c r="V465" s="34">
        <v>69.739999999999995</v>
      </c>
      <c r="W465" s="34">
        <v>0.1</v>
      </c>
      <c r="X465" s="34">
        <v>0.47</v>
      </c>
      <c r="Y465" s="35">
        <v>9.4E-2</v>
      </c>
      <c r="Z465" s="35">
        <v>0.1384</v>
      </c>
      <c r="AA465" s="35">
        <v>0.6472</v>
      </c>
    </row>
    <row r="466" spans="1:27" ht="15.75" hidden="1" customHeight="1" x14ac:dyDescent="0.2">
      <c r="A466" s="2"/>
      <c r="B466" s="31">
        <v>461</v>
      </c>
      <c r="C466" s="36" t="s">
        <v>991</v>
      </c>
      <c r="D466" s="36" t="s">
        <v>1133</v>
      </c>
      <c r="E466" s="36" t="s">
        <v>1134</v>
      </c>
      <c r="F466" s="36" t="s">
        <v>1135</v>
      </c>
      <c r="G466" s="36" t="s">
        <v>1136</v>
      </c>
      <c r="H466" s="37" t="s">
        <v>95</v>
      </c>
      <c r="I466" s="37" t="s">
        <v>81</v>
      </c>
      <c r="J466" s="37" t="s">
        <v>82</v>
      </c>
      <c r="K466" s="37" t="s">
        <v>87</v>
      </c>
      <c r="L466" s="36" t="s">
        <v>84</v>
      </c>
      <c r="M466" s="34">
        <v>702.93</v>
      </c>
      <c r="N466" s="34">
        <v>282.02999999999997</v>
      </c>
      <c r="O466" s="34">
        <v>420.9</v>
      </c>
      <c r="P466" s="34">
        <v>3.57</v>
      </c>
      <c r="Q466" s="34">
        <v>-0.71</v>
      </c>
      <c r="R466" s="34">
        <v>-0.71</v>
      </c>
      <c r="S466" s="34">
        <v>-0.71</v>
      </c>
      <c r="T466" s="34">
        <v>-1.4</v>
      </c>
      <c r="U466" s="34">
        <v>65.260000000000005</v>
      </c>
      <c r="V466" s="34">
        <v>-19.309999999999999</v>
      </c>
      <c r="W466" s="34">
        <v>0.41</v>
      </c>
      <c r="X466" s="34">
        <v>0.67</v>
      </c>
      <c r="Y466" s="35">
        <v>-1.2827</v>
      </c>
      <c r="Z466" s="35">
        <v>-2.1423000000000001</v>
      </c>
      <c r="AA466" s="35">
        <v>-252.83930000000001</v>
      </c>
    </row>
    <row r="467" spans="1:27" ht="15.75" hidden="1" customHeight="1" x14ac:dyDescent="0.2">
      <c r="A467" s="2"/>
      <c r="B467" s="31">
        <v>462</v>
      </c>
      <c r="C467" s="36" t="s">
        <v>991</v>
      </c>
      <c r="D467" s="36" t="s">
        <v>1133</v>
      </c>
      <c r="E467" s="36" t="s">
        <v>1134</v>
      </c>
      <c r="F467" s="36" t="s">
        <v>1137</v>
      </c>
      <c r="G467" s="36" t="s">
        <v>1138</v>
      </c>
      <c r="H467" s="37" t="s">
        <v>80</v>
      </c>
      <c r="I467" s="37" t="s">
        <v>81</v>
      </c>
      <c r="J467" s="37" t="s">
        <v>82</v>
      </c>
      <c r="K467" s="37" t="s">
        <v>83</v>
      </c>
      <c r="L467" s="36" t="s">
        <v>90</v>
      </c>
      <c r="M467" s="34">
        <v>279.66000000000003</v>
      </c>
      <c r="N467" s="34">
        <v>22.61</v>
      </c>
      <c r="O467" s="34">
        <v>257.05</v>
      </c>
      <c r="P467" s="34">
        <v>28.41</v>
      </c>
      <c r="Q467" s="34">
        <v>-5.4</v>
      </c>
      <c r="R467" s="34">
        <v>-5.34</v>
      </c>
      <c r="S467" s="34">
        <v>-7.18</v>
      </c>
      <c r="T467" s="34">
        <v>10.59</v>
      </c>
      <c r="U467" s="34">
        <v>575.47</v>
      </c>
      <c r="V467" s="34">
        <v>297.44</v>
      </c>
      <c r="W467" s="34">
        <v>5.47</v>
      </c>
      <c r="X467" s="34">
        <v>0.09</v>
      </c>
      <c r="Y467" s="35">
        <v>1.6915</v>
      </c>
      <c r="Z467" s="35">
        <v>1.8403</v>
      </c>
      <c r="AA467" s="35">
        <v>16.651700000000002</v>
      </c>
    </row>
    <row r="468" spans="1:27" ht="15.75" hidden="1" customHeight="1" x14ac:dyDescent="0.2">
      <c r="A468" s="2"/>
      <c r="B468" s="31">
        <v>463</v>
      </c>
      <c r="C468" s="36" t="s">
        <v>991</v>
      </c>
      <c r="D468" s="36" t="s">
        <v>1139</v>
      </c>
      <c r="E468" s="36" t="s">
        <v>1140</v>
      </c>
      <c r="F468" s="36" t="s">
        <v>1141</v>
      </c>
      <c r="G468" s="36" t="s">
        <v>1142</v>
      </c>
      <c r="H468" s="37" t="s">
        <v>80</v>
      </c>
      <c r="I468" s="37" t="s">
        <v>81</v>
      </c>
      <c r="J468" s="37" t="s">
        <v>82</v>
      </c>
      <c r="K468" s="37" t="s">
        <v>87</v>
      </c>
      <c r="L468" s="36" t="s">
        <v>84</v>
      </c>
      <c r="M468" s="34">
        <v>146.13</v>
      </c>
      <c r="N468" s="34">
        <v>13.27</v>
      </c>
      <c r="O468" s="34">
        <v>132.87</v>
      </c>
      <c r="P468" s="34">
        <v>104.6</v>
      </c>
      <c r="Q468" s="34">
        <v>4.8600000000000003</v>
      </c>
      <c r="R468" s="34">
        <v>3.66</v>
      </c>
      <c r="S468" s="34">
        <v>3.63</v>
      </c>
      <c r="T468" s="34">
        <v>3.68</v>
      </c>
      <c r="U468" s="34">
        <v>118.1</v>
      </c>
      <c r="V468" s="34">
        <v>32.92</v>
      </c>
      <c r="W468" s="34">
        <v>1.02</v>
      </c>
      <c r="X468" s="34">
        <v>0.1</v>
      </c>
      <c r="Y468" s="35">
        <v>2.8292999999999999</v>
      </c>
      <c r="Z468" s="35">
        <v>3.1118000000000001</v>
      </c>
      <c r="AA468" s="35">
        <v>3.9529000000000001</v>
      </c>
    </row>
    <row r="469" spans="1:27" ht="15.75" hidden="1" customHeight="1" x14ac:dyDescent="0.2">
      <c r="A469" s="2"/>
      <c r="B469" s="31">
        <v>464</v>
      </c>
      <c r="C469" s="36" t="s">
        <v>991</v>
      </c>
      <c r="D469" s="36" t="s">
        <v>1143</v>
      </c>
      <c r="E469" s="36" t="s">
        <v>1144</v>
      </c>
      <c r="F469" s="36" t="s">
        <v>1145</v>
      </c>
      <c r="G469" s="36" t="s">
        <v>1146</v>
      </c>
      <c r="H469" s="37" t="s">
        <v>80</v>
      </c>
      <c r="I469" s="37" t="s">
        <v>81</v>
      </c>
      <c r="J469" s="37" t="s">
        <v>82</v>
      </c>
      <c r="K469" s="37" t="s">
        <v>87</v>
      </c>
      <c r="L469" s="36" t="s">
        <v>84</v>
      </c>
      <c r="M469" s="34">
        <v>875.66</v>
      </c>
      <c r="N469" s="34">
        <v>367.52</v>
      </c>
      <c r="O469" s="34">
        <v>508.15</v>
      </c>
      <c r="P469" s="34">
        <v>1308.21</v>
      </c>
      <c r="Q469" s="34">
        <v>63.91</v>
      </c>
      <c r="R469" s="34">
        <v>51.44</v>
      </c>
      <c r="S469" s="34">
        <v>51.46</v>
      </c>
      <c r="T469" s="34">
        <v>289.89999999999998</v>
      </c>
      <c r="U469" s="34">
        <v>1438.61</v>
      </c>
      <c r="V469" s="34">
        <v>4.55</v>
      </c>
      <c r="W469" s="34">
        <v>0.92</v>
      </c>
      <c r="X469" s="34">
        <v>0.72</v>
      </c>
      <c r="Y469" s="35">
        <v>11.6936</v>
      </c>
      <c r="Z469" s="35">
        <v>20.1511</v>
      </c>
      <c r="AA469" s="35">
        <v>7.8273000000000001</v>
      </c>
    </row>
    <row r="470" spans="1:27" ht="15.75" hidden="1" customHeight="1" x14ac:dyDescent="0.2">
      <c r="A470" s="2"/>
      <c r="B470" s="31">
        <v>465</v>
      </c>
      <c r="C470" s="36" t="s">
        <v>991</v>
      </c>
      <c r="D470" s="36" t="s">
        <v>1147</v>
      </c>
      <c r="E470" s="36" t="s">
        <v>1148</v>
      </c>
      <c r="F470" s="36" t="s">
        <v>1149</v>
      </c>
      <c r="G470" s="36" t="s">
        <v>1150</v>
      </c>
      <c r="H470" s="37" t="s">
        <v>80</v>
      </c>
      <c r="I470" s="37" t="s">
        <v>81</v>
      </c>
      <c r="J470" s="37" t="s">
        <v>82</v>
      </c>
      <c r="K470" s="37" t="s">
        <v>87</v>
      </c>
      <c r="L470" s="36" t="s">
        <v>84</v>
      </c>
      <c r="M470" s="34">
        <v>1844.48</v>
      </c>
      <c r="N470" s="34">
        <v>1431.62</v>
      </c>
      <c r="O470" s="34">
        <v>412.86</v>
      </c>
      <c r="P470" s="34">
        <v>614.77</v>
      </c>
      <c r="Q470" s="34">
        <v>32.17</v>
      </c>
      <c r="R470" s="34">
        <v>25.22</v>
      </c>
      <c r="S470" s="34">
        <v>25.21</v>
      </c>
      <c r="T470" s="34">
        <v>-64</v>
      </c>
      <c r="U470" s="34">
        <v>472.41</v>
      </c>
      <c r="V470" s="34">
        <v>-51.57</v>
      </c>
      <c r="W470" s="34">
        <v>6.99</v>
      </c>
      <c r="X470" s="34">
        <v>3.47</v>
      </c>
      <c r="Y470" s="35">
        <v>-3.0322</v>
      </c>
      <c r="Z470" s="35">
        <v>-13.5467</v>
      </c>
      <c r="AA470" s="35">
        <v>-9.0975000000000001</v>
      </c>
    </row>
    <row r="471" spans="1:27" ht="15.75" hidden="1" customHeight="1" x14ac:dyDescent="0.2">
      <c r="A471" s="2"/>
      <c r="B471" s="31">
        <v>466</v>
      </c>
      <c r="C471" s="36" t="s">
        <v>991</v>
      </c>
      <c r="D471" s="36" t="s">
        <v>1151</v>
      </c>
      <c r="E471" s="36" t="s">
        <v>1152</v>
      </c>
      <c r="F471" s="36" t="s">
        <v>1153</v>
      </c>
      <c r="G471" s="36" t="s">
        <v>1154</v>
      </c>
      <c r="H471" s="37" t="s">
        <v>95</v>
      </c>
      <c r="I471" s="37" t="s">
        <v>81</v>
      </c>
      <c r="J471" s="37" t="s">
        <v>82</v>
      </c>
      <c r="K471" s="37" t="s">
        <v>87</v>
      </c>
      <c r="L471" s="36" t="s">
        <v>84</v>
      </c>
      <c r="M471" s="34">
        <v>75.430000000000007</v>
      </c>
      <c r="N471" s="34">
        <v>5.29</v>
      </c>
      <c r="O471" s="34">
        <v>70.14</v>
      </c>
      <c r="P471" s="34">
        <v>8.0299999999999994</v>
      </c>
      <c r="Q471" s="34">
        <v>-0.09</v>
      </c>
      <c r="R471" s="34">
        <v>-0.08</v>
      </c>
      <c r="S471" s="34">
        <v>-0.08</v>
      </c>
      <c r="T471" s="34">
        <v>-8.82</v>
      </c>
      <c r="U471" s="34">
        <v>68.09</v>
      </c>
      <c r="V471" s="34">
        <v>-6.81</v>
      </c>
      <c r="W471" s="34">
        <v>0.88</v>
      </c>
      <c r="X471" s="34">
        <v>0.08</v>
      </c>
      <c r="Y471" s="35">
        <v>-12.0388</v>
      </c>
      <c r="Z471" s="35">
        <v>-12.946899999999999</v>
      </c>
      <c r="AA471" s="35">
        <v>-113.06480000000001</v>
      </c>
    </row>
    <row r="472" spans="1:27" ht="15.75" hidden="1" customHeight="1" x14ac:dyDescent="0.2">
      <c r="A472" s="2"/>
      <c r="B472" s="31">
        <v>467</v>
      </c>
      <c r="C472" s="36" t="s">
        <v>991</v>
      </c>
      <c r="D472" s="36" t="s">
        <v>1147</v>
      </c>
      <c r="E472" s="36" t="s">
        <v>1148</v>
      </c>
      <c r="F472" s="36" t="s">
        <v>1155</v>
      </c>
      <c r="G472" s="36" t="s">
        <v>1156</v>
      </c>
      <c r="H472" s="37" t="s">
        <v>80</v>
      </c>
      <c r="I472" s="37" t="s">
        <v>81</v>
      </c>
      <c r="J472" s="37" t="s">
        <v>82</v>
      </c>
      <c r="K472" s="37" t="s">
        <v>87</v>
      </c>
      <c r="L472" s="36" t="s">
        <v>84</v>
      </c>
      <c r="M472" s="34">
        <v>761.39</v>
      </c>
      <c r="N472" s="34">
        <v>71.16</v>
      </c>
      <c r="O472" s="34">
        <v>690.23</v>
      </c>
      <c r="P472" s="34">
        <v>133.58000000000001</v>
      </c>
      <c r="Q472" s="34">
        <v>0.66</v>
      </c>
      <c r="R472" s="34">
        <v>0.66</v>
      </c>
      <c r="S472" s="34">
        <v>1.19</v>
      </c>
      <c r="T472" s="34">
        <v>5.0199999999999996</v>
      </c>
      <c r="U472" s="34">
        <v>115.04</v>
      </c>
      <c r="V472" s="34">
        <v>36.619999999999997</v>
      </c>
      <c r="W472" s="34">
        <v>1.6</v>
      </c>
      <c r="X472" s="34">
        <v>0.1</v>
      </c>
      <c r="Y472" s="35">
        <v>3.9598</v>
      </c>
      <c r="Z472" s="35">
        <v>4.3681000000000001</v>
      </c>
      <c r="AA472" s="35">
        <v>22.571400000000001</v>
      </c>
    </row>
    <row r="473" spans="1:27" ht="15.75" hidden="1" customHeight="1" x14ac:dyDescent="0.2">
      <c r="A473" s="2"/>
      <c r="B473" s="31">
        <v>468</v>
      </c>
      <c r="C473" s="36" t="s">
        <v>991</v>
      </c>
      <c r="D473" s="36" t="s">
        <v>1133</v>
      </c>
      <c r="E473" s="36" t="s">
        <v>1134</v>
      </c>
      <c r="F473" s="36" t="s">
        <v>1157</v>
      </c>
      <c r="G473" s="36" t="s">
        <v>1158</v>
      </c>
      <c r="H473" s="37" t="s">
        <v>80</v>
      </c>
      <c r="I473" s="37" t="s">
        <v>81</v>
      </c>
      <c r="J473" s="37" t="s">
        <v>82</v>
      </c>
      <c r="K473" s="37" t="s">
        <v>104</v>
      </c>
      <c r="L473" s="36" t="s">
        <v>90</v>
      </c>
      <c r="M473" s="34">
        <v>2030.87</v>
      </c>
      <c r="N473" s="34">
        <v>599.65</v>
      </c>
      <c r="O473" s="34">
        <v>1431.21</v>
      </c>
      <c r="P473" s="34">
        <v>166.12</v>
      </c>
      <c r="Q473" s="34">
        <v>81.39</v>
      </c>
      <c r="R473" s="34">
        <v>81.39</v>
      </c>
      <c r="S473" s="34">
        <v>81.12</v>
      </c>
      <c r="T473" s="34">
        <v>4.82</v>
      </c>
      <c r="U473" s="34">
        <v>69.510000000000005</v>
      </c>
      <c r="V473" s="34">
        <v>104.7</v>
      </c>
      <c r="W473" s="34">
        <v>7.27</v>
      </c>
      <c r="X473" s="34">
        <v>0.42</v>
      </c>
      <c r="Y473" s="35">
        <v>4.8903999999999996</v>
      </c>
      <c r="Z473" s="35">
        <v>6.9394</v>
      </c>
      <c r="AA473" s="35">
        <v>59.786700000000003</v>
      </c>
    </row>
    <row r="474" spans="1:27" ht="15.75" hidden="1" customHeight="1" x14ac:dyDescent="0.2">
      <c r="A474" s="2"/>
      <c r="B474" s="31">
        <v>469</v>
      </c>
      <c r="C474" s="36" t="s">
        <v>991</v>
      </c>
      <c r="D474" s="36" t="s">
        <v>1133</v>
      </c>
      <c r="E474" s="36" t="s">
        <v>1134</v>
      </c>
      <c r="F474" s="36" t="s">
        <v>1159</v>
      </c>
      <c r="G474" s="36" t="s">
        <v>1160</v>
      </c>
      <c r="H474" s="37" t="s">
        <v>95</v>
      </c>
      <c r="I474" s="37" t="s">
        <v>81</v>
      </c>
      <c r="J474" s="37" t="s">
        <v>82</v>
      </c>
      <c r="K474" s="37" t="s">
        <v>87</v>
      </c>
      <c r="L474" s="36" t="s">
        <v>84</v>
      </c>
      <c r="M474" s="34">
        <v>532.48</v>
      </c>
      <c r="N474" s="34">
        <v>529.14</v>
      </c>
      <c r="O474" s="34">
        <v>3.33</v>
      </c>
      <c r="P474" s="34">
        <v>53.12</v>
      </c>
      <c r="Q474" s="34">
        <v>-12.26</v>
      </c>
      <c r="R474" s="34">
        <v>-9.7899999999999991</v>
      </c>
      <c r="S474" s="34">
        <v>-9.7200000000000006</v>
      </c>
      <c r="T474" s="34">
        <v>-0.55000000000000004</v>
      </c>
      <c r="U474" s="34">
        <v>1.3</v>
      </c>
      <c r="V474" s="34">
        <v>-6150.22</v>
      </c>
      <c r="W474" s="34">
        <v>2598.8000000000002</v>
      </c>
      <c r="X474" s="34">
        <v>158.77000000000001</v>
      </c>
      <c r="Y474" s="35">
        <v>-0.26450000000000001</v>
      </c>
      <c r="Z474" s="35">
        <v>-42.255299999999998</v>
      </c>
      <c r="AA474" s="35">
        <v>-2.6509</v>
      </c>
    </row>
    <row r="475" spans="1:27" ht="15.75" hidden="1" customHeight="1" x14ac:dyDescent="0.2">
      <c r="A475" s="2"/>
      <c r="B475" s="31">
        <v>470</v>
      </c>
      <c r="C475" s="36" t="s">
        <v>991</v>
      </c>
      <c r="D475" s="36" t="s">
        <v>1147</v>
      </c>
      <c r="E475" s="36" t="s">
        <v>1148</v>
      </c>
      <c r="F475" s="36" t="s">
        <v>1161</v>
      </c>
      <c r="G475" s="36" t="s">
        <v>1162</v>
      </c>
      <c r="H475" s="37" t="s">
        <v>80</v>
      </c>
      <c r="I475" s="37" t="s">
        <v>81</v>
      </c>
      <c r="J475" s="37" t="s">
        <v>82</v>
      </c>
      <c r="K475" s="37" t="s">
        <v>87</v>
      </c>
      <c r="L475" s="36" t="s">
        <v>84</v>
      </c>
      <c r="M475" s="34">
        <v>6829.77</v>
      </c>
      <c r="N475" s="34">
        <v>2378.64</v>
      </c>
      <c r="O475" s="34">
        <v>4451.13</v>
      </c>
      <c r="P475" s="34">
        <v>2878.62</v>
      </c>
      <c r="Q475" s="34">
        <v>407.94</v>
      </c>
      <c r="R475" s="34">
        <v>323.95999999999998</v>
      </c>
      <c r="S475" s="34">
        <v>288.56</v>
      </c>
      <c r="T475" s="34">
        <v>7.54</v>
      </c>
      <c r="U475" s="34">
        <v>53.41</v>
      </c>
      <c r="V475" s="34">
        <v>15.79</v>
      </c>
      <c r="W475" s="34">
        <v>2.23</v>
      </c>
      <c r="X475" s="34">
        <v>0.53</v>
      </c>
      <c r="Y475" s="35">
        <v>9.1997</v>
      </c>
      <c r="Z475" s="35">
        <v>14.116</v>
      </c>
      <c r="AA475" s="35">
        <v>21.827100000000002</v>
      </c>
    </row>
    <row r="476" spans="1:27" ht="15.75" hidden="1" customHeight="1" x14ac:dyDescent="0.2">
      <c r="A476" s="2"/>
      <c r="B476" s="31">
        <v>471</v>
      </c>
      <c r="C476" s="36" t="s">
        <v>991</v>
      </c>
      <c r="D476" s="36" t="s">
        <v>1139</v>
      </c>
      <c r="E476" s="36" t="s">
        <v>1140</v>
      </c>
      <c r="F476" s="36" t="s">
        <v>1163</v>
      </c>
      <c r="G476" s="36" t="s">
        <v>1164</v>
      </c>
      <c r="H476" s="37" t="s">
        <v>80</v>
      </c>
      <c r="I476" s="37" t="s">
        <v>81</v>
      </c>
      <c r="J476" s="37" t="s">
        <v>82</v>
      </c>
      <c r="K476" s="37" t="s">
        <v>87</v>
      </c>
      <c r="L476" s="36" t="s">
        <v>84</v>
      </c>
      <c r="M476" s="34">
        <v>56.24</v>
      </c>
      <c r="N476" s="34">
        <v>51.65</v>
      </c>
      <c r="O476" s="34">
        <v>4.5999999999999996</v>
      </c>
      <c r="P476" s="34">
        <v>0.82</v>
      </c>
      <c r="Q476" s="34">
        <v>-1.02</v>
      </c>
      <c r="R476" s="34">
        <v>-1.02</v>
      </c>
      <c r="S476" s="34">
        <v>-1.02</v>
      </c>
      <c r="T476" s="34">
        <v>-5.52</v>
      </c>
      <c r="U476" s="34">
        <v>5.63</v>
      </c>
      <c r="V476" s="34">
        <v>-88.69</v>
      </c>
      <c r="W476" s="34">
        <v>86.96</v>
      </c>
      <c r="X476" s="34">
        <v>11.23</v>
      </c>
      <c r="Y476" s="35">
        <v>-8.0161999999999995</v>
      </c>
      <c r="Z476" s="35">
        <v>-98.046300000000002</v>
      </c>
      <c r="AA476" s="35">
        <v>-552.63840000000005</v>
      </c>
    </row>
    <row r="477" spans="1:27" ht="15.75" hidden="1" customHeight="1" x14ac:dyDescent="0.2">
      <c r="A477" s="2"/>
      <c r="B477" s="31">
        <v>472</v>
      </c>
      <c r="C477" s="36" t="s">
        <v>991</v>
      </c>
      <c r="D477" s="36" t="s">
        <v>1133</v>
      </c>
      <c r="E477" s="36" t="s">
        <v>1134</v>
      </c>
      <c r="F477" s="36" t="s">
        <v>1165</v>
      </c>
      <c r="G477" s="36" t="s">
        <v>1166</v>
      </c>
      <c r="H477" s="37" t="s">
        <v>95</v>
      </c>
      <c r="I477" s="37" t="s">
        <v>81</v>
      </c>
      <c r="J477" s="37" t="s">
        <v>82</v>
      </c>
      <c r="K477" s="37" t="s">
        <v>87</v>
      </c>
      <c r="L477" s="36" t="s">
        <v>84</v>
      </c>
      <c r="M477" s="34">
        <v>232.07</v>
      </c>
      <c r="N477" s="34">
        <v>213.85</v>
      </c>
      <c r="O477" s="34">
        <v>18.22</v>
      </c>
      <c r="P477" s="34">
        <v>28.8</v>
      </c>
      <c r="Q477" s="34">
        <v>-0.44</v>
      </c>
      <c r="R477" s="34">
        <v>-1.86</v>
      </c>
      <c r="S477" s="34">
        <v>-1.81</v>
      </c>
      <c r="T477" s="34">
        <v>-7.13</v>
      </c>
      <c r="U477" s="34">
        <v>9.59</v>
      </c>
      <c r="V477" s="34">
        <v>-12.2</v>
      </c>
      <c r="W477" s="34">
        <v>9.07</v>
      </c>
      <c r="X477" s="34">
        <v>11.74</v>
      </c>
      <c r="Y477" s="35">
        <v>-5.8400999999999996</v>
      </c>
      <c r="Z477" s="35">
        <v>-74.400499999999994</v>
      </c>
      <c r="AA477" s="35">
        <v>-47.062800000000003</v>
      </c>
    </row>
    <row r="478" spans="1:27" ht="15.75" hidden="1" customHeight="1" x14ac:dyDescent="0.2">
      <c r="A478" s="2"/>
      <c r="B478" s="31">
        <v>473</v>
      </c>
      <c r="C478" s="36" t="s">
        <v>991</v>
      </c>
      <c r="D478" s="36" t="s">
        <v>1139</v>
      </c>
      <c r="E478" s="36" t="s">
        <v>1140</v>
      </c>
      <c r="F478" s="36" t="s">
        <v>1167</v>
      </c>
      <c r="G478" s="36" t="s">
        <v>1168</v>
      </c>
      <c r="H478" s="37" t="s">
        <v>95</v>
      </c>
      <c r="I478" s="37" t="s">
        <v>1169</v>
      </c>
      <c r="J478" s="37" t="s">
        <v>82</v>
      </c>
      <c r="K478" s="37" t="s">
        <v>87</v>
      </c>
      <c r="L478" s="36" t="s">
        <v>84</v>
      </c>
      <c r="M478" s="34">
        <v>1344.58</v>
      </c>
      <c r="N478" s="34">
        <v>421.65</v>
      </c>
      <c r="O478" s="34">
        <v>922.93</v>
      </c>
      <c r="P478" s="34">
        <v>179.78</v>
      </c>
      <c r="Q478" s="34">
        <v>30.81</v>
      </c>
      <c r="R478" s="34">
        <v>20.59</v>
      </c>
      <c r="S478" s="34">
        <v>20.59</v>
      </c>
      <c r="T478" s="34">
        <v>32.07</v>
      </c>
      <c r="U478" s="34">
        <v>719.17</v>
      </c>
      <c r="V478" s="34">
        <v>5.49</v>
      </c>
      <c r="W478" s="34">
        <v>0.24</v>
      </c>
      <c r="X478" s="34">
        <v>0.46</v>
      </c>
      <c r="Y478" s="35">
        <v>3.0605000000000002</v>
      </c>
      <c r="Z478" s="35">
        <v>4.4587000000000003</v>
      </c>
      <c r="AA478" s="35">
        <v>22.8902</v>
      </c>
    </row>
    <row r="479" spans="1:27" ht="15.75" hidden="1" customHeight="1" x14ac:dyDescent="0.2">
      <c r="A479" s="2"/>
      <c r="B479" s="31">
        <v>474</v>
      </c>
      <c r="C479" s="36" t="s">
        <v>991</v>
      </c>
      <c r="D479" s="36" t="s">
        <v>1133</v>
      </c>
      <c r="E479" s="36" t="s">
        <v>1134</v>
      </c>
      <c r="F479" s="36" t="s">
        <v>1170</v>
      </c>
      <c r="G479" s="36" t="s">
        <v>1171</v>
      </c>
      <c r="H479" s="37" t="s">
        <v>80</v>
      </c>
      <c r="I479" s="37" t="s">
        <v>81</v>
      </c>
      <c r="J479" s="37" t="s">
        <v>82</v>
      </c>
      <c r="K479" s="37" t="s">
        <v>87</v>
      </c>
      <c r="L479" s="36" t="s">
        <v>84</v>
      </c>
      <c r="M479" s="34">
        <v>494.41</v>
      </c>
      <c r="N479" s="34">
        <v>20.83</v>
      </c>
      <c r="O479" s="34">
        <v>473.58</v>
      </c>
      <c r="P479" s="34">
        <v>44.35</v>
      </c>
      <c r="Q479" s="34">
        <v>15.69</v>
      </c>
      <c r="R479" s="34">
        <v>12.62</v>
      </c>
      <c r="S479" s="34">
        <v>12.62</v>
      </c>
      <c r="T479" s="34">
        <v>7.74</v>
      </c>
      <c r="U479" s="34">
        <v>114.77</v>
      </c>
      <c r="V479" s="34">
        <v>12.02</v>
      </c>
      <c r="W479" s="34">
        <v>0.81</v>
      </c>
      <c r="X479" s="34">
        <v>0.04</v>
      </c>
      <c r="Y479" s="35">
        <v>6.4558999999999997</v>
      </c>
      <c r="Z479" s="35">
        <v>6.7398999999999996</v>
      </c>
      <c r="AA479" s="35">
        <v>71.969800000000006</v>
      </c>
    </row>
    <row r="480" spans="1:27" ht="15.75" hidden="1" customHeight="1" x14ac:dyDescent="0.2">
      <c r="A480" s="2"/>
      <c r="B480" s="31">
        <v>475</v>
      </c>
      <c r="C480" s="36" t="s">
        <v>991</v>
      </c>
      <c r="D480" s="36" t="s">
        <v>1139</v>
      </c>
      <c r="E480" s="36" t="s">
        <v>1140</v>
      </c>
      <c r="F480" s="36" t="s">
        <v>1172</v>
      </c>
      <c r="G480" s="36" t="s">
        <v>1173</v>
      </c>
      <c r="H480" s="37" t="s">
        <v>80</v>
      </c>
      <c r="I480" s="37" t="s">
        <v>81</v>
      </c>
      <c r="J480" s="37" t="s">
        <v>82</v>
      </c>
      <c r="K480" s="37" t="s">
        <v>87</v>
      </c>
      <c r="L480" s="36" t="s">
        <v>84</v>
      </c>
      <c r="M480" s="34">
        <v>1099.1500000000001</v>
      </c>
      <c r="N480" s="34">
        <v>821.07</v>
      </c>
      <c r="O480" s="34">
        <v>278.08</v>
      </c>
      <c r="P480" s="34">
        <v>743.08</v>
      </c>
      <c r="Q480" s="34">
        <v>-5.3</v>
      </c>
      <c r="R480" s="34">
        <v>-5.55</v>
      </c>
      <c r="S480" s="34">
        <v>-5.55</v>
      </c>
      <c r="T480" s="34">
        <v>-9.8000000000000007</v>
      </c>
      <c r="U480" s="34">
        <v>128.35</v>
      </c>
      <c r="V480" s="34">
        <v>-71.42</v>
      </c>
      <c r="W480" s="34">
        <v>5.45</v>
      </c>
      <c r="X480" s="34">
        <v>2.95</v>
      </c>
      <c r="Y480" s="35">
        <v>-1.9320999999999999</v>
      </c>
      <c r="Z480" s="35">
        <v>-7.6368999999999998</v>
      </c>
      <c r="AA480" s="35">
        <v>-2.8580000000000001</v>
      </c>
    </row>
    <row r="481" spans="1:27" ht="15.75" hidden="1" customHeight="1" x14ac:dyDescent="0.2">
      <c r="A481" s="2"/>
      <c r="B481" s="31">
        <v>476</v>
      </c>
      <c r="C481" s="36" t="s">
        <v>991</v>
      </c>
      <c r="D481" s="36" t="s">
        <v>1133</v>
      </c>
      <c r="E481" s="36" t="s">
        <v>1134</v>
      </c>
      <c r="F481" s="36" t="s">
        <v>1174</v>
      </c>
      <c r="G481" s="36" t="s">
        <v>1175</v>
      </c>
      <c r="H481" s="37" t="s">
        <v>80</v>
      </c>
      <c r="I481" s="37" t="s">
        <v>81</v>
      </c>
      <c r="J481" s="37" t="s">
        <v>82</v>
      </c>
      <c r="K481" s="37" t="s">
        <v>87</v>
      </c>
      <c r="L481" s="36" t="s">
        <v>84</v>
      </c>
      <c r="M481" s="34">
        <v>348.84</v>
      </c>
      <c r="N481" s="34">
        <v>164.17</v>
      </c>
      <c r="O481" s="34">
        <v>184.67</v>
      </c>
      <c r="P481" s="34">
        <v>22.13</v>
      </c>
      <c r="Q481" s="34">
        <v>-4.9400000000000004</v>
      </c>
      <c r="R481" s="34">
        <v>-4.9400000000000004</v>
      </c>
      <c r="S481" s="34">
        <v>-4.93</v>
      </c>
      <c r="T481" s="34">
        <v>-1.45</v>
      </c>
      <c r="U481" s="34">
        <v>76.14</v>
      </c>
      <c r="V481" s="34">
        <v>-64.77</v>
      </c>
      <c r="W481" s="34">
        <v>1.23</v>
      </c>
      <c r="X481" s="34">
        <v>0.89</v>
      </c>
      <c r="Y481" s="35">
        <v>-1.0091000000000001</v>
      </c>
      <c r="Z481" s="35">
        <v>-1.9060999999999999</v>
      </c>
      <c r="AA481" s="35">
        <v>-15.904199999999999</v>
      </c>
    </row>
    <row r="482" spans="1:27" ht="15.75" hidden="1" customHeight="1" x14ac:dyDescent="0.2">
      <c r="A482" s="2"/>
      <c r="B482" s="31">
        <v>477</v>
      </c>
      <c r="C482" s="36" t="s">
        <v>991</v>
      </c>
      <c r="D482" s="36" t="s">
        <v>1139</v>
      </c>
      <c r="E482" s="36" t="s">
        <v>1140</v>
      </c>
      <c r="F482" s="36" t="s">
        <v>1176</v>
      </c>
      <c r="G482" s="36" t="s">
        <v>1177</v>
      </c>
      <c r="H482" s="37" t="s">
        <v>80</v>
      </c>
      <c r="I482" s="37" t="s">
        <v>81</v>
      </c>
      <c r="J482" s="37" t="s">
        <v>82</v>
      </c>
      <c r="K482" s="37" t="s">
        <v>87</v>
      </c>
      <c r="L482" s="36" t="s">
        <v>84</v>
      </c>
      <c r="M482" s="34">
        <v>4104.28</v>
      </c>
      <c r="N482" s="34">
        <v>3974.33</v>
      </c>
      <c r="O482" s="34">
        <v>129.94999999999999</v>
      </c>
      <c r="P482" s="34">
        <v>2403.27</v>
      </c>
      <c r="Q482" s="34">
        <v>-185.38</v>
      </c>
      <c r="R482" s="34">
        <v>-142.31</v>
      </c>
      <c r="S482" s="34">
        <v>-138.75</v>
      </c>
      <c r="T482" s="34">
        <v>-129.68</v>
      </c>
      <c r="U482" s="34">
        <v>28.73</v>
      </c>
      <c r="V482" s="34">
        <v>-5.59</v>
      </c>
      <c r="W482" s="34">
        <v>25.24</v>
      </c>
      <c r="X482" s="34">
        <v>30.58</v>
      </c>
      <c r="Y482" s="35">
        <v>-14.293200000000001</v>
      </c>
      <c r="Z482" s="35">
        <v>-451.43650000000002</v>
      </c>
      <c r="AA482" s="35">
        <v>-24.409700000000001</v>
      </c>
    </row>
    <row r="483" spans="1:27" ht="15.75" hidden="1" customHeight="1" x14ac:dyDescent="0.2">
      <c r="A483" s="2"/>
      <c r="B483" s="31">
        <v>478</v>
      </c>
      <c r="C483" s="36" t="s">
        <v>991</v>
      </c>
      <c r="D483" s="36" t="s">
        <v>1133</v>
      </c>
      <c r="E483" s="36" t="s">
        <v>1134</v>
      </c>
      <c r="F483" s="36" t="s">
        <v>1178</v>
      </c>
      <c r="G483" s="36" t="s">
        <v>1179</v>
      </c>
      <c r="H483" s="37" t="s">
        <v>80</v>
      </c>
      <c r="I483" s="37" t="s">
        <v>81</v>
      </c>
      <c r="J483" s="37" t="s">
        <v>82</v>
      </c>
      <c r="K483" s="37" t="s">
        <v>87</v>
      </c>
      <c r="L483" s="36" t="s">
        <v>84</v>
      </c>
      <c r="M483" s="34">
        <v>98.57</v>
      </c>
      <c r="N483" s="34">
        <v>25.44</v>
      </c>
      <c r="O483" s="34">
        <v>73.13</v>
      </c>
      <c r="P483" s="34">
        <v>4.12</v>
      </c>
      <c r="Q483" s="34">
        <v>-4.43</v>
      </c>
      <c r="R483" s="34">
        <v>-4.4000000000000004</v>
      </c>
      <c r="S483" s="34">
        <v>-4.4000000000000004</v>
      </c>
      <c r="T483" s="34">
        <v>-5.82</v>
      </c>
      <c r="U483" s="34">
        <v>56.07</v>
      </c>
      <c r="V483" s="34">
        <v>-143.46</v>
      </c>
      <c r="W483" s="34">
        <v>14.89</v>
      </c>
      <c r="X483" s="34">
        <v>0.35</v>
      </c>
      <c r="Y483" s="35">
        <v>-7.7013999999999996</v>
      </c>
      <c r="Z483" s="35">
        <v>-10.3802</v>
      </c>
      <c r="AA483" s="35">
        <v>-184.3818</v>
      </c>
    </row>
    <row r="484" spans="1:27" ht="15.75" hidden="1" customHeight="1" x14ac:dyDescent="0.2">
      <c r="A484" s="2"/>
      <c r="B484" s="31">
        <v>479</v>
      </c>
      <c r="C484" s="36" t="s">
        <v>991</v>
      </c>
      <c r="D484" s="36" t="s">
        <v>1147</v>
      </c>
      <c r="E484" s="36" t="s">
        <v>1148</v>
      </c>
      <c r="F484" s="36" t="s">
        <v>1180</v>
      </c>
      <c r="G484" s="36" t="s">
        <v>1181</v>
      </c>
      <c r="H484" s="37" t="s">
        <v>80</v>
      </c>
      <c r="I484" s="37" t="s">
        <v>81</v>
      </c>
      <c r="J484" s="37" t="s">
        <v>82</v>
      </c>
      <c r="K484" s="37" t="s">
        <v>87</v>
      </c>
      <c r="L484" s="36" t="s">
        <v>84</v>
      </c>
      <c r="M484" s="34">
        <v>8672.9599999999991</v>
      </c>
      <c r="N484" s="34">
        <v>695.66</v>
      </c>
      <c r="O484" s="34">
        <v>7977.29</v>
      </c>
      <c r="P484" s="34">
        <v>70.09</v>
      </c>
      <c r="Q484" s="34">
        <v>14.84</v>
      </c>
      <c r="R484" s="34">
        <v>11.3</v>
      </c>
      <c r="S484" s="34">
        <v>11.3</v>
      </c>
      <c r="T484" s="34">
        <v>3.6</v>
      </c>
      <c r="U484" s="34">
        <v>409.37</v>
      </c>
      <c r="V484" s="34">
        <v>61.15</v>
      </c>
      <c r="W484" s="34">
        <v>0.54</v>
      </c>
      <c r="X484" s="34">
        <v>0.09</v>
      </c>
      <c r="Y484" s="35">
        <v>0.80830000000000002</v>
      </c>
      <c r="Z484" s="35">
        <v>0.87880000000000003</v>
      </c>
      <c r="AA484" s="35">
        <v>100.024</v>
      </c>
    </row>
    <row r="485" spans="1:27" ht="15.75" hidden="1" customHeight="1" x14ac:dyDescent="0.2">
      <c r="A485" s="2"/>
      <c r="B485" s="31">
        <v>480</v>
      </c>
      <c r="C485" s="36" t="s">
        <v>991</v>
      </c>
      <c r="D485" s="36" t="s">
        <v>1133</v>
      </c>
      <c r="E485" s="36" t="s">
        <v>1134</v>
      </c>
      <c r="F485" s="36" t="s">
        <v>1182</v>
      </c>
      <c r="G485" s="36" t="s">
        <v>1183</v>
      </c>
      <c r="H485" s="37" t="s">
        <v>80</v>
      </c>
      <c r="I485" s="37" t="s">
        <v>81</v>
      </c>
      <c r="J485" s="37" t="s">
        <v>82</v>
      </c>
      <c r="K485" s="37" t="s">
        <v>87</v>
      </c>
      <c r="L485" s="36" t="s">
        <v>84</v>
      </c>
      <c r="M485" s="34">
        <v>93.76</v>
      </c>
      <c r="N485" s="34">
        <v>18.29</v>
      </c>
      <c r="O485" s="34">
        <v>75.47</v>
      </c>
      <c r="P485" s="34">
        <v>14.73</v>
      </c>
      <c r="Q485" s="34">
        <v>1.51</v>
      </c>
      <c r="R485" s="34">
        <v>1.18</v>
      </c>
      <c r="S485" s="34">
        <v>1.18</v>
      </c>
      <c r="T485" s="34">
        <v>3.24</v>
      </c>
      <c r="U485" s="34">
        <v>75.47</v>
      </c>
      <c r="V485" s="34">
        <v>21.6</v>
      </c>
      <c r="W485" s="34">
        <v>0.93</v>
      </c>
      <c r="X485" s="34">
        <v>0.24</v>
      </c>
      <c r="Y485" s="35">
        <v>3.4565000000000001</v>
      </c>
      <c r="Z485" s="35">
        <v>4.2939999999999996</v>
      </c>
      <c r="AA485" s="35">
        <v>22.006599999999999</v>
      </c>
    </row>
    <row r="486" spans="1:27" ht="15.75" hidden="1" customHeight="1" x14ac:dyDescent="0.2">
      <c r="A486" s="2"/>
      <c r="B486" s="31">
        <v>481</v>
      </c>
      <c r="C486" s="36" t="s">
        <v>991</v>
      </c>
      <c r="D486" s="36" t="s">
        <v>1133</v>
      </c>
      <c r="E486" s="36" t="s">
        <v>1134</v>
      </c>
      <c r="F486" s="36" t="s">
        <v>1184</v>
      </c>
      <c r="G486" s="36" t="s">
        <v>1185</v>
      </c>
      <c r="H486" s="37" t="s">
        <v>80</v>
      </c>
      <c r="I486" s="37" t="s">
        <v>81</v>
      </c>
      <c r="J486" s="37" t="s">
        <v>82</v>
      </c>
      <c r="K486" s="37" t="s">
        <v>87</v>
      </c>
      <c r="L486" s="36" t="s">
        <v>84</v>
      </c>
      <c r="M486" s="34">
        <v>7674.91</v>
      </c>
      <c r="N486" s="34">
        <v>452.27</v>
      </c>
      <c r="O486" s="34">
        <v>7222.65</v>
      </c>
      <c r="P486" s="34">
        <v>31.77</v>
      </c>
      <c r="Q486" s="34">
        <v>60.92</v>
      </c>
      <c r="R486" s="34">
        <v>60.92</v>
      </c>
      <c r="S486" s="34">
        <v>59.94</v>
      </c>
      <c r="T486" s="34">
        <v>8.1</v>
      </c>
      <c r="U486" s="34">
        <v>925.89</v>
      </c>
      <c r="V486" s="34">
        <v>18.88</v>
      </c>
      <c r="W486" s="34">
        <v>0.17</v>
      </c>
      <c r="X486" s="34">
        <v>0.06</v>
      </c>
      <c r="Y486" s="35">
        <v>0.8236</v>
      </c>
      <c r="Z486" s="35">
        <v>0.87519999999999998</v>
      </c>
      <c r="AA486" s="35">
        <v>198.96600000000001</v>
      </c>
    </row>
    <row r="487" spans="1:27" ht="15.75" hidden="1" customHeight="1" x14ac:dyDescent="0.2">
      <c r="A487" s="2"/>
      <c r="B487" s="31">
        <v>482</v>
      </c>
      <c r="C487" s="36" t="s">
        <v>991</v>
      </c>
      <c r="D487" s="36" t="s">
        <v>1143</v>
      </c>
      <c r="E487" s="36" t="s">
        <v>1144</v>
      </c>
      <c r="F487" s="36" t="s">
        <v>1186</v>
      </c>
      <c r="G487" s="36" t="s">
        <v>1187</v>
      </c>
      <c r="H487" s="37" t="s">
        <v>95</v>
      </c>
      <c r="I487" s="37" t="s">
        <v>81</v>
      </c>
      <c r="J487" s="37" t="s">
        <v>82</v>
      </c>
      <c r="K487" s="37" t="s">
        <v>83</v>
      </c>
      <c r="L487" s="36" t="s">
        <v>90</v>
      </c>
      <c r="M487" s="34">
        <v>350.97</v>
      </c>
      <c r="N487" s="34">
        <v>138.88999999999999</v>
      </c>
      <c r="O487" s="34">
        <v>212.08</v>
      </c>
      <c r="P487" s="34">
        <v>521.77</v>
      </c>
      <c r="Q487" s="34">
        <v>33.799999999999997</v>
      </c>
      <c r="R487" s="34">
        <v>26.7</v>
      </c>
      <c r="S487" s="34">
        <v>26.7</v>
      </c>
      <c r="T487" s="34">
        <v>1.7</v>
      </c>
      <c r="U487" s="34">
        <v>85.92</v>
      </c>
      <c r="V487" s="34">
        <v>76.900000000000006</v>
      </c>
      <c r="W487" s="34">
        <v>1.52</v>
      </c>
      <c r="X487" s="34">
        <v>0.65</v>
      </c>
      <c r="Y487" s="35">
        <v>1.198</v>
      </c>
      <c r="Z487" s="35">
        <v>1.9826999999999999</v>
      </c>
      <c r="AA487" s="35">
        <v>0.80589999999999995</v>
      </c>
    </row>
    <row r="488" spans="1:27" ht="15.75" hidden="1" customHeight="1" x14ac:dyDescent="0.2">
      <c r="A488" s="2"/>
      <c r="B488" s="31">
        <v>483</v>
      </c>
      <c r="C488" s="36" t="s">
        <v>991</v>
      </c>
      <c r="D488" s="36" t="s">
        <v>1133</v>
      </c>
      <c r="E488" s="36" t="s">
        <v>1134</v>
      </c>
      <c r="F488" s="36" t="s">
        <v>1188</v>
      </c>
      <c r="G488" s="36" t="s">
        <v>1189</v>
      </c>
      <c r="H488" s="37" t="s">
        <v>95</v>
      </c>
      <c r="I488" s="37" t="s">
        <v>1169</v>
      </c>
      <c r="J488" s="37" t="s">
        <v>82</v>
      </c>
      <c r="K488" s="37" t="s">
        <v>87</v>
      </c>
      <c r="L488" s="36" t="s">
        <v>84</v>
      </c>
      <c r="M488" s="34">
        <v>2452.2800000000002</v>
      </c>
      <c r="N488" s="34">
        <v>334.09</v>
      </c>
      <c r="O488" s="34">
        <v>2118.19</v>
      </c>
      <c r="P488" s="34">
        <v>10.25</v>
      </c>
      <c r="Q488" s="34">
        <v>-12.32</v>
      </c>
      <c r="R488" s="34">
        <v>-12.28</v>
      </c>
      <c r="S488" s="34">
        <v>-12.28</v>
      </c>
      <c r="T488" s="34">
        <v>-1.57</v>
      </c>
      <c r="U488" s="34">
        <v>95.36</v>
      </c>
      <c r="V488" s="34">
        <v>-31.77</v>
      </c>
      <c r="W488" s="34">
        <v>0.52</v>
      </c>
      <c r="X488" s="34">
        <v>0.16</v>
      </c>
      <c r="Y488" s="35">
        <v>-1.4254</v>
      </c>
      <c r="Z488" s="35">
        <v>-1.6501999999999999</v>
      </c>
      <c r="AA488" s="35">
        <v>-341.06670000000003</v>
      </c>
    </row>
    <row r="489" spans="1:27" ht="15.75" hidden="1" customHeight="1" x14ac:dyDescent="0.2">
      <c r="A489" s="2"/>
      <c r="B489" s="31">
        <v>484</v>
      </c>
      <c r="C489" s="36" t="s">
        <v>991</v>
      </c>
      <c r="D489" s="36" t="s">
        <v>1133</v>
      </c>
      <c r="E489" s="36" t="s">
        <v>1134</v>
      </c>
      <c r="F489" s="36" t="s">
        <v>1190</v>
      </c>
      <c r="G489" s="36" t="s">
        <v>1191</v>
      </c>
      <c r="H489" s="37" t="s">
        <v>95</v>
      </c>
      <c r="I489" s="37" t="s">
        <v>338</v>
      </c>
      <c r="J489" s="37" t="s">
        <v>82</v>
      </c>
      <c r="K489" s="37" t="s">
        <v>87</v>
      </c>
      <c r="L489" s="36" t="s">
        <v>84</v>
      </c>
      <c r="M489" s="34">
        <v>442.59</v>
      </c>
      <c r="N489" s="34">
        <v>78.099999999999994</v>
      </c>
      <c r="O489" s="34">
        <v>364.49</v>
      </c>
      <c r="P489" s="34">
        <v>2.12</v>
      </c>
      <c r="Q489" s="34">
        <v>-1.94</v>
      </c>
      <c r="R489" s="34">
        <v>-1.94</v>
      </c>
      <c r="S489" s="34">
        <v>-1.91</v>
      </c>
      <c r="T489" s="34">
        <v>19.649999999999999</v>
      </c>
      <c r="U489" s="34">
        <v>102.67</v>
      </c>
      <c r="V489" s="34">
        <v>2.5499999999999998</v>
      </c>
      <c r="W489" s="34">
        <v>0.49</v>
      </c>
      <c r="X489" s="34">
        <v>0.21</v>
      </c>
      <c r="Y489" s="35">
        <v>15.7583</v>
      </c>
      <c r="Z489" s="35">
        <v>19.134699999999999</v>
      </c>
      <c r="AA489" s="35">
        <v>3297.0853000000002</v>
      </c>
    </row>
    <row r="490" spans="1:27" ht="15.75" hidden="1" customHeight="1" x14ac:dyDescent="0.2">
      <c r="A490" s="2"/>
      <c r="B490" s="31">
        <v>485</v>
      </c>
      <c r="C490" s="36" t="s">
        <v>991</v>
      </c>
      <c r="D490" s="36" t="s">
        <v>1133</v>
      </c>
      <c r="E490" s="36" t="s">
        <v>1134</v>
      </c>
      <c r="F490" s="36" t="s">
        <v>1192</v>
      </c>
      <c r="G490" s="36" t="s">
        <v>1193</v>
      </c>
      <c r="H490" s="37" t="s">
        <v>80</v>
      </c>
      <c r="I490" s="37" t="s">
        <v>81</v>
      </c>
      <c r="J490" s="37" t="s">
        <v>82</v>
      </c>
      <c r="K490" s="37" t="s">
        <v>87</v>
      </c>
      <c r="L490" s="36" t="s">
        <v>84</v>
      </c>
      <c r="M490" s="34">
        <v>825.07</v>
      </c>
      <c r="N490" s="34">
        <v>274.67</v>
      </c>
      <c r="O490" s="34">
        <v>550.4</v>
      </c>
      <c r="P490" s="34">
        <v>50.32</v>
      </c>
      <c r="Q490" s="34">
        <v>-2.1</v>
      </c>
      <c r="R490" s="34">
        <v>-2.5499999999999998</v>
      </c>
      <c r="S490" s="34">
        <v>-2.5499999999999998</v>
      </c>
      <c r="T490" s="34">
        <v>-4.7300000000000004</v>
      </c>
      <c r="U490" s="34">
        <v>92.37</v>
      </c>
      <c r="V490" s="34">
        <v>-10.36</v>
      </c>
      <c r="W490" s="34">
        <v>0.53</v>
      </c>
      <c r="X490" s="34">
        <v>0.5</v>
      </c>
      <c r="Y490" s="35">
        <v>-3.4167000000000001</v>
      </c>
      <c r="Z490" s="35">
        <v>-5.1218000000000004</v>
      </c>
      <c r="AA490" s="35">
        <v>-56.019799999999996</v>
      </c>
    </row>
    <row r="491" spans="1:27" ht="15.75" hidden="1" customHeight="1" x14ac:dyDescent="0.2">
      <c r="A491" s="2"/>
      <c r="B491" s="31">
        <v>486</v>
      </c>
      <c r="C491" s="36" t="s">
        <v>991</v>
      </c>
      <c r="D491" s="36" t="s">
        <v>1151</v>
      </c>
      <c r="E491" s="36" t="s">
        <v>1152</v>
      </c>
      <c r="F491" s="36" t="s">
        <v>1194</v>
      </c>
      <c r="G491" s="36" t="s">
        <v>1195</v>
      </c>
      <c r="H491" s="37" t="s">
        <v>95</v>
      </c>
      <c r="I491" s="37" t="s">
        <v>81</v>
      </c>
      <c r="J491" s="37" t="s">
        <v>82</v>
      </c>
      <c r="K491" s="37" t="s">
        <v>87</v>
      </c>
      <c r="L491" s="36" t="s">
        <v>84</v>
      </c>
      <c r="M491" s="34">
        <v>76.88</v>
      </c>
      <c r="N491" s="34">
        <v>13.39</v>
      </c>
      <c r="O491" s="34">
        <v>63.49</v>
      </c>
      <c r="P491" s="34">
        <v>12.8</v>
      </c>
      <c r="Q491" s="34">
        <v>2.0699999999999998</v>
      </c>
      <c r="R491" s="34">
        <v>2.0699999999999998</v>
      </c>
      <c r="S491" s="34">
        <v>2.0699999999999998</v>
      </c>
      <c r="T491" s="34">
        <v>1.83</v>
      </c>
      <c r="U491" s="34">
        <v>59.76</v>
      </c>
      <c r="V491" s="34">
        <v>53.42</v>
      </c>
      <c r="W491" s="34">
        <v>1.64</v>
      </c>
      <c r="X491" s="34">
        <v>0.21</v>
      </c>
      <c r="Y491" s="35">
        <v>2.5352000000000001</v>
      </c>
      <c r="Z491" s="35">
        <v>3.0697999999999999</v>
      </c>
      <c r="AA491" s="35">
        <v>15.226900000000001</v>
      </c>
    </row>
    <row r="492" spans="1:27" ht="15.75" hidden="1" customHeight="1" x14ac:dyDescent="0.2">
      <c r="A492" s="2"/>
      <c r="B492" s="31">
        <v>487</v>
      </c>
      <c r="C492" s="36" t="s">
        <v>991</v>
      </c>
      <c r="D492" s="36" t="s">
        <v>1133</v>
      </c>
      <c r="E492" s="36" t="s">
        <v>1134</v>
      </c>
      <c r="F492" s="36" t="s">
        <v>1196</v>
      </c>
      <c r="G492" s="36" t="s">
        <v>1197</v>
      </c>
      <c r="H492" s="37" t="s">
        <v>80</v>
      </c>
      <c r="I492" s="37" t="s">
        <v>81</v>
      </c>
      <c r="J492" s="37" t="s">
        <v>82</v>
      </c>
      <c r="K492" s="37" t="s">
        <v>87</v>
      </c>
      <c r="L492" s="36" t="s">
        <v>84</v>
      </c>
      <c r="M492" s="34">
        <v>1524.7</v>
      </c>
      <c r="N492" s="34">
        <v>439.31</v>
      </c>
      <c r="O492" s="34">
        <v>1085.3800000000001</v>
      </c>
      <c r="P492" s="34">
        <v>66.099999999999994</v>
      </c>
      <c r="Q492" s="34">
        <v>-20.92</v>
      </c>
      <c r="R492" s="34">
        <v>-20.92</v>
      </c>
      <c r="S492" s="34">
        <v>-20.92</v>
      </c>
      <c r="T492" s="34">
        <v>-1.1499999999999999</v>
      </c>
      <c r="U492" s="34">
        <v>48.06</v>
      </c>
      <c r="V492" s="34">
        <v>-25.29</v>
      </c>
      <c r="W492" s="34">
        <v>0.6</v>
      </c>
      <c r="X492" s="34">
        <v>0.4</v>
      </c>
      <c r="Y492" s="35">
        <v>-1.6981999999999999</v>
      </c>
      <c r="Z492" s="35">
        <v>-2.3855</v>
      </c>
      <c r="AA492" s="35">
        <v>-39.168599999999998</v>
      </c>
    </row>
    <row r="493" spans="1:27" ht="15.75" hidden="1" customHeight="1" x14ac:dyDescent="0.2">
      <c r="A493" s="2"/>
      <c r="B493" s="31">
        <v>488</v>
      </c>
      <c r="C493" s="36" t="s">
        <v>991</v>
      </c>
      <c r="D493" s="36" t="s">
        <v>1133</v>
      </c>
      <c r="E493" s="36" t="s">
        <v>1134</v>
      </c>
      <c r="F493" s="36" t="s">
        <v>1198</v>
      </c>
      <c r="G493" s="36" t="s">
        <v>1199</v>
      </c>
      <c r="H493" s="37" t="s">
        <v>80</v>
      </c>
      <c r="I493" s="37" t="s">
        <v>81</v>
      </c>
      <c r="J493" s="37" t="s">
        <v>82</v>
      </c>
      <c r="K493" s="37" t="s">
        <v>87</v>
      </c>
      <c r="L493" s="36" t="s">
        <v>84</v>
      </c>
      <c r="M493" s="34">
        <v>6805.52</v>
      </c>
      <c r="N493" s="34">
        <v>1870.64</v>
      </c>
      <c r="O493" s="34">
        <v>4934.88</v>
      </c>
      <c r="P493" s="34">
        <v>786.46</v>
      </c>
      <c r="Q493" s="34">
        <v>133.30000000000001</v>
      </c>
      <c r="R493" s="34">
        <v>117.87</v>
      </c>
      <c r="S493" s="34">
        <v>30.52</v>
      </c>
      <c r="T493" s="34">
        <v>48.21</v>
      </c>
      <c r="U493" s="34">
        <v>2118.85</v>
      </c>
      <c r="V493" s="34">
        <v>14.21</v>
      </c>
      <c r="W493" s="34">
        <v>0.32</v>
      </c>
      <c r="X493" s="34">
        <v>0.38</v>
      </c>
      <c r="Y493" s="35">
        <v>1.6498999999999999</v>
      </c>
      <c r="Z493" s="35">
        <v>2.2753000000000001</v>
      </c>
      <c r="AA493" s="35">
        <v>14.2773</v>
      </c>
    </row>
    <row r="494" spans="1:27" ht="15.75" hidden="1" customHeight="1" x14ac:dyDescent="0.2">
      <c r="A494" s="2"/>
      <c r="B494" s="31">
        <v>489</v>
      </c>
      <c r="C494" s="36" t="s">
        <v>991</v>
      </c>
      <c r="D494" s="36" t="s">
        <v>1133</v>
      </c>
      <c r="E494" s="36" t="s">
        <v>1134</v>
      </c>
      <c r="F494" s="36" t="s">
        <v>1200</v>
      </c>
      <c r="G494" s="36" t="s">
        <v>1201</v>
      </c>
      <c r="H494" s="37" t="s">
        <v>80</v>
      </c>
      <c r="I494" s="37" t="s">
        <v>81</v>
      </c>
      <c r="J494" s="37" t="s">
        <v>82</v>
      </c>
      <c r="K494" s="37" t="s">
        <v>87</v>
      </c>
      <c r="L494" s="36" t="s">
        <v>84</v>
      </c>
      <c r="M494" s="34">
        <v>6401.78</v>
      </c>
      <c r="N494" s="34">
        <v>3423.85</v>
      </c>
      <c r="O494" s="34">
        <v>2977.93</v>
      </c>
      <c r="P494" s="34">
        <v>1122.0999999999999</v>
      </c>
      <c r="Q494" s="34">
        <v>183.05</v>
      </c>
      <c r="R494" s="34">
        <v>133.44</v>
      </c>
      <c r="S494" s="34">
        <v>124.18</v>
      </c>
      <c r="T494" s="34">
        <v>157.24</v>
      </c>
      <c r="U494" s="34">
        <v>1284.29</v>
      </c>
      <c r="V494" s="34">
        <v>23.47</v>
      </c>
      <c r="W494" s="34">
        <v>2.87</v>
      </c>
      <c r="X494" s="34">
        <v>1.1499999999999999</v>
      </c>
      <c r="Y494" s="35">
        <v>5.6952999999999996</v>
      </c>
      <c r="Z494" s="35">
        <v>12.243499999999999</v>
      </c>
      <c r="AA494" s="35">
        <v>32.492899999999999</v>
      </c>
    </row>
    <row r="495" spans="1:27" ht="15.75" hidden="1" customHeight="1" x14ac:dyDescent="0.2">
      <c r="A495" s="2"/>
      <c r="B495" s="31">
        <v>490</v>
      </c>
      <c r="C495" s="36" t="s">
        <v>991</v>
      </c>
      <c r="D495" s="36" t="s">
        <v>1133</v>
      </c>
      <c r="E495" s="36" t="s">
        <v>1134</v>
      </c>
      <c r="F495" s="36" t="s">
        <v>1202</v>
      </c>
      <c r="G495" s="36" t="s">
        <v>1203</v>
      </c>
      <c r="H495" s="37" t="s">
        <v>80</v>
      </c>
      <c r="I495" s="37" t="s">
        <v>81</v>
      </c>
      <c r="J495" s="37" t="s">
        <v>82</v>
      </c>
      <c r="K495" s="37" t="s">
        <v>87</v>
      </c>
      <c r="L495" s="36" t="s">
        <v>84</v>
      </c>
      <c r="M495" s="34">
        <v>77.41</v>
      </c>
      <c r="N495" s="34">
        <v>10.94</v>
      </c>
      <c r="O495" s="34">
        <v>66.459999999999994</v>
      </c>
      <c r="P495" s="34">
        <v>15.25</v>
      </c>
      <c r="Q495" s="34">
        <v>0.26</v>
      </c>
      <c r="R495" s="34">
        <v>0.26</v>
      </c>
      <c r="S495" s="34">
        <v>0.26</v>
      </c>
      <c r="T495" s="34">
        <v>1.46</v>
      </c>
      <c r="U495" s="34">
        <v>53.17</v>
      </c>
      <c r="V495" s="34">
        <v>83.69</v>
      </c>
      <c r="W495" s="34">
        <v>2.29</v>
      </c>
      <c r="X495" s="34">
        <v>0.16</v>
      </c>
      <c r="Y495" s="35">
        <v>2.3542000000000001</v>
      </c>
      <c r="Z495" s="35">
        <v>2.7418</v>
      </c>
      <c r="AA495" s="35">
        <v>11.9506</v>
      </c>
    </row>
    <row r="496" spans="1:27" ht="15.75" hidden="1" customHeight="1" x14ac:dyDescent="0.2">
      <c r="A496" s="2"/>
      <c r="B496" s="31">
        <v>491</v>
      </c>
      <c r="C496" s="36" t="s">
        <v>991</v>
      </c>
      <c r="D496" s="36" t="s">
        <v>1133</v>
      </c>
      <c r="E496" s="36" t="s">
        <v>1134</v>
      </c>
      <c r="F496" s="36" t="s">
        <v>1204</v>
      </c>
      <c r="G496" s="36" t="s">
        <v>1205</v>
      </c>
      <c r="H496" s="37" t="s">
        <v>80</v>
      </c>
      <c r="I496" s="37" t="s">
        <v>81</v>
      </c>
      <c r="J496" s="37" t="s">
        <v>82</v>
      </c>
      <c r="K496" s="37" t="s">
        <v>87</v>
      </c>
      <c r="L496" s="36" t="s">
        <v>84</v>
      </c>
      <c r="M496" s="34">
        <v>1657.24</v>
      </c>
      <c r="N496" s="34">
        <v>475.68</v>
      </c>
      <c r="O496" s="34">
        <v>1181.57</v>
      </c>
      <c r="P496" s="34">
        <v>17.36</v>
      </c>
      <c r="Q496" s="34">
        <v>-14.13</v>
      </c>
      <c r="R496" s="34">
        <v>-14.13</v>
      </c>
      <c r="S496" s="34">
        <v>-14.12</v>
      </c>
      <c r="T496" s="34">
        <v>-2.16</v>
      </c>
      <c r="U496" s="34">
        <v>112.04</v>
      </c>
      <c r="V496" s="34">
        <v>-15.29</v>
      </c>
      <c r="W496" s="34">
        <v>0.28999999999999998</v>
      </c>
      <c r="X496" s="34">
        <v>0.4</v>
      </c>
      <c r="Y496" s="35">
        <v>-1.3731</v>
      </c>
      <c r="Z496" s="35">
        <v>-1.9258999999999999</v>
      </c>
      <c r="AA496" s="35">
        <v>-131.06200000000001</v>
      </c>
    </row>
    <row r="497" spans="1:27" ht="15.75" hidden="1" customHeight="1" x14ac:dyDescent="0.2">
      <c r="A497" s="2"/>
      <c r="B497" s="31">
        <v>492</v>
      </c>
      <c r="C497" s="36" t="s">
        <v>991</v>
      </c>
      <c r="D497" s="36" t="s">
        <v>1133</v>
      </c>
      <c r="E497" s="36" t="s">
        <v>1134</v>
      </c>
      <c r="F497" s="36" t="s">
        <v>1206</v>
      </c>
      <c r="G497" s="36" t="s">
        <v>1207</v>
      </c>
      <c r="H497" s="37" t="s">
        <v>80</v>
      </c>
      <c r="I497" s="37" t="s">
        <v>81</v>
      </c>
      <c r="J497" s="37" t="s">
        <v>82</v>
      </c>
      <c r="K497" s="37" t="s">
        <v>87</v>
      </c>
      <c r="L497" s="36" t="s">
        <v>84</v>
      </c>
      <c r="M497" s="34">
        <v>36578.25</v>
      </c>
      <c r="N497" s="34">
        <v>7417.07</v>
      </c>
      <c r="O497" s="34">
        <v>29161.17</v>
      </c>
      <c r="P497" s="34">
        <v>963.95</v>
      </c>
      <c r="Q497" s="34">
        <v>434.82</v>
      </c>
      <c r="R497" s="34">
        <v>434.34</v>
      </c>
      <c r="S497" s="34">
        <v>421.71</v>
      </c>
      <c r="T497" s="34">
        <v>5.33</v>
      </c>
      <c r="U497" s="34">
        <v>298.91000000000003</v>
      </c>
      <c r="V497" s="34">
        <v>33.75</v>
      </c>
      <c r="W497" s="34">
        <v>0.6</v>
      </c>
      <c r="X497" s="34">
        <v>0.25</v>
      </c>
      <c r="Y497" s="35">
        <v>1.4222999999999999</v>
      </c>
      <c r="Z497" s="35">
        <v>1.784</v>
      </c>
      <c r="AA497" s="35">
        <v>53.970399999999998</v>
      </c>
    </row>
    <row r="498" spans="1:27" ht="15.75" hidden="1" customHeight="1" x14ac:dyDescent="0.2">
      <c r="A498" s="2"/>
      <c r="B498" s="31">
        <v>493</v>
      </c>
      <c r="C498" s="36" t="s">
        <v>991</v>
      </c>
      <c r="D498" s="36" t="s">
        <v>1139</v>
      </c>
      <c r="E498" s="36" t="s">
        <v>1140</v>
      </c>
      <c r="F498" s="36" t="s">
        <v>1208</v>
      </c>
      <c r="G498" s="36" t="s">
        <v>1209</v>
      </c>
      <c r="H498" s="37" t="s">
        <v>95</v>
      </c>
      <c r="I498" s="37" t="s">
        <v>81</v>
      </c>
      <c r="J498" s="37" t="s">
        <v>82</v>
      </c>
      <c r="K498" s="37" t="s">
        <v>87</v>
      </c>
      <c r="L498" s="36" t="s">
        <v>84</v>
      </c>
      <c r="M498" s="34">
        <v>118.27</v>
      </c>
      <c r="N498" s="34">
        <v>58.94</v>
      </c>
      <c r="O498" s="34">
        <v>59.33</v>
      </c>
      <c r="P498" s="34">
        <v>41.56</v>
      </c>
      <c r="Q498" s="34">
        <v>-12.48</v>
      </c>
      <c r="R498" s="34">
        <v>-10.46</v>
      </c>
      <c r="S498" s="34">
        <v>-10.36</v>
      </c>
      <c r="T498" s="34">
        <v>-10.58</v>
      </c>
      <c r="U498" s="34">
        <v>39.17</v>
      </c>
      <c r="V498" s="34">
        <v>-8.0299999999999994</v>
      </c>
      <c r="W498" s="34">
        <v>2.17</v>
      </c>
      <c r="X498" s="34">
        <v>0.99</v>
      </c>
      <c r="Y498" s="35">
        <v>-13.5524</v>
      </c>
      <c r="Z498" s="35">
        <v>-27.014900000000001</v>
      </c>
      <c r="AA498" s="35">
        <v>-38.561700000000002</v>
      </c>
    </row>
    <row r="499" spans="1:27" ht="15.75" hidden="1" customHeight="1" x14ac:dyDescent="0.2">
      <c r="A499" s="2"/>
      <c r="B499" s="31">
        <v>494</v>
      </c>
      <c r="C499" s="36" t="s">
        <v>991</v>
      </c>
      <c r="D499" s="36" t="s">
        <v>1133</v>
      </c>
      <c r="E499" s="36" t="s">
        <v>1134</v>
      </c>
      <c r="F499" s="36" t="s">
        <v>1210</v>
      </c>
      <c r="G499" s="36" t="s">
        <v>1211</v>
      </c>
      <c r="H499" s="37" t="s">
        <v>95</v>
      </c>
      <c r="I499" s="37" t="s">
        <v>1212</v>
      </c>
      <c r="J499" s="37" t="s">
        <v>82</v>
      </c>
      <c r="K499" s="37" t="s">
        <v>104</v>
      </c>
      <c r="L499" s="36" t="s">
        <v>432</v>
      </c>
      <c r="M499" s="34">
        <v>2225.37</v>
      </c>
      <c r="N499" s="34">
        <v>1941.4</v>
      </c>
      <c r="O499" s="34">
        <v>283.98</v>
      </c>
      <c r="P499" s="34">
        <v>45.45</v>
      </c>
      <c r="Q499" s="34">
        <v>-265.64999999999998</v>
      </c>
      <c r="R499" s="34">
        <v>-265.64999999999998</v>
      </c>
      <c r="S499" s="34">
        <v>-261.60000000000002</v>
      </c>
      <c r="T499" s="34">
        <v>-17.03</v>
      </c>
      <c r="U499" s="34">
        <v>18.48</v>
      </c>
      <c r="V499" s="34">
        <v>-2.94</v>
      </c>
      <c r="W499" s="34">
        <v>2.71</v>
      </c>
      <c r="X499" s="34">
        <v>6.84</v>
      </c>
      <c r="Y499" s="35">
        <v>-11.7553</v>
      </c>
      <c r="Z499" s="35">
        <v>-92.12</v>
      </c>
      <c r="AA499" s="35">
        <v>-575.59</v>
      </c>
    </row>
    <row r="500" spans="1:27" ht="15.75" hidden="1" customHeight="1" x14ac:dyDescent="0.2">
      <c r="A500" s="2"/>
      <c r="B500" s="31">
        <v>495</v>
      </c>
      <c r="C500" s="36" t="s">
        <v>991</v>
      </c>
      <c r="D500" s="36" t="s">
        <v>1139</v>
      </c>
      <c r="E500" s="36" t="s">
        <v>1140</v>
      </c>
      <c r="F500" s="36" t="s">
        <v>1213</v>
      </c>
      <c r="G500" s="36" t="s">
        <v>1214</v>
      </c>
      <c r="H500" s="37" t="s">
        <v>80</v>
      </c>
      <c r="I500" s="37" t="s">
        <v>81</v>
      </c>
      <c r="J500" s="37" t="s">
        <v>82</v>
      </c>
      <c r="K500" s="37" t="s">
        <v>87</v>
      </c>
      <c r="L500" s="36" t="s">
        <v>84</v>
      </c>
      <c r="M500" s="34">
        <v>2877.45</v>
      </c>
      <c r="N500" s="34">
        <v>1410.57</v>
      </c>
      <c r="O500" s="34">
        <v>1466.88</v>
      </c>
      <c r="P500" s="34">
        <v>1520.54</v>
      </c>
      <c r="Q500" s="34">
        <v>-105.56</v>
      </c>
      <c r="R500" s="34">
        <v>-80.209999999999994</v>
      </c>
      <c r="S500" s="34">
        <v>-80.209999999999994</v>
      </c>
      <c r="T500" s="34">
        <v>-73.8</v>
      </c>
      <c r="U500" s="34">
        <v>614.29</v>
      </c>
      <c r="V500" s="34">
        <v>-22.76</v>
      </c>
      <c r="W500" s="34">
        <v>2.73</v>
      </c>
      <c r="X500" s="34">
        <v>0.96</v>
      </c>
      <c r="Y500" s="35">
        <v>-6.1247999999999996</v>
      </c>
      <c r="Z500" s="35">
        <v>-12.0145</v>
      </c>
      <c r="AA500" s="35">
        <v>-11.5905</v>
      </c>
    </row>
    <row r="501" spans="1:27" ht="15.75" hidden="1" customHeight="1" x14ac:dyDescent="0.2">
      <c r="A501" s="2"/>
      <c r="B501" s="31">
        <v>496</v>
      </c>
      <c r="C501" s="36" t="s">
        <v>991</v>
      </c>
      <c r="D501" s="36" t="s">
        <v>1151</v>
      </c>
      <c r="E501" s="36" t="s">
        <v>1152</v>
      </c>
      <c r="F501" s="36" t="s">
        <v>1215</v>
      </c>
      <c r="G501" s="36" t="s">
        <v>1216</v>
      </c>
      <c r="H501" s="37" t="s">
        <v>80</v>
      </c>
      <c r="I501" s="37" t="s">
        <v>81</v>
      </c>
      <c r="J501" s="37" t="s">
        <v>82</v>
      </c>
      <c r="K501" s="37" t="s">
        <v>87</v>
      </c>
      <c r="L501" s="36" t="s">
        <v>84</v>
      </c>
      <c r="M501" s="34">
        <v>30.22</v>
      </c>
      <c r="N501" s="34">
        <v>14.06</v>
      </c>
      <c r="O501" s="34">
        <v>16.16</v>
      </c>
      <c r="P501" s="34">
        <v>19.71</v>
      </c>
      <c r="Q501" s="34">
        <v>4.4400000000000004</v>
      </c>
      <c r="R501" s="34">
        <v>4.3600000000000003</v>
      </c>
      <c r="S501" s="34">
        <v>4.3600000000000003</v>
      </c>
      <c r="T501" s="34">
        <v>9.31</v>
      </c>
      <c r="U501" s="34">
        <v>15.61</v>
      </c>
      <c r="V501" s="34">
        <v>24.7</v>
      </c>
      <c r="W501" s="34">
        <v>14.73</v>
      </c>
      <c r="X501" s="34">
        <v>0.87</v>
      </c>
      <c r="Y501" s="35">
        <v>31.895800000000001</v>
      </c>
      <c r="Z501" s="35">
        <v>59.636200000000002</v>
      </c>
      <c r="AA501" s="35">
        <v>48.885300000000001</v>
      </c>
    </row>
    <row r="502" spans="1:27" ht="15.75" hidden="1" customHeight="1" x14ac:dyDescent="0.2">
      <c r="A502" s="2"/>
      <c r="B502" s="31">
        <v>497</v>
      </c>
      <c r="C502" s="36" t="s">
        <v>991</v>
      </c>
      <c r="D502" s="36" t="s">
        <v>1133</v>
      </c>
      <c r="E502" s="36" t="s">
        <v>1134</v>
      </c>
      <c r="F502" s="36" t="s">
        <v>1217</v>
      </c>
      <c r="G502" s="36" t="s">
        <v>1218</v>
      </c>
      <c r="H502" s="37" t="s">
        <v>95</v>
      </c>
      <c r="I502" s="37" t="s">
        <v>81</v>
      </c>
      <c r="J502" s="37" t="s">
        <v>82</v>
      </c>
      <c r="K502" s="37" t="s">
        <v>87</v>
      </c>
      <c r="L502" s="36" t="s">
        <v>84</v>
      </c>
      <c r="M502" s="34">
        <v>127.24</v>
      </c>
      <c r="N502" s="34">
        <v>89.47</v>
      </c>
      <c r="O502" s="34">
        <v>37.770000000000003</v>
      </c>
      <c r="P502" s="34">
        <v>22.68</v>
      </c>
      <c r="Q502" s="34">
        <v>2.36</v>
      </c>
      <c r="R502" s="34">
        <v>1.1399999999999999</v>
      </c>
      <c r="S502" s="34">
        <v>1.1200000000000001</v>
      </c>
      <c r="T502" s="34">
        <v>1.89</v>
      </c>
      <c r="U502" s="34">
        <v>11.07</v>
      </c>
      <c r="V502" s="34">
        <v>22.26</v>
      </c>
      <c r="W502" s="34">
        <v>3.79</v>
      </c>
      <c r="X502" s="34">
        <v>2.37</v>
      </c>
      <c r="Y502" s="35">
        <v>5.0583999999999998</v>
      </c>
      <c r="Z502" s="35">
        <v>17.041</v>
      </c>
      <c r="AA502" s="35">
        <v>28.383400000000002</v>
      </c>
    </row>
    <row r="503" spans="1:27" ht="15.75" hidden="1" customHeight="1" x14ac:dyDescent="0.2">
      <c r="A503" s="2"/>
      <c r="B503" s="31">
        <v>498</v>
      </c>
      <c r="C503" s="36" t="s">
        <v>991</v>
      </c>
      <c r="D503" s="36" t="s">
        <v>1133</v>
      </c>
      <c r="E503" s="36" t="s">
        <v>1134</v>
      </c>
      <c r="F503" s="36" t="s">
        <v>1219</v>
      </c>
      <c r="G503" s="36" t="s">
        <v>1220</v>
      </c>
      <c r="H503" s="37" t="s">
        <v>80</v>
      </c>
      <c r="I503" s="37" t="s">
        <v>81</v>
      </c>
      <c r="J503" s="37" t="s">
        <v>82</v>
      </c>
      <c r="K503" s="37" t="s">
        <v>87</v>
      </c>
      <c r="L503" s="36" t="s">
        <v>84</v>
      </c>
      <c r="M503" s="34">
        <v>102.64</v>
      </c>
      <c r="N503" s="34">
        <v>13.1</v>
      </c>
      <c r="O503" s="34">
        <v>89.54</v>
      </c>
      <c r="P503" s="34">
        <v>3.87</v>
      </c>
      <c r="Q503" s="34">
        <v>-1.91</v>
      </c>
      <c r="R503" s="34">
        <v>-1.91</v>
      </c>
      <c r="S503" s="34">
        <v>-1.91</v>
      </c>
      <c r="T503" s="34">
        <v>-0.56999999999999995</v>
      </c>
      <c r="U503" s="34">
        <v>9.1</v>
      </c>
      <c r="V503" s="34">
        <v>-297.64999999999998</v>
      </c>
      <c r="W503" s="34">
        <v>18.579999999999998</v>
      </c>
      <c r="X503" s="34">
        <v>0.15</v>
      </c>
      <c r="Y503" s="35">
        <v>-5.4454000000000002</v>
      </c>
      <c r="Z503" s="35">
        <v>-6.2423000000000002</v>
      </c>
      <c r="AA503" s="35">
        <v>-144.54849999999999</v>
      </c>
    </row>
    <row r="504" spans="1:27" ht="15.75" hidden="1" customHeight="1" x14ac:dyDescent="0.2">
      <c r="A504" s="2"/>
      <c r="B504" s="31">
        <v>499</v>
      </c>
      <c r="C504" s="36" t="s">
        <v>991</v>
      </c>
      <c r="D504" s="36" t="s">
        <v>1133</v>
      </c>
      <c r="E504" s="36" t="s">
        <v>1134</v>
      </c>
      <c r="F504" s="36" t="s">
        <v>1221</v>
      </c>
      <c r="G504" s="36" t="s">
        <v>1222</v>
      </c>
      <c r="H504" s="37" t="s">
        <v>95</v>
      </c>
      <c r="I504" s="37" t="s">
        <v>81</v>
      </c>
      <c r="J504" s="37" t="s">
        <v>82</v>
      </c>
      <c r="K504" s="37" t="s">
        <v>87</v>
      </c>
      <c r="L504" s="36" t="s">
        <v>84</v>
      </c>
      <c r="M504" s="34">
        <v>803.15</v>
      </c>
      <c r="N504" s="34">
        <v>3.45</v>
      </c>
      <c r="O504" s="34">
        <v>799.71</v>
      </c>
      <c r="P504" s="34">
        <v>7.57</v>
      </c>
      <c r="Q504" s="34">
        <v>-1.63</v>
      </c>
      <c r="R504" s="34">
        <v>-1.65</v>
      </c>
      <c r="S504" s="34">
        <v>-1.65</v>
      </c>
      <c r="T504" s="34">
        <v>-0.1</v>
      </c>
      <c r="U504" s="34">
        <v>99.95</v>
      </c>
      <c r="V504" s="34">
        <v>-1480.5</v>
      </c>
      <c r="W504" s="34">
        <v>1.44</v>
      </c>
      <c r="X504" s="34" t="s">
        <v>95</v>
      </c>
      <c r="Y504" s="35">
        <v>-9.69E-2</v>
      </c>
      <c r="Z504" s="35">
        <v>-9.7299999999999998E-2</v>
      </c>
      <c r="AA504" s="35">
        <v>-10.283200000000001</v>
      </c>
    </row>
    <row r="505" spans="1:27" ht="15.75" hidden="1" customHeight="1" x14ac:dyDescent="0.2">
      <c r="A505" s="2"/>
      <c r="B505" s="31">
        <v>500</v>
      </c>
      <c r="C505" s="36" t="s">
        <v>991</v>
      </c>
      <c r="D505" s="36" t="s">
        <v>1133</v>
      </c>
      <c r="E505" s="36" t="s">
        <v>1134</v>
      </c>
      <c r="F505" s="36" t="s">
        <v>1223</v>
      </c>
      <c r="G505" s="36" t="s">
        <v>1224</v>
      </c>
      <c r="H505" s="37" t="s">
        <v>95</v>
      </c>
      <c r="I505" s="37" t="s">
        <v>435</v>
      </c>
      <c r="J505" s="37" t="s">
        <v>82</v>
      </c>
      <c r="K505" s="37" t="s">
        <v>87</v>
      </c>
      <c r="L505" s="36" t="s">
        <v>84</v>
      </c>
      <c r="M505" s="34">
        <v>817.91</v>
      </c>
      <c r="N505" s="34">
        <v>64.77</v>
      </c>
      <c r="O505" s="34">
        <v>753.15</v>
      </c>
      <c r="P505" s="34">
        <v>8.7799999999999994</v>
      </c>
      <c r="Q505" s="34">
        <v>-11.3</v>
      </c>
      <c r="R505" s="34">
        <v>-11.3</v>
      </c>
      <c r="S505" s="34">
        <v>-11.31</v>
      </c>
      <c r="T505" s="34">
        <v>-1.52</v>
      </c>
      <c r="U505" s="34">
        <v>97.81</v>
      </c>
      <c r="V505" s="34">
        <v>-32.97</v>
      </c>
      <c r="W505" s="34">
        <v>0.51</v>
      </c>
      <c r="X505" s="34">
        <v>0.09</v>
      </c>
      <c r="Y505" s="35">
        <v>-1.4278999999999999</v>
      </c>
      <c r="Z505" s="35">
        <v>-1.5507</v>
      </c>
      <c r="AA505" s="35">
        <v>-132.95429999999999</v>
      </c>
    </row>
    <row r="506" spans="1:27" ht="15.75" hidden="1" customHeight="1" x14ac:dyDescent="0.2">
      <c r="A506" s="2"/>
      <c r="B506" s="31">
        <v>501</v>
      </c>
      <c r="C506" s="36" t="s">
        <v>991</v>
      </c>
      <c r="D506" s="36" t="s">
        <v>1143</v>
      </c>
      <c r="E506" s="36" t="s">
        <v>1144</v>
      </c>
      <c r="F506" s="36" t="s">
        <v>1225</v>
      </c>
      <c r="G506" s="36" t="s">
        <v>1226</v>
      </c>
      <c r="H506" s="37" t="s">
        <v>80</v>
      </c>
      <c r="I506" s="37" t="s">
        <v>81</v>
      </c>
      <c r="J506" s="37" t="s">
        <v>82</v>
      </c>
      <c r="K506" s="37" t="s">
        <v>87</v>
      </c>
      <c r="L506" s="36" t="s">
        <v>84</v>
      </c>
      <c r="M506" s="34">
        <v>1819.96</v>
      </c>
      <c r="N506" s="34">
        <v>657.32</v>
      </c>
      <c r="O506" s="34">
        <v>1162.6400000000001</v>
      </c>
      <c r="P506" s="34">
        <v>1800.58</v>
      </c>
      <c r="Q506" s="34">
        <v>86.54</v>
      </c>
      <c r="R506" s="34">
        <v>69.930000000000007</v>
      </c>
      <c r="S506" s="34">
        <v>40.869999999999997</v>
      </c>
      <c r="T506" s="34">
        <v>250.3</v>
      </c>
      <c r="U506" s="34">
        <v>837.94</v>
      </c>
      <c r="V506" s="34">
        <v>2.92</v>
      </c>
      <c r="W506" s="34">
        <v>0.87</v>
      </c>
      <c r="X506" s="34">
        <v>0.56999999999999995</v>
      </c>
      <c r="Y506" s="35">
        <v>19.082699999999999</v>
      </c>
      <c r="Z506" s="35">
        <v>29.871300000000002</v>
      </c>
      <c r="AA506" s="35">
        <v>19.288</v>
      </c>
    </row>
    <row r="507" spans="1:27" ht="15.75" hidden="1" customHeight="1" x14ac:dyDescent="0.2">
      <c r="A507" s="2"/>
      <c r="B507" s="31">
        <v>502</v>
      </c>
      <c r="C507" s="36" t="s">
        <v>991</v>
      </c>
      <c r="D507" s="36" t="s">
        <v>1143</v>
      </c>
      <c r="E507" s="36" t="s">
        <v>1144</v>
      </c>
      <c r="F507" s="36" t="s">
        <v>1227</v>
      </c>
      <c r="G507" s="36" t="s">
        <v>1228</v>
      </c>
      <c r="H507" s="37" t="s">
        <v>95</v>
      </c>
      <c r="I507" s="37" t="s">
        <v>81</v>
      </c>
      <c r="J507" s="37" t="s">
        <v>82</v>
      </c>
      <c r="K507" s="37" t="s">
        <v>87</v>
      </c>
      <c r="L507" s="36" t="s">
        <v>84</v>
      </c>
      <c r="M507" s="34">
        <v>313.08999999999997</v>
      </c>
      <c r="N507" s="34">
        <v>216.64</v>
      </c>
      <c r="O507" s="34">
        <v>96.45</v>
      </c>
      <c r="P507" s="34">
        <v>246.38</v>
      </c>
      <c r="Q507" s="34">
        <v>18.95</v>
      </c>
      <c r="R507" s="34">
        <v>14.35</v>
      </c>
      <c r="S507" s="34">
        <v>10.01</v>
      </c>
      <c r="T507" s="34">
        <v>22.85</v>
      </c>
      <c r="U507" s="34">
        <v>134.88999999999999</v>
      </c>
      <c r="V507" s="34">
        <v>26.04</v>
      </c>
      <c r="W507" s="34">
        <v>4.41</v>
      </c>
      <c r="X507" s="34">
        <v>2.25</v>
      </c>
      <c r="Y507" s="35">
        <v>5.2188999999999997</v>
      </c>
      <c r="Z507" s="35">
        <v>16.941600000000001</v>
      </c>
      <c r="AA507" s="35">
        <v>6.6319999999999997</v>
      </c>
    </row>
    <row r="508" spans="1:27" ht="15.75" hidden="1" customHeight="1" x14ac:dyDescent="0.2">
      <c r="A508" s="2"/>
      <c r="B508" s="31">
        <v>503</v>
      </c>
      <c r="C508" s="36" t="s">
        <v>991</v>
      </c>
      <c r="D508" s="36" t="s">
        <v>1139</v>
      </c>
      <c r="E508" s="36" t="s">
        <v>1140</v>
      </c>
      <c r="F508" s="36" t="s">
        <v>1229</v>
      </c>
      <c r="G508" s="36" t="s">
        <v>1230</v>
      </c>
      <c r="H508" s="37" t="s">
        <v>95</v>
      </c>
      <c r="I508" s="37" t="s">
        <v>81</v>
      </c>
      <c r="J508" s="37" t="s">
        <v>82</v>
      </c>
      <c r="K508" s="37" t="s">
        <v>87</v>
      </c>
      <c r="L508" s="36" t="s">
        <v>84</v>
      </c>
      <c r="M508" s="34">
        <v>34.6</v>
      </c>
      <c r="N508" s="34">
        <v>20.18</v>
      </c>
      <c r="O508" s="34">
        <v>14.42</v>
      </c>
      <c r="P508" s="34">
        <v>9.26</v>
      </c>
      <c r="Q508" s="34">
        <v>-1.31</v>
      </c>
      <c r="R508" s="34">
        <v>-1.67</v>
      </c>
      <c r="S508" s="34">
        <v>-1.72</v>
      </c>
      <c r="T508" s="34">
        <v>6.53</v>
      </c>
      <c r="U508" s="34">
        <v>29.55</v>
      </c>
      <c r="V508" s="34">
        <v>41.93</v>
      </c>
      <c r="W508" s="34">
        <v>9.27</v>
      </c>
      <c r="X508" s="34">
        <v>1.4</v>
      </c>
      <c r="Y508" s="35">
        <v>9.2166999999999994</v>
      </c>
      <c r="Z508" s="35">
        <v>22.116399999999999</v>
      </c>
      <c r="AA508" s="35">
        <v>34.427199999999999</v>
      </c>
    </row>
    <row r="509" spans="1:27" ht="15.75" hidden="1" customHeight="1" x14ac:dyDescent="0.2">
      <c r="A509" s="2"/>
      <c r="B509" s="31">
        <v>504</v>
      </c>
      <c r="C509" s="36" t="s">
        <v>991</v>
      </c>
      <c r="D509" s="36" t="s">
        <v>1147</v>
      </c>
      <c r="E509" s="36" t="s">
        <v>1148</v>
      </c>
      <c r="F509" s="36" t="s">
        <v>1231</v>
      </c>
      <c r="G509" s="36" t="s">
        <v>1232</v>
      </c>
      <c r="H509" s="37" t="s">
        <v>80</v>
      </c>
      <c r="I509" s="37" t="s">
        <v>81</v>
      </c>
      <c r="J509" s="37" t="s">
        <v>82</v>
      </c>
      <c r="K509" s="37" t="s">
        <v>87</v>
      </c>
      <c r="L509" s="36" t="s">
        <v>84</v>
      </c>
      <c r="M509" s="34">
        <v>3602.25</v>
      </c>
      <c r="N509" s="34">
        <v>1885.3</v>
      </c>
      <c r="O509" s="34">
        <v>1716.95</v>
      </c>
      <c r="P509" s="34">
        <v>495.46</v>
      </c>
      <c r="Q509" s="34">
        <v>47.99</v>
      </c>
      <c r="R509" s="34">
        <v>21.48</v>
      </c>
      <c r="S509" s="34">
        <v>21.7</v>
      </c>
      <c r="T509" s="34">
        <v>87.29</v>
      </c>
      <c r="U509" s="34">
        <v>1073.0999999999999</v>
      </c>
      <c r="V509" s="34">
        <v>7.56</v>
      </c>
      <c r="W509" s="34">
        <v>0.62</v>
      </c>
      <c r="X509" s="34">
        <v>1.1000000000000001</v>
      </c>
      <c r="Y509" s="35">
        <v>3.8771</v>
      </c>
      <c r="Z509" s="35">
        <v>8.1341999999999999</v>
      </c>
      <c r="AA509" s="35">
        <v>28.187899999999999</v>
      </c>
    </row>
    <row r="510" spans="1:27" ht="15.75" hidden="1" customHeight="1" x14ac:dyDescent="0.2">
      <c r="A510" s="2"/>
      <c r="B510" s="31">
        <v>505</v>
      </c>
      <c r="C510" s="36" t="s">
        <v>991</v>
      </c>
      <c r="D510" s="36" t="s">
        <v>1133</v>
      </c>
      <c r="E510" s="36" t="s">
        <v>1134</v>
      </c>
      <c r="F510" s="36" t="s">
        <v>1233</v>
      </c>
      <c r="G510" s="36" t="s">
        <v>1234</v>
      </c>
      <c r="H510" s="37" t="s">
        <v>95</v>
      </c>
      <c r="I510" s="37" t="s">
        <v>81</v>
      </c>
      <c r="J510" s="37" t="s">
        <v>82</v>
      </c>
      <c r="K510" s="37" t="s">
        <v>87</v>
      </c>
      <c r="L510" s="36" t="s">
        <v>84</v>
      </c>
      <c r="M510" s="34">
        <v>80.989999999999995</v>
      </c>
      <c r="N510" s="34">
        <v>25.82</v>
      </c>
      <c r="O510" s="34">
        <v>55.17</v>
      </c>
      <c r="P510" s="34">
        <v>6.48</v>
      </c>
      <c r="Q510" s="34">
        <v>-4.16</v>
      </c>
      <c r="R510" s="34">
        <v>-4.16</v>
      </c>
      <c r="S510" s="34">
        <v>-4.16</v>
      </c>
      <c r="T510" s="34">
        <v>-4.95</v>
      </c>
      <c r="U510" s="34">
        <v>61.52</v>
      </c>
      <c r="V510" s="34">
        <v>-11.91</v>
      </c>
      <c r="W510" s="34">
        <v>0.96</v>
      </c>
      <c r="X510" s="34">
        <v>0.47</v>
      </c>
      <c r="Y510" s="35">
        <v>-5.4833999999999996</v>
      </c>
      <c r="Z510" s="35">
        <v>-8.0501000000000005</v>
      </c>
      <c r="AA510" s="35">
        <v>-68.535399999999996</v>
      </c>
    </row>
    <row r="511" spans="1:27" ht="15.75" hidden="1" customHeight="1" x14ac:dyDescent="0.2">
      <c r="A511" s="2"/>
      <c r="B511" s="31">
        <v>506</v>
      </c>
      <c r="C511" s="36" t="s">
        <v>991</v>
      </c>
      <c r="D511" s="36" t="s">
        <v>1133</v>
      </c>
      <c r="E511" s="36" t="s">
        <v>1134</v>
      </c>
      <c r="F511" s="36" t="s">
        <v>1235</v>
      </c>
      <c r="G511" s="36" t="s">
        <v>1236</v>
      </c>
      <c r="H511" s="37" t="s">
        <v>80</v>
      </c>
      <c r="I511" s="37" t="s">
        <v>81</v>
      </c>
      <c r="J511" s="37" t="s">
        <v>82</v>
      </c>
      <c r="K511" s="37" t="s">
        <v>87</v>
      </c>
      <c r="L511" s="36" t="s">
        <v>84</v>
      </c>
      <c r="M511" s="34">
        <v>350.96</v>
      </c>
      <c r="N511" s="34">
        <v>155.87</v>
      </c>
      <c r="O511" s="34">
        <v>195.09</v>
      </c>
      <c r="P511" s="34">
        <v>100.68</v>
      </c>
      <c r="Q511" s="34">
        <v>-0.55000000000000004</v>
      </c>
      <c r="R511" s="34">
        <v>-1.19</v>
      </c>
      <c r="S511" s="34">
        <v>-4.07</v>
      </c>
      <c r="T511" s="34">
        <v>-2.46</v>
      </c>
      <c r="U511" s="34">
        <v>244.53</v>
      </c>
      <c r="V511" s="34">
        <v>-383.7</v>
      </c>
      <c r="W511" s="34">
        <v>3.86</v>
      </c>
      <c r="X511" s="34">
        <v>0.8</v>
      </c>
      <c r="Y511" s="35">
        <v>-0.55989999999999995</v>
      </c>
      <c r="Z511" s="35">
        <v>-1.0072000000000001</v>
      </c>
      <c r="AA511" s="35">
        <v>-1.9517</v>
      </c>
    </row>
    <row r="512" spans="1:27" ht="15.75" hidden="1" customHeight="1" x14ac:dyDescent="0.2">
      <c r="A512" s="2"/>
      <c r="B512" s="31">
        <v>507</v>
      </c>
      <c r="C512" s="36" t="s">
        <v>991</v>
      </c>
      <c r="D512" s="36" t="s">
        <v>1133</v>
      </c>
      <c r="E512" s="36" t="s">
        <v>1134</v>
      </c>
      <c r="F512" s="36" t="s">
        <v>1237</v>
      </c>
      <c r="G512" s="36" t="s">
        <v>1238</v>
      </c>
      <c r="H512" s="37" t="s">
        <v>80</v>
      </c>
      <c r="I512" s="37" t="s">
        <v>81</v>
      </c>
      <c r="J512" s="37" t="s">
        <v>82</v>
      </c>
      <c r="K512" s="37" t="s">
        <v>87</v>
      </c>
      <c r="L512" s="36" t="s">
        <v>84</v>
      </c>
      <c r="M512" s="34">
        <v>384.26</v>
      </c>
      <c r="N512" s="34">
        <v>56.75</v>
      </c>
      <c r="O512" s="34">
        <v>327.52</v>
      </c>
      <c r="P512" s="34">
        <v>25.02</v>
      </c>
      <c r="Q512" s="34">
        <v>-5.9</v>
      </c>
      <c r="R512" s="34">
        <v>-5.77</v>
      </c>
      <c r="S512" s="34">
        <v>-5.77</v>
      </c>
      <c r="T512" s="34">
        <v>-0.68</v>
      </c>
      <c r="U512" s="34">
        <v>31.64</v>
      </c>
      <c r="V512" s="34">
        <v>-172.93</v>
      </c>
      <c r="W512" s="34">
        <v>3.7</v>
      </c>
      <c r="X512" s="34">
        <v>0.17</v>
      </c>
      <c r="Y512" s="35">
        <v>-1.8226</v>
      </c>
      <c r="Z512" s="35">
        <v>-2.1383999999999999</v>
      </c>
      <c r="AA512" s="35">
        <v>-27.9908</v>
      </c>
    </row>
    <row r="513" spans="1:27" ht="15.75" hidden="1" customHeight="1" x14ac:dyDescent="0.2">
      <c r="A513" s="2"/>
      <c r="B513" s="31">
        <v>508</v>
      </c>
      <c r="C513" s="36" t="s">
        <v>991</v>
      </c>
      <c r="D513" s="36" t="s">
        <v>1139</v>
      </c>
      <c r="E513" s="36" t="s">
        <v>1140</v>
      </c>
      <c r="F513" s="36" t="s">
        <v>1239</v>
      </c>
      <c r="G513" s="36" t="s">
        <v>1240</v>
      </c>
      <c r="H513" s="37" t="s">
        <v>80</v>
      </c>
      <c r="I513" s="37" t="s">
        <v>81</v>
      </c>
      <c r="J513" s="37" t="s">
        <v>82</v>
      </c>
      <c r="K513" s="37" t="s">
        <v>87</v>
      </c>
      <c r="L513" s="36" t="s">
        <v>84</v>
      </c>
      <c r="M513" s="34">
        <v>340.14</v>
      </c>
      <c r="N513" s="34">
        <v>161.41</v>
      </c>
      <c r="O513" s="34">
        <v>178.73</v>
      </c>
      <c r="P513" s="34">
        <v>368.82</v>
      </c>
      <c r="Q513" s="34">
        <v>15.18</v>
      </c>
      <c r="R513" s="34">
        <v>14.41</v>
      </c>
      <c r="S513" s="34">
        <v>12.61</v>
      </c>
      <c r="T513" s="34">
        <v>98.46</v>
      </c>
      <c r="U513" s="34">
        <v>809.42</v>
      </c>
      <c r="V513" s="34">
        <v>9.6</v>
      </c>
      <c r="W513" s="34">
        <v>1.17</v>
      </c>
      <c r="X513" s="34">
        <v>0.9</v>
      </c>
      <c r="Y513" s="35">
        <v>6.3917999999999999</v>
      </c>
      <c r="Z513" s="35">
        <v>12.164300000000001</v>
      </c>
      <c r="AA513" s="35">
        <v>5.8947000000000003</v>
      </c>
    </row>
    <row r="514" spans="1:27" ht="15.75" hidden="1" customHeight="1" x14ac:dyDescent="0.2">
      <c r="A514" s="2"/>
      <c r="B514" s="31">
        <v>509</v>
      </c>
      <c r="C514" s="36" t="s">
        <v>991</v>
      </c>
      <c r="D514" s="36" t="s">
        <v>1139</v>
      </c>
      <c r="E514" s="36" t="s">
        <v>1140</v>
      </c>
      <c r="F514" s="36" t="s">
        <v>1241</v>
      </c>
      <c r="G514" s="36" t="s">
        <v>1242</v>
      </c>
      <c r="H514" s="37" t="s">
        <v>80</v>
      </c>
      <c r="I514" s="37" t="s">
        <v>81</v>
      </c>
      <c r="J514" s="37" t="s">
        <v>82</v>
      </c>
      <c r="K514" s="37" t="s">
        <v>87</v>
      </c>
      <c r="L514" s="36" t="s">
        <v>84</v>
      </c>
      <c r="M514" s="34">
        <v>2009.35</v>
      </c>
      <c r="N514" s="34">
        <v>975.19</v>
      </c>
      <c r="O514" s="34">
        <v>1034.1500000000001</v>
      </c>
      <c r="P514" s="34">
        <v>1543.56</v>
      </c>
      <c r="Q514" s="34">
        <v>20.12</v>
      </c>
      <c r="R514" s="34">
        <v>15.57</v>
      </c>
      <c r="S514" s="34">
        <v>15.57</v>
      </c>
      <c r="T514" s="34">
        <v>5.91</v>
      </c>
      <c r="U514" s="34">
        <v>342.22</v>
      </c>
      <c r="V514" s="34">
        <v>45.05</v>
      </c>
      <c r="W514" s="34">
        <v>0.78</v>
      </c>
      <c r="X514" s="34">
        <v>0.94</v>
      </c>
      <c r="Y514" s="35">
        <v>0.8881</v>
      </c>
      <c r="Z514" s="35">
        <v>1.7255</v>
      </c>
      <c r="AA514" s="35">
        <v>1.1560999999999999</v>
      </c>
    </row>
    <row r="515" spans="1:27" ht="15.75" hidden="1" customHeight="1" x14ac:dyDescent="0.2">
      <c r="A515" s="2"/>
      <c r="B515" s="31">
        <v>510</v>
      </c>
      <c r="C515" s="36" t="s">
        <v>991</v>
      </c>
      <c r="D515" s="36" t="s">
        <v>1139</v>
      </c>
      <c r="E515" s="36" t="s">
        <v>1140</v>
      </c>
      <c r="F515" s="36" t="s">
        <v>1243</v>
      </c>
      <c r="G515" s="36" t="s">
        <v>1244</v>
      </c>
      <c r="H515" s="37" t="s">
        <v>95</v>
      </c>
      <c r="I515" s="37" t="s">
        <v>375</v>
      </c>
      <c r="J515" s="37" t="s">
        <v>82</v>
      </c>
      <c r="K515" s="37" t="s">
        <v>87</v>
      </c>
      <c r="L515" s="36" t="s">
        <v>84</v>
      </c>
      <c r="M515" s="34">
        <v>447.53</v>
      </c>
      <c r="N515" s="34">
        <v>140.08000000000001</v>
      </c>
      <c r="O515" s="34">
        <v>307.45999999999998</v>
      </c>
      <c r="P515" s="34">
        <v>100.65</v>
      </c>
      <c r="Q515" s="34">
        <v>-6.4</v>
      </c>
      <c r="R515" s="34">
        <v>-5.19</v>
      </c>
      <c r="S515" s="34">
        <v>-5.19</v>
      </c>
      <c r="T515" s="34">
        <v>-5.4</v>
      </c>
      <c r="U515" s="34">
        <v>98.29</v>
      </c>
      <c r="V515" s="34">
        <v>-2.78</v>
      </c>
      <c r="W515" s="34">
        <v>0.15</v>
      </c>
      <c r="X515" s="34">
        <v>0.46</v>
      </c>
      <c r="Y515" s="35">
        <v>-3.7745000000000002</v>
      </c>
      <c r="Z515" s="35">
        <v>-5.4943</v>
      </c>
      <c r="AA515" s="35">
        <v>-16.783100000000001</v>
      </c>
    </row>
    <row r="516" spans="1:27" ht="15.75" hidden="1" customHeight="1" x14ac:dyDescent="0.2">
      <c r="A516" s="2"/>
      <c r="B516" s="31">
        <v>511</v>
      </c>
      <c r="C516" s="36" t="s">
        <v>991</v>
      </c>
      <c r="D516" s="36" t="s">
        <v>1133</v>
      </c>
      <c r="E516" s="36" t="s">
        <v>1134</v>
      </c>
      <c r="F516" s="36" t="s">
        <v>1245</v>
      </c>
      <c r="G516" s="36" t="s">
        <v>1246</v>
      </c>
      <c r="H516" s="37" t="s">
        <v>80</v>
      </c>
      <c r="I516" s="37" t="s">
        <v>81</v>
      </c>
      <c r="J516" s="37" t="s">
        <v>82</v>
      </c>
      <c r="K516" s="37" t="s">
        <v>87</v>
      </c>
      <c r="L516" s="36" t="s">
        <v>84</v>
      </c>
      <c r="M516" s="34">
        <v>1228.0899999999999</v>
      </c>
      <c r="N516" s="34">
        <v>514.02</v>
      </c>
      <c r="O516" s="34">
        <v>714.08</v>
      </c>
      <c r="P516" s="34">
        <v>45.3</v>
      </c>
      <c r="Q516" s="34">
        <v>-33.200000000000003</v>
      </c>
      <c r="R516" s="34">
        <v>-32.840000000000003</v>
      </c>
      <c r="S516" s="34">
        <v>-32.840000000000003</v>
      </c>
      <c r="T516" s="34">
        <v>-29.28</v>
      </c>
      <c r="U516" s="34">
        <v>637.95000000000005</v>
      </c>
      <c r="V516" s="34">
        <v>-30.23</v>
      </c>
      <c r="W516" s="34">
        <v>1.39</v>
      </c>
      <c r="X516" s="34">
        <v>0.72</v>
      </c>
      <c r="Y516" s="35">
        <v>-2.6686999999999999</v>
      </c>
      <c r="Z516" s="35">
        <v>-4.5896999999999997</v>
      </c>
      <c r="AA516" s="35">
        <v>-72.3553</v>
      </c>
    </row>
    <row r="517" spans="1:27" ht="15.75" hidden="1" customHeight="1" x14ac:dyDescent="0.2">
      <c r="A517" s="2"/>
      <c r="B517" s="31">
        <v>512</v>
      </c>
      <c r="C517" s="36" t="s">
        <v>991</v>
      </c>
      <c r="D517" s="36" t="s">
        <v>1133</v>
      </c>
      <c r="E517" s="36" t="s">
        <v>1134</v>
      </c>
      <c r="F517" s="36" t="s">
        <v>1247</v>
      </c>
      <c r="G517" s="36" t="s">
        <v>1248</v>
      </c>
      <c r="H517" s="37" t="s">
        <v>80</v>
      </c>
      <c r="I517" s="37" t="s">
        <v>81</v>
      </c>
      <c r="J517" s="37" t="s">
        <v>82</v>
      </c>
      <c r="K517" s="37" t="s">
        <v>87</v>
      </c>
      <c r="L517" s="36" t="s">
        <v>84</v>
      </c>
      <c r="M517" s="34">
        <v>203.46</v>
      </c>
      <c r="N517" s="34">
        <v>40.97</v>
      </c>
      <c r="O517" s="34">
        <v>162.49</v>
      </c>
      <c r="P517" s="34">
        <v>18.52</v>
      </c>
      <c r="Q517" s="34">
        <v>-5.58</v>
      </c>
      <c r="R517" s="34">
        <v>-5.58</v>
      </c>
      <c r="S517" s="34">
        <v>-5.58</v>
      </c>
      <c r="T517" s="34">
        <v>-6.43</v>
      </c>
      <c r="U517" s="34">
        <v>361.1</v>
      </c>
      <c r="V517" s="34">
        <v>-65.98</v>
      </c>
      <c r="W517" s="34">
        <v>1.17</v>
      </c>
      <c r="X517" s="34">
        <v>0.25</v>
      </c>
      <c r="Y517" s="35">
        <v>-1.4214</v>
      </c>
      <c r="Z517" s="35">
        <v>-1.7797000000000001</v>
      </c>
      <c r="AA517" s="35">
        <v>-15.611000000000001</v>
      </c>
    </row>
    <row r="518" spans="1:27" ht="15.75" hidden="1" customHeight="1" x14ac:dyDescent="0.2">
      <c r="A518" s="2"/>
      <c r="B518" s="31">
        <v>513</v>
      </c>
      <c r="C518" s="36" t="s">
        <v>991</v>
      </c>
      <c r="D518" s="36" t="s">
        <v>1133</v>
      </c>
      <c r="E518" s="36" t="s">
        <v>1134</v>
      </c>
      <c r="F518" s="36" t="s">
        <v>1249</v>
      </c>
      <c r="G518" s="36" t="s">
        <v>1250</v>
      </c>
      <c r="H518" s="37" t="s">
        <v>80</v>
      </c>
      <c r="I518" s="37" t="s">
        <v>81</v>
      </c>
      <c r="J518" s="37" t="s">
        <v>82</v>
      </c>
      <c r="K518" s="37" t="s">
        <v>87</v>
      </c>
      <c r="L518" s="36" t="s">
        <v>84</v>
      </c>
      <c r="M518" s="34">
        <v>418.02</v>
      </c>
      <c r="N518" s="34">
        <v>231.38</v>
      </c>
      <c r="O518" s="34">
        <v>186.65</v>
      </c>
      <c r="P518" s="34">
        <v>9.3000000000000007</v>
      </c>
      <c r="Q518" s="34">
        <v>-8.26</v>
      </c>
      <c r="R518" s="34">
        <v>-8.26</v>
      </c>
      <c r="S518" s="34">
        <v>-8.17</v>
      </c>
      <c r="T518" s="34">
        <v>-16.829999999999998</v>
      </c>
      <c r="U518" s="34">
        <v>186.65</v>
      </c>
      <c r="V518" s="34">
        <v>-22.94</v>
      </c>
      <c r="W518" s="34">
        <v>2.0699999999999998</v>
      </c>
      <c r="X518" s="34">
        <v>1.24</v>
      </c>
      <c r="Y518" s="35">
        <v>-4.0255999999999998</v>
      </c>
      <c r="Z518" s="35">
        <v>-9.0158000000000005</v>
      </c>
      <c r="AA518" s="35">
        <v>-180.9615</v>
      </c>
    </row>
    <row r="519" spans="1:27" ht="15.75" hidden="1" customHeight="1" x14ac:dyDescent="0.2">
      <c r="A519" s="2"/>
      <c r="B519" s="31">
        <v>514</v>
      </c>
      <c r="C519" s="36" t="s">
        <v>991</v>
      </c>
      <c r="D519" s="36" t="s">
        <v>1133</v>
      </c>
      <c r="E519" s="36" t="s">
        <v>1134</v>
      </c>
      <c r="F519" s="36" t="s">
        <v>1251</v>
      </c>
      <c r="G519" s="36" t="s">
        <v>1252</v>
      </c>
      <c r="H519" s="37" t="s">
        <v>80</v>
      </c>
      <c r="I519" s="37" t="s">
        <v>81</v>
      </c>
      <c r="J519" s="37" t="s">
        <v>82</v>
      </c>
      <c r="K519" s="37" t="s">
        <v>87</v>
      </c>
      <c r="L519" s="36" t="s">
        <v>84</v>
      </c>
      <c r="M519" s="34">
        <v>475.33</v>
      </c>
      <c r="N519" s="34">
        <v>222.41</v>
      </c>
      <c r="O519" s="34">
        <v>252.92</v>
      </c>
      <c r="P519" s="34">
        <v>77.95</v>
      </c>
      <c r="Q519" s="34">
        <v>21.27</v>
      </c>
      <c r="R519" s="34">
        <v>18.71</v>
      </c>
      <c r="S519" s="34">
        <v>18.71</v>
      </c>
      <c r="T519" s="34">
        <v>5.79</v>
      </c>
      <c r="U519" s="34">
        <v>46.97</v>
      </c>
      <c r="V519" s="34">
        <v>16.07</v>
      </c>
      <c r="W519" s="34">
        <v>1.98</v>
      </c>
      <c r="X519" s="34">
        <v>0.88</v>
      </c>
      <c r="Y519" s="35">
        <v>6.5571000000000002</v>
      </c>
      <c r="Z519" s="35">
        <v>12.323</v>
      </c>
      <c r="AA519" s="35">
        <v>39.982700000000001</v>
      </c>
    </row>
    <row r="520" spans="1:27" ht="15.75" hidden="1" customHeight="1" x14ac:dyDescent="0.2">
      <c r="A520" s="2"/>
      <c r="B520" s="31">
        <v>515</v>
      </c>
      <c r="C520" s="36" t="s">
        <v>991</v>
      </c>
      <c r="D520" s="36" t="s">
        <v>1253</v>
      </c>
      <c r="E520" s="36" t="s">
        <v>1254</v>
      </c>
      <c r="F520" s="36" t="s">
        <v>1255</v>
      </c>
      <c r="G520" s="36" t="s">
        <v>1256</v>
      </c>
      <c r="H520" s="37" t="s">
        <v>95</v>
      </c>
      <c r="I520" s="37" t="s">
        <v>81</v>
      </c>
      <c r="J520" s="37" t="s">
        <v>82</v>
      </c>
      <c r="K520" s="37" t="s">
        <v>87</v>
      </c>
      <c r="L520" s="36" t="s">
        <v>84</v>
      </c>
      <c r="M520" s="34">
        <v>262.73</v>
      </c>
      <c r="N520" s="34">
        <v>349.06</v>
      </c>
      <c r="O520" s="34">
        <v>-86.34</v>
      </c>
      <c r="P520" s="34">
        <v>77.91</v>
      </c>
      <c r="Q520" s="34">
        <v>-10.71</v>
      </c>
      <c r="R520" s="34">
        <v>-11.36</v>
      </c>
      <c r="S520" s="34">
        <v>-10.039999999999999</v>
      </c>
      <c r="T520" s="34">
        <v>-0.22</v>
      </c>
      <c r="U520" s="34">
        <v>-21.94</v>
      </c>
      <c r="V520" s="34">
        <v>-238.02</v>
      </c>
      <c r="W520" s="34">
        <v>-2.37</v>
      </c>
      <c r="X520" s="34">
        <v>-4.04</v>
      </c>
      <c r="Y520" s="35">
        <v>-0.32729999999999998</v>
      </c>
      <c r="Z520" s="35" t="s">
        <v>95</v>
      </c>
      <c r="AA520" s="35">
        <v>-1.1036999999999999</v>
      </c>
    </row>
    <row r="521" spans="1:27" ht="15.75" hidden="1" customHeight="1" x14ac:dyDescent="0.2">
      <c r="A521" s="2"/>
      <c r="B521" s="31">
        <v>516</v>
      </c>
      <c r="C521" s="36" t="s">
        <v>991</v>
      </c>
      <c r="D521" s="36" t="s">
        <v>1257</v>
      </c>
      <c r="E521" s="36" t="s">
        <v>1258</v>
      </c>
      <c r="F521" s="36" t="s">
        <v>1259</v>
      </c>
      <c r="G521" s="36" t="s">
        <v>1260</v>
      </c>
      <c r="H521" s="37" t="s">
        <v>80</v>
      </c>
      <c r="I521" s="37" t="s">
        <v>81</v>
      </c>
      <c r="J521" s="37" t="s">
        <v>82</v>
      </c>
      <c r="K521" s="37" t="s">
        <v>87</v>
      </c>
      <c r="L521" s="36" t="s">
        <v>84</v>
      </c>
      <c r="M521" s="34">
        <v>37082.800000000003</v>
      </c>
      <c r="N521" s="34">
        <v>7454.15</v>
      </c>
      <c r="O521" s="34">
        <v>29628.65</v>
      </c>
      <c r="P521" s="34">
        <v>5106.87</v>
      </c>
      <c r="Q521" s="34">
        <v>561.65</v>
      </c>
      <c r="R521" s="34">
        <v>549.59</v>
      </c>
      <c r="S521" s="34">
        <v>328.78</v>
      </c>
      <c r="T521" s="34">
        <v>26.88</v>
      </c>
      <c r="U521" s="34">
        <v>1786.58</v>
      </c>
      <c r="V521" s="34">
        <v>5.95</v>
      </c>
      <c r="W521" s="34">
        <v>0.09</v>
      </c>
      <c r="X521" s="34">
        <v>0.25</v>
      </c>
      <c r="Y521" s="35">
        <v>1.202</v>
      </c>
      <c r="Z521" s="35">
        <v>1.5044</v>
      </c>
      <c r="AA521" s="35">
        <v>8.7284000000000006</v>
      </c>
    </row>
    <row r="522" spans="1:27" ht="15.75" hidden="1" customHeight="1" x14ac:dyDescent="0.2">
      <c r="A522" s="2"/>
      <c r="B522" s="31">
        <v>517</v>
      </c>
      <c r="C522" s="36" t="s">
        <v>991</v>
      </c>
      <c r="D522" s="36" t="s">
        <v>1253</v>
      </c>
      <c r="E522" s="36" t="s">
        <v>1254</v>
      </c>
      <c r="F522" s="36" t="s">
        <v>1261</v>
      </c>
      <c r="G522" s="36" t="s">
        <v>1262</v>
      </c>
      <c r="H522" s="37" t="s">
        <v>95</v>
      </c>
      <c r="I522" s="37" t="s">
        <v>81</v>
      </c>
      <c r="J522" s="37" t="s">
        <v>82</v>
      </c>
      <c r="K522" s="37" t="s">
        <v>87</v>
      </c>
      <c r="L522" s="36" t="s">
        <v>84</v>
      </c>
      <c r="M522" s="34">
        <v>12.07</v>
      </c>
      <c r="N522" s="34">
        <v>21.61</v>
      </c>
      <c r="O522" s="34">
        <v>-9.5299999999999994</v>
      </c>
      <c r="P522" s="34">
        <v>15.86</v>
      </c>
      <c r="Q522" s="34">
        <v>-3.61</v>
      </c>
      <c r="R522" s="34">
        <v>-3.56</v>
      </c>
      <c r="S522" s="34">
        <v>-3.56</v>
      </c>
      <c r="T522" s="34">
        <v>0.12</v>
      </c>
      <c r="U522" s="34">
        <v>-5.87</v>
      </c>
      <c r="V522" s="34">
        <v>332.57</v>
      </c>
      <c r="W522" s="34">
        <v>-6.82</v>
      </c>
      <c r="X522" s="34">
        <v>-2.27</v>
      </c>
      <c r="Y522" s="35">
        <v>1.619</v>
      </c>
      <c r="Z522" s="35" t="s">
        <v>95</v>
      </c>
      <c r="AA522" s="35">
        <v>1.2326999999999999</v>
      </c>
    </row>
    <row r="523" spans="1:27" ht="15.75" hidden="1" customHeight="1" x14ac:dyDescent="0.2">
      <c r="A523" s="2"/>
      <c r="B523" s="31">
        <v>518</v>
      </c>
      <c r="C523" s="36" t="s">
        <v>991</v>
      </c>
      <c r="D523" s="36" t="s">
        <v>1257</v>
      </c>
      <c r="E523" s="36" t="s">
        <v>1258</v>
      </c>
      <c r="F523" s="36" t="s">
        <v>1263</v>
      </c>
      <c r="G523" s="36" t="s">
        <v>1264</v>
      </c>
      <c r="H523" s="37" t="s">
        <v>80</v>
      </c>
      <c r="I523" s="37" t="s">
        <v>81</v>
      </c>
      <c r="J523" s="37" t="s">
        <v>82</v>
      </c>
      <c r="K523" s="37" t="s">
        <v>87</v>
      </c>
      <c r="L523" s="36" t="s">
        <v>84</v>
      </c>
      <c r="M523" s="34">
        <v>306.73</v>
      </c>
      <c r="N523" s="34">
        <v>80.48</v>
      </c>
      <c r="O523" s="34">
        <v>226.24</v>
      </c>
      <c r="P523" s="34">
        <v>73.489999999999995</v>
      </c>
      <c r="Q523" s="34">
        <v>8.08</v>
      </c>
      <c r="R523" s="34">
        <v>6.63</v>
      </c>
      <c r="S523" s="34">
        <v>6.29</v>
      </c>
      <c r="T523" s="34">
        <v>0.34</v>
      </c>
      <c r="U523" s="34">
        <v>29.23</v>
      </c>
      <c r="V523" s="34">
        <v>516.65</v>
      </c>
      <c r="W523" s="34">
        <v>6.09</v>
      </c>
      <c r="X523" s="34">
        <v>0.36</v>
      </c>
      <c r="Y523" s="35">
        <v>0.86929999999999996</v>
      </c>
      <c r="Z523" s="35">
        <v>1.1785000000000001</v>
      </c>
      <c r="AA523" s="35">
        <v>3.6282999999999999</v>
      </c>
    </row>
    <row r="524" spans="1:27" ht="15.75" hidden="1" customHeight="1" x14ac:dyDescent="0.2">
      <c r="A524" s="2"/>
      <c r="B524" s="31">
        <v>519</v>
      </c>
      <c r="C524" s="36" t="s">
        <v>991</v>
      </c>
      <c r="D524" s="36" t="s">
        <v>1265</v>
      </c>
      <c r="E524" s="36" t="s">
        <v>1266</v>
      </c>
      <c r="F524" s="36" t="s">
        <v>1267</v>
      </c>
      <c r="G524" s="36" t="s">
        <v>1268</v>
      </c>
      <c r="H524" s="37" t="s">
        <v>80</v>
      </c>
      <c r="I524" s="37" t="s">
        <v>81</v>
      </c>
      <c r="J524" s="37" t="s">
        <v>82</v>
      </c>
      <c r="K524" s="37" t="s">
        <v>87</v>
      </c>
      <c r="L524" s="36" t="s">
        <v>84</v>
      </c>
      <c r="M524" s="34">
        <v>3852.94</v>
      </c>
      <c r="N524" s="34">
        <v>1196.6600000000001</v>
      </c>
      <c r="O524" s="34">
        <v>2656.28</v>
      </c>
      <c r="P524" s="34">
        <v>304.44</v>
      </c>
      <c r="Q524" s="34">
        <v>-68.92</v>
      </c>
      <c r="R524" s="34">
        <v>-56.87</v>
      </c>
      <c r="S524" s="34">
        <v>-41.43</v>
      </c>
      <c r="T524" s="34">
        <v>-7.64</v>
      </c>
      <c r="U524" s="34">
        <v>243.97</v>
      </c>
      <c r="V524" s="34">
        <v>-693.91</v>
      </c>
      <c r="W524" s="34">
        <v>21.72</v>
      </c>
      <c r="X524" s="34">
        <v>0.45</v>
      </c>
      <c r="Y524" s="35">
        <v>-2.1583000000000001</v>
      </c>
      <c r="Z524" s="35">
        <v>-3.1305999999999998</v>
      </c>
      <c r="AA524" s="35">
        <v>-27.315000000000001</v>
      </c>
    </row>
    <row r="525" spans="1:27" ht="15.75" hidden="1" customHeight="1" x14ac:dyDescent="0.2">
      <c r="A525" s="2"/>
      <c r="B525" s="31">
        <v>520</v>
      </c>
      <c r="C525" s="36" t="s">
        <v>991</v>
      </c>
      <c r="D525" s="36" t="s">
        <v>1257</v>
      </c>
      <c r="E525" s="36" t="s">
        <v>1258</v>
      </c>
      <c r="F525" s="36" t="s">
        <v>1269</v>
      </c>
      <c r="G525" s="36" t="s">
        <v>1270</v>
      </c>
      <c r="H525" s="37" t="s">
        <v>95</v>
      </c>
      <c r="I525" s="37" t="s">
        <v>81</v>
      </c>
      <c r="J525" s="37" t="s">
        <v>82</v>
      </c>
      <c r="K525" s="37" t="s">
        <v>87</v>
      </c>
      <c r="L525" s="36" t="s">
        <v>84</v>
      </c>
      <c r="M525" s="34">
        <v>31.04</v>
      </c>
      <c r="N525" s="34">
        <v>5.82</v>
      </c>
      <c r="O525" s="34">
        <v>25.22</v>
      </c>
      <c r="P525" s="34">
        <v>24.24</v>
      </c>
      <c r="Q525" s="34">
        <v>-0.75</v>
      </c>
      <c r="R525" s="34">
        <v>-0.74</v>
      </c>
      <c r="S525" s="34">
        <v>-0.74</v>
      </c>
      <c r="T525" s="34">
        <v>-8.06</v>
      </c>
      <c r="U525" s="34">
        <v>54.2</v>
      </c>
      <c r="V525" s="34">
        <v>-145.75</v>
      </c>
      <c r="W525" s="34">
        <v>21.68</v>
      </c>
      <c r="X525" s="34">
        <v>0.23</v>
      </c>
      <c r="Y525" s="35">
        <v>-12.0839</v>
      </c>
      <c r="Z525" s="35">
        <v>-14.8735</v>
      </c>
      <c r="AA525" s="35">
        <v>-15.474299999999999</v>
      </c>
    </row>
    <row r="526" spans="1:27" ht="15.75" hidden="1" customHeight="1" x14ac:dyDescent="0.2">
      <c r="A526" s="2"/>
      <c r="B526" s="31">
        <v>521</v>
      </c>
      <c r="C526" s="36" t="s">
        <v>991</v>
      </c>
      <c r="D526" s="36" t="s">
        <v>1257</v>
      </c>
      <c r="E526" s="36" t="s">
        <v>1258</v>
      </c>
      <c r="F526" s="36" t="s">
        <v>1271</v>
      </c>
      <c r="G526" s="36" t="s">
        <v>1272</v>
      </c>
      <c r="H526" s="37" t="s">
        <v>80</v>
      </c>
      <c r="I526" s="37" t="s">
        <v>81</v>
      </c>
      <c r="J526" s="37" t="s">
        <v>82</v>
      </c>
      <c r="K526" s="37" t="s">
        <v>87</v>
      </c>
      <c r="L526" s="36" t="s">
        <v>84</v>
      </c>
      <c r="M526" s="34">
        <v>240.57</v>
      </c>
      <c r="N526" s="34">
        <v>20.74</v>
      </c>
      <c r="O526" s="34">
        <v>219.83</v>
      </c>
      <c r="P526" s="34">
        <v>21.75</v>
      </c>
      <c r="Q526" s="34">
        <v>3.7</v>
      </c>
      <c r="R526" s="34">
        <v>3.7</v>
      </c>
      <c r="S526" s="34">
        <v>3.7</v>
      </c>
      <c r="T526" s="34">
        <v>1.1100000000000001</v>
      </c>
      <c r="U526" s="34">
        <v>33.130000000000003</v>
      </c>
      <c r="V526" s="34">
        <v>450.29</v>
      </c>
      <c r="W526" s="34">
        <v>15.09</v>
      </c>
      <c r="X526" s="34">
        <v>0.09</v>
      </c>
      <c r="Y526" s="35">
        <v>3.0628000000000002</v>
      </c>
      <c r="Z526" s="35">
        <v>3.3517000000000001</v>
      </c>
      <c r="AA526" s="35">
        <v>33.8797</v>
      </c>
    </row>
    <row r="527" spans="1:27" ht="15.75" hidden="1" customHeight="1" x14ac:dyDescent="0.2">
      <c r="A527" s="2"/>
      <c r="B527" s="31">
        <v>522</v>
      </c>
      <c r="C527" s="36" t="s">
        <v>991</v>
      </c>
      <c r="D527" s="36" t="s">
        <v>1273</v>
      </c>
      <c r="E527" s="36" t="s">
        <v>1274</v>
      </c>
      <c r="F527" s="36" t="s">
        <v>1275</v>
      </c>
      <c r="G527" s="36" t="s">
        <v>1276</v>
      </c>
      <c r="H527" s="37" t="s">
        <v>80</v>
      </c>
      <c r="I527" s="37" t="s">
        <v>81</v>
      </c>
      <c r="J527" s="37" t="s">
        <v>82</v>
      </c>
      <c r="K527" s="37" t="s">
        <v>87</v>
      </c>
      <c r="L527" s="36" t="s">
        <v>84</v>
      </c>
      <c r="M527" s="34">
        <v>8522.67</v>
      </c>
      <c r="N527" s="34">
        <v>1127.95</v>
      </c>
      <c r="O527" s="34">
        <v>7394.72</v>
      </c>
      <c r="P527" s="34">
        <v>810.36</v>
      </c>
      <c r="Q527" s="34">
        <v>-109.45</v>
      </c>
      <c r="R527" s="34">
        <v>-88.65</v>
      </c>
      <c r="S527" s="34">
        <v>-75.19</v>
      </c>
      <c r="T527" s="34">
        <v>-5.46</v>
      </c>
      <c r="U527" s="34">
        <v>175.24</v>
      </c>
      <c r="V527" s="34">
        <v>-7.87</v>
      </c>
      <c r="W527" s="34">
        <v>0.25</v>
      </c>
      <c r="X527" s="34">
        <v>0.15</v>
      </c>
      <c r="Y527" s="35">
        <v>-2.7050000000000001</v>
      </c>
      <c r="Z527" s="35">
        <v>-3.1175999999999999</v>
      </c>
      <c r="AA527" s="35">
        <v>-28.449000000000002</v>
      </c>
    </row>
    <row r="528" spans="1:27" ht="15.75" hidden="1" customHeight="1" x14ac:dyDescent="0.2">
      <c r="A528" s="2"/>
      <c r="B528" s="31">
        <v>523</v>
      </c>
      <c r="C528" s="36" t="s">
        <v>991</v>
      </c>
      <c r="D528" s="36" t="s">
        <v>1277</v>
      </c>
      <c r="E528" s="36" t="s">
        <v>1278</v>
      </c>
      <c r="F528" s="36" t="s">
        <v>1279</v>
      </c>
      <c r="G528" s="36" t="s">
        <v>1280</v>
      </c>
      <c r="H528" s="37" t="s">
        <v>95</v>
      </c>
      <c r="I528" s="37" t="s">
        <v>81</v>
      </c>
      <c r="J528" s="37" t="s">
        <v>82</v>
      </c>
      <c r="K528" s="37" t="s">
        <v>87</v>
      </c>
      <c r="L528" s="36" t="s">
        <v>84</v>
      </c>
      <c r="M528" s="34">
        <v>377.22</v>
      </c>
      <c r="N528" s="34">
        <v>426.17</v>
      </c>
      <c r="O528" s="34">
        <v>-48.95</v>
      </c>
      <c r="P528" s="34">
        <v>35.71</v>
      </c>
      <c r="Q528" s="34">
        <v>-32.28</v>
      </c>
      <c r="R528" s="34">
        <v>-32.590000000000003</v>
      </c>
      <c r="S528" s="34">
        <v>-14</v>
      </c>
      <c r="T528" s="34">
        <v>-4.6100000000000003</v>
      </c>
      <c r="U528" s="34">
        <v>-9.32</v>
      </c>
      <c r="V528" s="34">
        <v>-8.02</v>
      </c>
      <c r="W528" s="34">
        <v>-3.97</v>
      </c>
      <c r="X528" s="34">
        <v>-8.7100000000000009</v>
      </c>
      <c r="Y528" s="35">
        <v>-6.4244000000000003</v>
      </c>
      <c r="Z528" s="35" t="s">
        <v>95</v>
      </c>
      <c r="AA528" s="35">
        <v>-67.853300000000004</v>
      </c>
    </row>
    <row r="529" spans="1:27" ht="15.75" hidden="1" customHeight="1" x14ac:dyDescent="0.2">
      <c r="A529" s="2"/>
      <c r="B529" s="31">
        <v>524</v>
      </c>
      <c r="C529" s="36" t="s">
        <v>991</v>
      </c>
      <c r="D529" s="36" t="s">
        <v>1277</v>
      </c>
      <c r="E529" s="36" t="s">
        <v>1278</v>
      </c>
      <c r="F529" s="36" t="s">
        <v>1281</v>
      </c>
      <c r="G529" s="36" t="s">
        <v>1282</v>
      </c>
      <c r="H529" s="37" t="s">
        <v>95</v>
      </c>
      <c r="I529" s="37" t="s">
        <v>81</v>
      </c>
      <c r="J529" s="37" t="s">
        <v>82</v>
      </c>
      <c r="K529" s="37" t="s">
        <v>87</v>
      </c>
      <c r="L529" s="36" t="s">
        <v>84</v>
      </c>
      <c r="M529" s="34">
        <v>4345.2</v>
      </c>
      <c r="N529" s="34">
        <v>3365.68</v>
      </c>
      <c r="O529" s="34">
        <v>979.53</v>
      </c>
      <c r="P529" s="34">
        <v>308.17</v>
      </c>
      <c r="Q529" s="34">
        <v>-11.44</v>
      </c>
      <c r="R529" s="34">
        <v>-11.44</v>
      </c>
      <c r="S529" s="34">
        <v>-11.35</v>
      </c>
      <c r="T529" s="34">
        <v>-18.329999999999998</v>
      </c>
      <c r="U529" s="34">
        <v>24.98</v>
      </c>
      <c r="V529" s="34">
        <v>-2.4500000000000002</v>
      </c>
      <c r="W529" s="34">
        <v>1.8</v>
      </c>
      <c r="X529" s="34">
        <v>3.44</v>
      </c>
      <c r="Y529" s="35">
        <v>-16.5443</v>
      </c>
      <c r="Z529" s="35">
        <v>-73.391099999999994</v>
      </c>
      <c r="AA529" s="35">
        <v>-233.27260000000001</v>
      </c>
    </row>
    <row r="530" spans="1:27" ht="15.75" hidden="1" customHeight="1" x14ac:dyDescent="0.2">
      <c r="A530" s="2"/>
      <c r="B530" s="31">
        <v>525</v>
      </c>
      <c r="C530" s="36" t="s">
        <v>991</v>
      </c>
      <c r="D530" s="36" t="s">
        <v>1277</v>
      </c>
      <c r="E530" s="36" t="s">
        <v>1278</v>
      </c>
      <c r="F530" s="36" t="s">
        <v>1283</v>
      </c>
      <c r="G530" s="36" t="s">
        <v>1284</v>
      </c>
      <c r="H530" s="37" t="s">
        <v>80</v>
      </c>
      <c r="I530" s="37" t="s">
        <v>81</v>
      </c>
      <c r="J530" s="37" t="s">
        <v>82</v>
      </c>
      <c r="K530" s="37" t="s">
        <v>87</v>
      </c>
      <c r="L530" s="36" t="s">
        <v>84</v>
      </c>
      <c r="M530" s="34">
        <v>25133.85</v>
      </c>
      <c r="N530" s="34">
        <v>1834.02</v>
      </c>
      <c r="O530" s="34">
        <v>23299.83</v>
      </c>
      <c r="P530" s="34">
        <v>4125.32</v>
      </c>
      <c r="Q530" s="34">
        <v>755.56</v>
      </c>
      <c r="R530" s="34">
        <v>718.24</v>
      </c>
      <c r="S530" s="34">
        <v>635.52</v>
      </c>
      <c r="T530" s="34">
        <v>59.82</v>
      </c>
      <c r="U530" s="34">
        <v>1548.18</v>
      </c>
      <c r="V530" s="34">
        <v>5.0199999999999996</v>
      </c>
      <c r="W530" s="34">
        <v>0.19</v>
      </c>
      <c r="X530" s="34">
        <v>0.08</v>
      </c>
      <c r="Y530" s="35">
        <v>3.5819000000000001</v>
      </c>
      <c r="Z530" s="35">
        <v>3.8637999999999999</v>
      </c>
      <c r="AA530" s="35">
        <v>21.822900000000001</v>
      </c>
    </row>
    <row r="531" spans="1:27" ht="15.75" hidden="1" customHeight="1" x14ac:dyDescent="0.2">
      <c r="A531" s="2"/>
      <c r="B531" s="31">
        <v>526</v>
      </c>
      <c r="C531" s="36" t="s">
        <v>991</v>
      </c>
      <c r="D531" s="36" t="s">
        <v>1265</v>
      </c>
      <c r="E531" s="36" t="s">
        <v>1266</v>
      </c>
      <c r="F531" s="36" t="s">
        <v>1285</v>
      </c>
      <c r="G531" s="36" t="s">
        <v>1286</v>
      </c>
      <c r="H531" s="37" t="s">
        <v>80</v>
      </c>
      <c r="I531" s="37" t="s">
        <v>81</v>
      </c>
      <c r="J531" s="37" t="s">
        <v>82</v>
      </c>
      <c r="K531" s="37" t="s">
        <v>87</v>
      </c>
      <c r="L531" s="36" t="s">
        <v>84</v>
      </c>
      <c r="M531" s="34">
        <v>7923.49</v>
      </c>
      <c r="N531" s="34">
        <v>936.8</v>
      </c>
      <c r="O531" s="34">
        <v>6986.69</v>
      </c>
      <c r="P531" s="34">
        <v>1877.52</v>
      </c>
      <c r="Q531" s="34">
        <v>350.28</v>
      </c>
      <c r="R531" s="34">
        <v>317.5</v>
      </c>
      <c r="S531" s="34">
        <v>316.97000000000003</v>
      </c>
      <c r="T531" s="34">
        <v>6.79</v>
      </c>
      <c r="U531" s="34">
        <v>115.15</v>
      </c>
      <c r="V531" s="34">
        <v>77.37</v>
      </c>
      <c r="W531" s="34">
        <v>4.5599999999999996</v>
      </c>
      <c r="X531" s="34">
        <v>0.13</v>
      </c>
      <c r="Y531" s="35">
        <v>5.1961000000000004</v>
      </c>
      <c r="Z531" s="35">
        <v>5.8928000000000003</v>
      </c>
      <c r="AA531" s="35">
        <v>21.9283</v>
      </c>
    </row>
    <row r="532" spans="1:27" ht="15.75" hidden="1" customHeight="1" x14ac:dyDescent="0.2">
      <c r="A532" s="2"/>
      <c r="B532" s="31">
        <v>527</v>
      </c>
      <c r="C532" s="36" t="s">
        <v>991</v>
      </c>
      <c r="D532" s="36" t="s">
        <v>1273</v>
      </c>
      <c r="E532" s="36" t="s">
        <v>1274</v>
      </c>
      <c r="F532" s="36" t="s">
        <v>1287</v>
      </c>
      <c r="G532" s="36" t="s">
        <v>1288</v>
      </c>
      <c r="H532" s="37" t="s">
        <v>80</v>
      </c>
      <c r="I532" s="37" t="s">
        <v>81</v>
      </c>
      <c r="J532" s="37" t="s">
        <v>82</v>
      </c>
      <c r="K532" s="37" t="s">
        <v>87</v>
      </c>
      <c r="L532" s="36" t="s">
        <v>84</v>
      </c>
      <c r="M532" s="34">
        <v>2420.9</v>
      </c>
      <c r="N532" s="34">
        <v>732.12</v>
      </c>
      <c r="O532" s="34">
        <v>1688.78</v>
      </c>
      <c r="P532" s="34">
        <v>201.38</v>
      </c>
      <c r="Q532" s="34">
        <v>-154.36000000000001</v>
      </c>
      <c r="R532" s="34">
        <v>-144.91</v>
      </c>
      <c r="S532" s="34">
        <v>-144.91</v>
      </c>
      <c r="T532" s="34">
        <v>-64.430000000000007</v>
      </c>
      <c r="U532" s="34">
        <v>846.77</v>
      </c>
      <c r="V532" s="34">
        <v>-1.49</v>
      </c>
      <c r="W532" s="34">
        <v>0.11</v>
      </c>
      <c r="X532" s="34">
        <v>0.43</v>
      </c>
      <c r="Y532" s="35">
        <v>-5.3075000000000001</v>
      </c>
      <c r="Z532" s="35">
        <v>-7.6083999999999996</v>
      </c>
      <c r="AA532" s="35">
        <v>-63.803400000000003</v>
      </c>
    </row>
    <row r="533" spans="1:27" ht="15.75" hidden="1" customHeight="1" x14ac:dyDescent="0.2">
      <c r="A533" s="2"/>
      <c r="B533" s="31">
        <v>528</v>
      </c>
      <c r="C533" s="36" t="s">
        <v>991</v>
      </c>
      <c r="D533" s="36" t="s">
        <v>1277</v>
      </c>
      <c r="E533" s="36" t="s">
        <v>1278</v>
      </c>
      <c r="F533" s="36" t="s">
        <v>1289</v>
      </c>
      <c r="G533" s="36" t="s">
        <v>1290</v>
      </c>
      <c r="H533" s="37" t="s">
        <v>80</v>
      </c>
      <c r="I533" s="37" t="s">
        <v>81</v>
      </c>
      <c r="J533" s="37" t="s">
        <v>82</v>
      </c>
      <c r="K533" s="37" t="s">
        <v>87</v>
      </c>
      <c r="L533" s="36" t="s">
        <v>84</v>
      </c>
      <c r="M533" s="34">
        <v>989.58</v>
      </c>
      <c r="N533" s="34">
        <v>414.13</v>
      </c>
      <c r="O533" s="34">
        <v>575.45000000000005</v>
      </c>
      <c r="P533" s="34">
        <v>48.11</v>
      </c>
      <c r="Q533" s="34">
        <v>-128.07</v>
      </c>
      <c r="R533" s="34">
        <v>-100.54</v>
      </c>
      <c r="S533" s="34">
        <v>-100.25</v>
      </c>
      <c r="T533" s="34">
        <v>-5.53</v>
      </c>
      <c r="U533" s="34">
        <v>13.91</v>
      </c>
      <c r="V533" s="34">
        <v>-22.79</v>
      </c>
      <c r="W533" s="34">
        <v>9.06</v>
      </c>
      <c r="X533" s="34">
        <v>0.72</v>
      </c>
      <c r="Y533" s="35">
        <v>-23.110600000000002</v>
      </c>
      <c r="Z533" s="35">
        <v>-39.742800000000003</v>
      </c>
      <c r="AA533" s="35">
        <v>-475.39240000000001</v>
      </c>
    </row>
    <row r="534" spans="1:27" ht="15.75" hidden="1" customHeight="1" x14ac:dyDescent="0.2">
      <c r="A534" s="2"/>
      <c r="B534" s="31">
        <v>529</v>
      </c>
      <c r="C534" s="36" t="s">
        <v>991</v>
      </c>
      <c r="D534" s="36" t="s">
        <v>1265</v>
      </c>
      <c r="E534" s="36" t="s">
        <v>1266</v>
      </c>
      <c r="F534" s="36" t="s">
        <v>1291</v>
      </c>
      <c r="G534" s="36" t="s">
        <v>1292</v>
      </c>
      <c r="H534" s="37" t="s">
        <v>80</v>
      </c>
      <c r="I534" s="37" t="s">
        <v>81</v>
      </c>
      <c r="J534" s="37" t="s">
        <v>82</v>
      </c>
      <c r="K534" s="37" t="s">
        <v>87</v>
      </c>
      <c r="L534" s="36" t="s">
        <v>84</v>
      </c>
      <c r="M534" s="34">
        <v>1660.15</v>
      </c>
      <c r="N534" s="34">
        <v>322.43</v>
      </c>
      <c r="O534" s="34">
        <v>1337.71</v>
      </c>
      <c r="P534" s="34">
        <v>112.11</v>
      </c>
      <c r="Q534" s="34">
        <v>1.0900000000000001</v>
      </c>
      <c r="R534" s="34">
        <v>7.19</v>
      </c>
      <c r="S534" s="34">
        <v>7.19</v>
      </c>
      <c r="T534" s="34">
        <v>-10.74</v>
      </c>
      <c r="U534" s="34">
        <v>196.33</v>
      </c>
      <c r="V534" s="34">
        <v>-27.92</v>
      </c>
      <c r="W534" s="34">
        <v>1.53</v>
      </c>
      <c r="X534" s="34">
        <v>0.24</v>
      </c>
      <c r="Y534" s="35">
        <v>-4.4096000000000002</v>
      </c>
      <c r="Z534" s="35">
        <v>-5.4725000000000001</v>
      </c>
      <c r="AA534" s="35">
        <v>-65.296300000000002</v>
      </c>
    </row>
    <row r="535" spans="1:27" ht="15.75" hidden="1" customHeight="1" x14ac:dyDescent="0.2">
      <c r="A535" s="2"/>
      <c r="B535" s="31">
        <v>530</v>
      </c>
      <c r="C535" s="36" t="s">
        <v>991</v>
      </c>
      <c r="D535" s="36" t="s">
        <v>1277</v>
      </c>
      <c r="E535" s="36" t="s">
        <v>1278</v>
      </c>
      <c r="F535" s="36" t="s">
        <v>1293</v>
      </c>
      <c r="G535" s="36" t="s">
        <v>1294</v>
      </c>
      <c r="H535" s="37" t="s">
        <v>95</v>
      </c>
      <c r="I535" s="37" t="s">
        <v>81</v>
      </c>
      <c r="J535" s="37" t="s">
        <v>82</v>
      </c>
      <c r="K535" s="37" t="s">
        <v>87</v>
      </c>
      <c r="L535" s="36" t="s">
        <v>84</v>
      </c>
      <c r="M535" s="34">
        <v>9631.4500000000007</v>
      </c>
      <c r="N535" s="34">
        <v>1954.63</v>
      </c>
      <c r="O535" s="34">
        <v>7676.81</v>
      </c>
      <c r="P535" s="34">
        <v>3323.26</v>
      </c>
      <c r="Q535" s="34">
        <v>414.53</v>
      </c>
      <c r="R535" s="34">
        <v>257.27</v>
      </c>
      <c r="S535" s="34">
        <v>320.72000000000003</v>
      </c>
      <c r="T535" s="34">
        <v>7.95</v>
      </c>
      <c r="U535" s="34">
        <v>103.78</v>
      </c>
      <c r="V535" s="34">
        <v>42.28</v>
      </c>
      <c r="W535" s="34">
        <v>3.24</v>
      </c>
      <c r="X535" s="34">
        <v>0.25</v>
      </c>
      <c r="Y535" s="35">
        <v>6.1040999999999999</v>
      </c>
      <c r="Z535" s="35">
        <v>7.6582999999999997</v>
      </c>
      <c r="AA535" s="35">
        <v>17.690899999999999</v>
      </c>
    </row>
    <row r="536" spans="1:27" ht="15.75" hidden="1" customHeight="1" x14ac:dyDescent="0.2">
      <c r="A536" s="2"/>
      <c r="B536" s="31">
        <v>531</v>
      </c>
      <c r="C536" s="36" t="s">
        <v>991</v>
      </c>
      <c r="D536" s="36" t="s">
        <v>1253</v>
      </c>
      <c r="E536" s="36" t="s">
        <v>1254</v>
      </c>
      <c r="F536" s="36" t="s">
        <v>1295</v>
      </c>
      <c r="G536" s="36" t="s">
        <v>1296</v>
      </c>
      <c r="H536" s="37" t="s">
        <v>80</v>
      </c>
      <c r="I536" s="37" t="s">
        <v>81</v>
      </c>
      <c r="J536" s="37" t="s">
        <v>82</v>
      </c>
      <c r="K536" s="37" t="s">
        <v>87</v>
      </c>
      <c r="L536" s="36" t="s">
        <v>84</v>
      </c>
      <c r="M536" s="34">
        <v>448.52</v>
      </c>
      <c r="N536" s="34">
        <v>206.41</v>
      </c>
      <c r="O536" s="34">
        <v>242.1</v>
      </c>
      <c r="P536" s="34">
        <v>83.01</v>
      </c>
      <c r="Q536" s="34">
        <v>-9.3800000000000008</v>
      </c>
      <c r="R536" s="34">
        <v>-7.11</v>
      </c>
      <c r="S536" s="34">
        <v>-6.61</v>
      </c>
      <c r="T536" s="34">
        <v>-1.23</v>
      </c>
      <c r="U536" s="34">
        <v>228.76</v>
      </c>
      <c r="V536" s="34">
        <v>-133.86000000000001</v>
      </c>
      <c r="W536" s="34">
        <v>0.72</v>
      </c>
      <c r="X536" s="34">
        <v>0.85</v>
      </c>
      <c r="Y536" s="35">
        <v>-0.28910000000000002</v>
      </c>
      <c r="Z536" s="35">
        <v>-0.53559999999999997</v>
      </c>
      <c r="AA536" s="35">
        <v>-1.5621</v>
      </c>
    </row>
    <row r="537" spans="1:27" ht="15.75" hidden="1" customHeight="1" x14ac:dyDescent="0.2">
      <c r="A537" s="2"/>
      <c r="B537" s="31">
        <v>532</v>
      </c>
      <c r="C537" s="36" t="s">
        <v>991</v>
      </c>
      <c r="D537" s="36" t="s">
        <v>1265</v>
      </c>
      <c r="E537" s="36" t="s">
        <v>1266</v>
      </c>
      <c r="F537" s="36" t="s">
        <v>1297</v>
      </c>
      <c r="G537" s="36" t="s">
        <v>1298</v>
      </c>
      <c r="H537" s="37" t="s">
        <v>80</v>
      </c>
      <c r="I537" s="37" t="s">
        <v>81</v>
      </c>
      <c r="J537" s="37" t="s">
        <v>82</v>
      </c>
      <c r="K537" s="37" t="s">
        <v>87</v>
      </c>
      <c r="L537" s="36" t="s">
        <v>84</v>
      </c>
      <c r="M537" s="34">
        <v>544.44000000000005</v>
      </c>
      <c r="N537" s="34">
        <v>14.98</v>
      </c>
      <c r="O537" s="34">
        <v>529.46</v>
      </c>
      <c r="P537" s="34">
        <v>39.46</v>
      </c>
      <c r="Q537" s="34">
        <v>5.82</v>
      </c>
      <c r="R537" s="34">
        <v>5.82</v>
      </c>
      <c r="S537" s="34">
        <v>5.82</v>
      </c>
      <c r="T537" s="34">
        <v>1.22</v>
      </c>
      <c r="U537" s="34">
        <v>111.1</v>
      </c>
      <c r="V537" s="34">
        <v>113.91</v>
      </c>
      <c r="W537" s="34">
        <v>1.25</v>
      </c>
      <c r="X537" s="34">
        <v>0.03</v>
      </c>
      <c r="Y537" s="35">
        <v>1.0681</v>
      </c>
      <c r="Z537" s="35">
        <v>1.0984</v>
      </c>
      <c r="AA537" s="35">
        <v>14.7372</v>
      </c>
    </row>
    <row r="538" spans="1:27" ht="15.75" hidden="1" customHeight="1" x14ac:dyDescent="0.2">
      <c r="A538" s="2"/>
      <c r="B538" s="31">
        <v>533</v>
      </c>
      <c r="C538" s="36" t="s">
        <v>991</v>
      </c>
      <c r="D538" s="36" t="s">
        <v>1277</v>
      </c>
      <c r="E538" s="36" t="s">
        <v>1278</v>
      </c>
      <c r="F538" s="36" t="s">
        <v>1299</v>
      </c>
      <c r="G538" s="36" t="s">
        <v>1300</v>
      </c>
      <c r="H538" s="37" t="s">
        <v>95</v>
      </c>
      <c r="I538" s="37" t="s">
        <v>81</v>
      </c>
      <c r="J538" s="37" t="s">
        <v>82</v>
      </c>
      <c r="K538" s="37" t="s">
        <v>87</v>
      </c>
      <c r="L538" s="36" t="s">
        <v>84</v>
      </c>
      <c r="M538" s="34">
        <v>6515.45</v>
      </c>
      <c r="N538" s="34">
        <v>6096.48</v>
      </c>
      <c r="O538" s="34">
        <v>418.97</v>
      </c>
      <c r="P538" s="34">
        <v>477.94</v>
      </c>
      <c r="Q538" s="34">
        <v>1191.8699999999999</v>
      </c>
      <c r="R538" s="34">
        <v>1191.8699999999999</v>
      </c>
      <c r="S538" s="34">
        <v>1193</v>
      </c>
      <c r="T538" s="34">
        <v>384.32</v>
      </c>
      <c r="U538" s="34">
        <v>25.45</v>
      </c>
      <c r="V538" s="34">
        <v>0.09</v>
      </c>
      <c r="W538" s="34">
        <v>1.38</v>
      </c>
      <c r="X538" s="34">
        <v>14.55</v>
      </c>
      <c r="Y538" s="35">
        <v>97.116699999999994</v>
      </c>
      <c r="Z538" s="35">
        <v>1510.2682</v>
      </c>
      <c r="AA538" s="35">
        <v>1323.9184</v>
      </c>
    </row>
    <row r="539" spans="1:27" ht="15.75" hidden="1" customHeight="1" x14ac:dyDescent="0.2">
      <c r="A539" s="2"/>
      <c r="B539" s="31">
        <v>534</v>
      </c>
      <c r="C539" s="36" t="s">
        <v>991</v>
      </c>
      <c r="D539" s="36" t="s">
        <v>1301</v>
      </c>
      <c r="E539" s="36" t="s">
        <v>1302</v>
      </c>
      <c r="F539" s="36" t="s">
        <v>1303</v>
      </c>
      <c r="G539" s="36" t="s">
        <v>1304</v>
      </c>
      <c r="H539" s="37" t="s">
        <v>80</v>
      </c>
      <c r="I539" s="37" t="s">
        <v>81</v>
      </c>
      <c r="J539" s="37" t="s">
        <v>82</v>
      </c>
      <c r="K539" s="37" t="s">
        <v>87</v>
      </c>
      <c r="L539" s="36" t="s">
        <v>84</v>
      </c>
      <c r="M539" s="34">
        <v>8503.7000000000007</v>
      </c>
      <c r="N539" s="34">
        <v>2281.81</v>
      </c>
      <c r="O539" s="34">
        <v>6221.89</v>
      </c>
      <c r="P539" s="34">
        <v>4268.9799999999996</v>
      </c>
      <c r="Q539" s="34">
        <v>348.16</v>
      </c>
      <c r="R539" s="34">
        <v>289.42</v>
      </c>
      <c r="S539" s="34">
        <v>292.87</v>
      </c>
      <c r="T539" s="34">
        <v>47.85</v>
      </c>
      <c r="U539" s="34">
        <v>363.42</v>
      </c>
      <c r="V539" s="34">
        <v>8.99</v>
      </c>
      <c r="W539" s="34">
        <v>1.18</v>
      </c>
      <c r="X539" s="34">
        <v>0.37</v>
      </c>
      <c r="Y539" s="35">
        <v>9.6328999999999994</v>
      </c>
      <c r="Z539" s="35">
        <v>13.1656</v>
      </c>
      <c r="AA539" s="35">
        <v>19.188400000000001</v>
      </c>
    </row>
    <row r="540" spans="1:27" ht="15.75" hidden="1" customHeight="1" x14ac:dyDescent="0.2">
      <c r="A540" s="2"/>
      <c r="B540" s="31">
        <v>535</v>
      </c>
      <c r="C540" s="36" t="s">
        <v>991</v>
      </c>
      <c r="D540" s="36" t="s">
        <v>1305</v>
      </c>
      <c r="E540" s="36" t="s">
        <v>1306</v>
      </c>
      <c r="F540" s="36" t="s">
        <v>1307</v>
      </c>
      <c r="G540" s="36" t="s">
        <v>1308</v>
      </c>
      <c r="H540" s="37" t="s">
        <v>80</v>
      </c>
      <c r="I540" s="37" t="s">
        <v>81</v>
      </c>
      <c r="J540" s="37" t="s">
        <v>82</v>
      </c>
      <c r="K540" s="37" t="s">
        <v>87</v>
      </c>
      <c r="L540" s="36" t="s">
        <v>84</v>
      </c>
      <c r="M540" s="34">
        <v>986.96</v>
      </c>
      <c r="N540" s="34">
        <v>228.56</v>
      </c>
      <c r="O540" s="34">
        <v>758.4</v>
      </c>
      <c r="P540" s="34">
        <v>447.1</v>
      </c>
      <c r="Q540" s="34">
        <v>26.76</v>
      </c>
      <c r="R540" s="34">
        <v>21.11</v>
      </c>
      <c r="S540" s="34">
        <v>18.57</v>
      </c>
      <c r="T540" s="34">
        <v>3.08</v>
      </c>
      <c r="U540" s="34">
        <v>59.5</v>
      </c>
      <c r="V540" s="34">
        <v>27.89</v>
      </c>
      <c r="W540" s="34">
        <v>1.45</v>
      </c>
      <c r="X540" s="34">
        <v>0.3</v>
      </c>
      <c r="Y540" s="35">
        <v>3.9828999999999999</v>
      </c>
      <c r="Z540" s="35">
        <v>5.1832000000000003</v>
      </c>
      <c r="AA540" s="35">
        <v>8.7920999999999996</v>
      </c>
    </row>
    <row r="541" spans="1:27" ht="15.75" hidden="1" customHeight="1" x14ac:dyDescent="0.2">
      <c r="A541" s="2"/>
      <c r="B541" s="31">
        <v>536</v>
      </c>
      <c r="C541" s="36" t="s">
        <v>991</v>
      </c>
      <c r="D541" s="36" t="s">
        <v>1309</v>
      </c>
      <c r="E541" s="36" t="s">
        <v>1310</v>
      </c>
      <c r="F541" s="36" t="s">
        <v>1311</v>
      </c>
      <c r="G541" s="36" t="s">
        <v>1312</v>
      </c>
      <c r="H541" s="37" t="s">
        <v>80</v>
      </c>
      <c r="I541" s="37" t="s">
        <v>81</v>
      </c>
      <c r="J541" s="37" t="s">
        <v>82</v>
      </c>
      <c r="K541" s="37" t="s">
        <v>87</v>
      </c>
      <c r="L541" s="36" t="s">
        <v>84</v>
      </c>
      <c r="M541" s="34">
        <v>680.9</v>
      </c>
      <c r="N541" s="34">
        <v>257.86</v>
      </c>
      <c r="O541" s="34">
        <v>423.04</v>
      </c>
      <c r="P541" s="34">
        <v>543.46</v>
      </c>
      <c r="Q541" s="34">
        <v>-11.39</v>
      </c>
      <c r="R541" s="34">
        <v>-10.56</v>
      </c>
      <c r="S541" s="34">
        <v>-10.56</v>
      </c>
      <c r="T541" s="34">
        <v>-15.42</v>
      </c>
      <c r="U541" s="34">
        <v>160.08000000000001</v>
      </c>
      <c r="V541" s="34">
        <v>-19.97</v>
      </c>
      <c r="W541" s="34">
        <v>1.92</v>
      </c>
      <c r="X541" s="34">
        <v>0.61</v>
      </c>
      <c r="Y541" s="35">
        <v>-5.9248000000000003</v>
      </c>
      <c r="Z541" s="35">
        <v>-9.5363000000000007</v>
      </c>
      <c r="AA541" s="35">
        <v>-7.4231999999999996</v>
      </c>
    </row>
    <row r="542" spans="1:27" ht="15.75" hidden="1" customHeight="1" x14ac:dyDescent="0.2">
      <c r="A542" s="2"/>
      <c r="B542" s="31">
        <v>537</v>
      </c>
      <c r="C542" s="36" t="s">
        <v>991</v>
      </c>
      <c r="D542" s="36" t="s">
        <v>1301</v>
      </c>
      <c r="E542" s="36" t="s">
        <v>1302</v>
      </c>
      <c r="F542" s="36" t="s">
        <v>1313</v>
      </c>
      <c r="G542" s="36" t="s">
        <v>1314</v>
      </c>
      <c r="H542" s="37" t="s">
        <v>80</v>
      </c>
      <c r="I542" s="37" t="s">
        <v>81</v>
      </c>
      <c r="J542" s="37" t="s">
        <v>82</v>
      </c>
      <c r="K542" s="37" t="s">
        <v>87</v>
      </c>
      <c r="L542" s="36" t="s">
        <v>84</v>
      </c>
      <c r="M542" s="34">
        <v>218.23</v>
      </c>
      <c r="N542" s="34">
        <v>45.73</v>
      </c>
      <c r="O542" s="34">
        <v>172.51</v>
      </c>
      <c r="P542" s="34">
        <v>61.08</v>
      </c>
      <c r="Q542" s="34">
        <v>-11.14</v>
      </c>
      <c r="R542" s="34">
        <v>-11.14</v>
      </c>
      <c r="S542" s="34">
        <v>-11.12</v>
      </c>
      <c r="T542" s="34">
        <v>-4.78</v>
      </c>
      <c r="U542" s="34">
        <v>35.94</v>
      </c>
      <c r="V542" s="34">
        <v>-10.039999999999999</v>
      </c>
      <c r="W542" s="34">
        <v>1.34</v>
      </c>
      <c r="X542" s="34">
        <v>0.27</v>
      </c>
      <c r="Y542" s="35">
        <v>-10.5189</v>
      </c>
      <c r="Z542" s="35">
        <v>-13.3073</v>
      </c>
      <c r="AA542" s="35">
        <v>-37.580199999999998</v>
      </c>
    </row>
    <row r="543" spans="1:27" ht="15.75" hidden="1" customHeight="1" x14ac:dyDescent="0.2">
      <c r="A543" s="2"/>
      <c r="B543" s="31">
        <v>538</v>
      </c>
      <c r="C543" s="36" t="s">
        <v>991</v>
      </c>
      <c r="D543" s="36" t="s">
        <v>1305</v>
      </c>
      <c r="E543" s="36" t="s">
        <v>1306</v>
      </c>
      <c r="F543" s="36" t="s">
        <v>1315</v>
      </c>
      <c r="G543" s="36" t="s">
        <v>1316</v>
      </c>
      <c r="H543" s="37" t="s">
        <v>80</v>
      </c>
      <c r="I543" s="37" t="s">
        <v>81</v>
      </c>
      <c r="J543" s="37" t="s">
        <v>82</v>
      </c>
      <c r="K543" s="37" t="s">
        <v>87</v>
      </c>
      <c r="L543" s="36" t="s">
        <v>84</v>
      </c>
      <c r="M543" s="34">
        <v>809.74</v>
      </c>
      <c r="N543" s="34">
        <v>344.66</v>
      </c>
      <c r="O543" s="34">
        <v>465.08</v>
      </c>
      <c r="P543" s="34">
        <v>202.29</v>
      </c>
      <c r="Q543" s="34">
        <v>9.9499999999999993</v>
      </c>
      <c r="R543" s="34">
        <v>6.03</v>
      </c>
      <c r="S543" s="34">
        <v>6.02</v>
      </c>
      <c r="T543" s="34">
        <v>-6.51</v>
      </c>
      <c r="U543" s="34">
        <v>122.28</v>
      </c>
      <c r="V543" s="34">
        <v>-76.86</v>
      </c>
      <c r="W543" s="34">
        <v>4.09</v>
      </c>
      <c r="X543" s="34">
        <v>0.74</v>
      </c>
      <c r="Y543" s="35">
        <v>-3.0556000000000001</v>
      </c>
      <c r="Z543" s="35">
        <v>-5.32</v>
      </c>
      <c r="AA543" s="35">
        <v>-12.231299999999999</v>
      </c>
    </row>
    <row r="544" spans="1:27" ht="15.75" hidden="1" customHeight="1" x14ac:dyDescent="0.2">
      <c r="A544" s="2"/>
      <c r="B544" s="31">
        <v>539</v>
      </c>
      <c r="C544" s="36" t="s">
        <v>991</v>
      </c>
      <c r="D544" s="36" t="s">
        <v>1305</v>
      </c>
      <c r="E544" s="36" t="s">
        <v>1306</v>
      </c>
      <c r="F544" s="36" t="s">
        <v>1317</v>
      </c>
      <c r="G544" s="36" t="s">
        <v>1318</v>
      </c>
      <c r="H544" s="37" t="s">
        <v>95</v>
      </c>
      <c r="I544" s="37" t="s">
        <v>81</v>
      </c>
      <c r="J544" s="37" t="s">
        <v>82</v>
      </c>
      <c r="K544" s="37" t="s">
        <v>87</v>
      </c>
      <c r="L544" s="36" t="s">
        <v>84</v>
      </c>
      <c r="M544" s="34">
        <v>3283.14</v>
      </c>
      <c r="N544" s="34">
        <v>2100.94</v>
      </c>
      <c r="O544" s="34">
        <v>1182.2</v>
      </c>
      <c r="P544" s="34">
        <v>2399.5700000000002</v>
      </c>
      <c r="Q544" s="34">
        <v>115.23</v>
      </c>
      <c r="R544" s="34">
        <v>82.08</v>
      </c>
      <c r="S544" s="34">
        <v>72.709999999999994</v>
      </c>
      <c r="T544" s="34">
        <v>13.72</v>
      </c>
      <c r="U544" s="34">
        <v>78.81</v>
      </c>
      <c r="V544" s="34">
        <v>10.28</v>
      </c>
      <c r="W544" s="34">
        <v>1.79</v>
      </c>
      <c r="X544" s="34">
        <v>1.78</v>
      </c>
      <c r="Y544" s="35">
        <v>6.2675000000000001</v>
      </c>
      <c r="Z544" s="35">
        <v>17.4057</v>
      </c>
      <c r="AA544" s="35">
        <v>8.5753000000000004</v>
      </c>
    </row>
    <row r="545" spans="1:27" ht="15.75" hidden="1" customHeight="1" x14ac:dyDescent="0.2">
      <c r="A545" s="2"/>
      <c r="B545" s="31">
        <v>540</v>
      </c>
      <c r="C545" s="36" t="s">
        <v>991</v>
      </c>
      <c r="D545" s="36" t="s">
        <v>1301</v>
      </c>
      <c r="E545" s="36" t="s">
        <v>1302</v>
      </c>
      <c r="F545" s="36" t="s">
        <v>1319</v>
      </c>
      <c r="G545" s="36" t="s">
        <v>1320</v>
      </c>
      <c r="H545" s="37" t="s">
        <v>80</v>
      </c>
      <c r="I545" s="37" t="s">
        <v>81</v>
      </c>
      <c r="J545" s="37" t="s">
        <v>82</v>
      </c>
      <c r="K545" s="37" t="s">
        <v>87</v>
      </c>
      <c r="L545" s="36" t="s">
        <v>84</v>
      </c>
      <c r="M545" s="34">
        <v>11843.61</v>
      </c>
      <c r="N545" s="34">
        <v>8160.26</v>
      </c>
      <c r="O545" s="34">
        <v>3683.35</v>
      </c>
      <c r="P545" s="34">
        <v>8317.7999999999993</v>
      </c>
      <c r="Q545" s="34">
        <v>35.82</v>
      </c>
      <c r="R545" s="34">
        <v>31.17</v>
      </c>
      <c r="S545" s="34">
        <v>26.14</v>
      </c>
      <c r="T545" s="34">
        <v>22.98</v>
      </c>
      <c r="U545" s="34">
        <v>648.12</v>
      </c>
      <c r="V545" s="34">
        <v>13.41</v>
      </c>
      <c r="W545" s="34">
        <v>0.48</v>
      </c>
      <c r="X545" s="34">
        <v>2.2200000000000002</v>
      </c>
      <c r="Y545" s="35">
        <v>1.1025</v>
      </c>
      <c r="Z545" s="35">
        <v>3.5449999999999999</v>
      </c>
      <c r="AA545" s="35">
        <v>1.5698000000000001</v>
      </c>
    </row>
    <row r="546" spans="1:27" ht="15.75" hidden="1" customHeight="1" x14ac:dyDescent="0.2">
      <c r="A546" s="2"/>
      <c r="B546" s="31">
        <v>541</v>
      </c>
      <c r="C546" s="36" t="s">
        <v>991</v>
      </c>
      <c r="D546" s="36" t="s">
        <v>1301</v>
      </c>
      <c r="E546" s="36" t="s">
        <v>1302</v>
      </c>
      <c r="F546" s="36" t="s">
        <v>1321</v>
      </c>
      <c r="G546" s="36" t="s">
        <v>1322</v>
      </c>
      <c r="H546" s="37" t="s">
        <v>80</v>
      </c>
      <c r="I546" s="37" t="s">
        <v>81</v>
      </c>
      <c r="J546" s="37" t="s">
        <v>82</v>
      </c>
      <c r="K546" s="37" t="s">
        <v>87</v>
      </c>
      <c r="L546" s="36" t="s">
        <v>84</v>
      </c>
      <c r="M546" s="34">
        <v>2309.66</v>
      </c>
      <c r="N546" s="34">
        <v>990.41</v>
      </c>
      <c r="O546" s="34">
        <v>1319.25</v>
      </c>
      <c r="P546" s="34">
        <v>1368.42</v>
      </c>
      <c r="Q546" s="34">
        <v>44.23</v>
      </c>
      <c r="R546" s="34">
        <v>38.5</v>
      </c>
      <c r="S546" s="34">
        <v>38.5</v>
      </c>
      <c r="T546" s="34">
        <v>13.81</v>
      </c>
      <c r="U546" s="34">
        <v>194.29</v>
      </c>
      <c r="V546" s="34">
        <v>23.32</v>
      </c>
      <c r="W546" s="34">
        <v>1.66</v>
      </c>
      <c r="X546" s="34">
        <v>0.75</v>
      </c>
      <c r="Y546" s="35">
        <v>4.0587</v>
      </c>
      <c r="Z546" s="35">
        <v>7.1056999999999997</v>
      </c>
      <c r="AA546" s="35">
        <v>6.8503999999999996</v>
      </c>
    </row>
    <row r="547" spans="1:27" ht="15.75" hidden="1" customHeight="1" x14ac:dyDescent="0.2">
      <c r="A547" s="2"/>
      <c r="B547" s="31">
        <v>542</v>
      </c>
      <c r="C547" s="36" t="s">
        <v>991</v>
      </c>
      <c r="D547" s="36" t="s">
        <v>1323</v>
      </c>
      <c r="E547" s="36" t="s">
        <v>1324</v>
      </c>
      <c r="F547" s="36" t="s">
        <v>1325</v>
      </c>
      <c r="G547" s="36" t="s">
        <v>1326</v>
      </c>
      <c r="H547" s="37" t="s">
        <v>80</v>
      </c>
      <c r="I547" s="37" t="s">
        <v>81</v>
      </c>
      <c r="J547" s="37" t="s">
        <v>82</v>
      </c>
      <c r="K547" s="37" t="s">
        <v>87</v>
      </c>
      <c r="L547" s="36" t="s">
        <v>84</v>
      </c>
      <c r="M547" s="34">
        <v>1616.67</v>
      </c>
      <c r="N547" s="34">
        <v>468.54</v>
      </c>
      <c r="O547" s="34">
        <v>1148.1300000000001</v>
      </c>
      <c r="P547" s="34">
        <v>1137.07</v>
      </c>
      <c r="Q547" s="34">
        <v>-19.93</v>
      </c>
      <c r="R547" s="34">
        <v>-19.93</v>
      </c>
      <c r="S547" s="34">
        <v>-19.91</v>
      </c>
      <c r="T547" s="34">
        <v>-6.36</v>
      </c>
      <c r="U547" s="34">
        <v>860.45</v>
      </c>
      <c r="V547" s="34">
        <v>-31.14</v>
      </c>
      <c r="W547" s="34">
        <v>0.23</v>
      </c>
      <c r="X547" s="34">
        <v>0.41</v>
      </c>
      <c r="Y547" s="35">
        <v>-0.52480000000000004</v>
      </c>
      <c r="Z547" s="35">
        <v>-0.73899999999999999</v>
      </c>
      <c r="AA547" s="35">
        <v>-0.74619999999999997</v>
      </c>
    </row>
    <row r="548" spans="1:27" ht="15.75" hidden="1" customHeight="1" x14ac:dyDescent="0.2">
      <c r="A548" s="2"/>
      <c r="B548" s="31">
        <v>543</v>
      </c>
      <c r="C548" s="36" t="s">
        <v>991</v>
      </c>
      <c r="D548" s="36" t="s">
        <v>1323</v>
      </c>
      <c r="E548" s="36" t="s">
        <v>1324</v>
      </c>
      <c r="F548" s="36" t="s">
        <v>1327</v>
      </c>
      <c r="G548" s="36" t="s">
        <v>1328</v>
      </c>
      <c r="H548" s="37" t="s">
        <v>80</v>
      </c>
      <c r="I548" s="37" t="s">
        <v>81</v>
      </c>
      <c r="J548" s="37" t="s">
        <v>82</v>
      </c>
      <c r="K548" s="37" t="s">
        <v>87</v>
      </c>
      <c r="L548" s="36" t="s">
        <v>84</v>
      </c>
      <c r="M548" s="34">
        <v>28454.880000000001</v>
      </c>
      <c r="N548" s="34">
        <v>19032.900000000001</v>
      </c>
      <c r="O548" s="34">
        <v>9421.98</v>
      </c>
      <c r="P548" s="34">
        <v>35046.19</v>
      </c>
      <c r="Q548" s="34">
        <v>863.42</v>
      </c>
      <c r="R548" s="34">
        <v>605.82000000000005</v>
      </c>
      <c r="S548" s="34">
        <v>568.29999999999995</v>
      </c>
      <c r="T548" s="34">
        <v>67.540000000000006</v>
      </c>
      <c r="U548" s="34">
        <v>590.72</v>
      </c>
      <c r="V548" s="34">
        <v>6.4</v>
      </c>
      <c r="W548" s="34">
        <v>0.73</v>
      </c>
      <c r="X548" s="34">
        <v>2.02</v>
      </c>
      <c r="Y548" s="35">
        <v>3.7858999999999998</v>
      </c>
      <c r="Z548" s="35">
        <v>11.4336</v>
      </c>
      <c r="AA548" s="35">
        <v>3.0739000000000001</v>
      </c>
    </row>
    <row r="549" spans="1:27" ht="15.75" hidden="1" customHeight="1" x14ac:dyDescent="0.2">
      <c r="A549" s="2"/>
      <c r="B549" s="31">
        <v>544</v>
      </c>
      <c r="C549" s="36" t="s">
        <v>991</v>
      </c>
      <c r="D549" s="36" t="s">
        <v>1323</v>
      </c>
      <c r="E549" s="36" t="s">
        <v>1324</v>
      </c>
      <c r="F549" s="36" t="s">
        <v>1329</v>
      </c>
      <c r="G549" s="36" t="s">
        <v>1330</v>
      </c>
      <c r="H549" s="37" t="s">
        <v>80</v>
      </c>
      <c r="I549" s="37" t="s">
        <v>81</v>
      </c>
      <c r="J549" s="37" t="s">
        <v>82</v>
      </c>
      <c r="K549" s="37" t="s">
        <v>87</v>
      </c>
      <c r="L549" s="36" t="s">
        <v>84</v>
      </c>
      <c r="M549" s="34">
        <v>2592.23</v>
      </c>
      <c r="N549" s="34">
        <v>921.3</v>
      </c>
      <c r="O549" s="34">
        <v>1670.93</v>
      </c>
      <c r="P549" s="34">
        <v>2614.13</v>
      </c>
      <c r="Q549" s="34">
        <v>105.74</v>
      </c>
      <c r="R549" s="34">
        <v>80.03</v>
      </c>
      <c r="S549" s="34">
        <v>80.19</v>
      </c>
      <c r="T549" s="34">
        <v>36.92</v>
      </c>
      <c r="U549" s="34">
        <v>322.11</v>
      </c>
      <c r="V549" s="34">
        <v>8.7799999999999994</v>
      </c>
      <c r="W549" s="34">
        <v>1.01</v>
      </c>
      <c r="X549" s="34">
        <v>0.55000000000000004</v>
      </c>
      <c r="Y549" s="35">
        <v>7.3879999999999999</v>
      </c>
      <c r="Z549" s="35">
        <v>11.461600000000001</v>
      </c>
      <c r="AA549" s="35">
        <v>7.3261000000000003</v>
      </c>
    </row>
    <row r="550" spans="1:27" ht="15.75" hidden="1" customHeight="1" x14ac:dyDescent="0.2">
      <c r="A550" s="2"/>
      <c r="B550" s="31">
        <v>545</v>
      </c>
      <c r="C550" s="36" t="s">
        <v>991</v>
      </c>
      <c r="D550" s="36" t="s">
        <v>1323</v>
      </c>
      <c r="E550" s="36" t="s">
        <v>1324</v>
      </c>
      <c r="F550" s="36" t="s">
        <v>1331</v>
      </c>
      <c r="G550" s="36" t="s">
        <v>1332</v>
      </c>
      <c r="H550" s="37" t="s">
        <v>95</v>
      </c>
      <c r="I550" s="37" t="s">
        <v>81</v>
      </c>
      <c r="J550" s="37" t="s">
        <v>82</v>
      </c>
      <c r="K550" s="37" t="s">
        <v>87</v>
      </c>
      <c r="L550" s="36" t="s">
        <v>84</v>
      </c>
      <c r="M550" s="34">
        <v>3.9</v>
      </c>
      <c r="N550" s="34">
        <v>1098.5899999999999</v>
      </c>
      <c r="O550" s="34">
        <v>-1094.69</v>
      </c>
      <c r="P550" s="34">
        <v>25.65</v>
      </c>
      <c r="Q550" s="34">
        <v>1.08</v>
      </c>
      <c r="R550" s="34">
        <v>1.08</v>
      </c>
      <c r="S550" s="34">
        <v>1.08</v>
      </c>
      <c r="T550" s="34">
        <v>-82.51</v>
      </c>
      <c r="U550" s="34">
        <v>-985.22</v>
      </c>
      <c r="V550" s="34">
        <v>-1.1399999999999999</v>
      </c>
      <c r="W550" s="34">
        <v>-0.1</v>
      </c>
      <c r="X550" s="34">
        <v>-1</v>
      </c>
      <c r="Y550" s="35">
        <v>-2350.8177000000001</v>
      </c>
      <c r="Z550" s="35" t="s">
        <v>95</v>
      </c>
      <c r="AA550" s="35">
        <v>-357.44099999999997</v>
      </c>
    </row>
    <row r="551" spans="1:27" ht="15.75" hidden="1" customHeight="1" x14ac:dyDescent="0.2">
      <c r="A551" s="2"/>
      <c r="B551" s="31">
        <v>546</v>
      </c>
      <c r="C551" s="36" t="s">
        <v>991</v>
      </c>
      <c r="D551" s="36" t="s">
        <v>1305</v>
      </c>
      <c r="E551" s="36" t="s">
        <v>1306</v>
      </c>
      <c r="F551" s="36" t="s">
        <v>1333</v>
      </c>
      <c r="G551" s="36" t="s">
        <v>1334</v>
      </c>
      <c r="H551" s="37" t="s">
        <v>95</v>
      </c>
      <c r="I551" s="37" t="s">
        <v>81</v>
      </c>
      <c r="J551" s="37" t="s">
        <v>82</v>
      </c>
      <c r="K551" s="37" t="s">
        <v>87</v>
      </c>
      <c r="L551" s="36" t="s">
        <v>84</v>
      </c>
      <c r="M551" s="34">
        <v>70193.350000000006</v>
      </c>
      <c r="N551" s="34">
        <v>54233.46</v>
      </c>
      <c r="O551" s="34">
        <v>15959.89</v>
      </c>
      <c r="P551" s="34">
        <v>14760.5</v>
      </c>
      <c r="Q551" s="34">
        <v>330.87</v>
      </c>
      <c r="R551" s="34">
        <v>127.65</v>
      </c>
      <c r="S551" s="34">
        <v>43.16</v>
      </c>
      <c r="T551" s="34">
        <v>59.44</v>
      </c>
      <c r="U551" s="34">
        <v>3995.68</v>
      </c>
      <c r="V551" s="34">
        <v>21.28</v>
      </c>
      <c r="W551" s="34">
        <v>0.32</v>
      </c>
      <c r="X551" s="34">
        <v>3.4</v>
      </c>
      <c r="Y551" s="35">
        <v>0.33829999999999999</v>
      </c>
      <c r="Z551" s="35">
        <v>1.4877</v>
      </c>
      <c r="AA551" s="35">
        <v>1.6086</v>
      </c>
    </row>
    <row r="552" spans="1:27" ht="15.75" hidden="1" customHeight="1" x14ac:dyDescent="0.2">
      <c r="A552" s="2"/>
      <c r="B552" s="31">
        <v>547</v>
      </c>
      <c r="C552" s="36" t="s">
        <v>991</v>
      </c>
      <c r="D552" s="36" t="s">
        <v>1301</v>
      </c>
      <c r="E552" s="36" t="s">
        <v>1302</v>
      </c>
      <c r="F552" s="36" t="s">
        <v>1335</v>
      </c>
      <c r="G552" s="36" t="s">
        <v>1336</v>
      </c>
      <c r="H552" s="37" t="s">
        <v>95</v>
      </c>
      <c r="I552" s="37" t="s">
        <v>81</v>
      </c>
      <c r="J552" s="37" t="s">
        <v>82</v>
      </c>
      <c r="K552" s="37" t="s">
        <v>87</v>
      </c>
      <c r="L552" s="36" t="s">
        <v>84</v>
      </c>
      <c r="M552" s="34">
        <v>41.19</v>
      </c>
      <c r="N552" s="34">
        <v>9.56</v>
      </c>
      <c r="O552" s="34">
        <v>31.63</v>
      </c>
      <c r="P552" s="34">
        <v>4.75</v>
      </c>
      <c r="Q552" s="34">
        <v>-1.73</v>
      </c>
      <c r="R552" s="34">
        <v>-1.73</v>
      </c>
      <c r="S552" s="34">
        <v>-1.73</v>
      </c>
      <c r="T552" s="34">
        <v>-1.98</v>
      </c>
      <c r="U552" s="34">
        <v>24.19</v>
      </c>
      <c r="V552" s="34">
        <v>-94.52</v>
      </c>
      <c r="W552" s="34">
        <v>7.73</v>
      </c>
      <c r="X552" s="34">
        <v>0.3</v>
      </c>
      <c r="Y552" s="35">
        <v>-6.2801999999999998</v>
      </c>
      <c r="Z552" s="35">
        <v>-8.1791999999999998</v>
      </c>
      <c r="AA552" s="35">
        <v>-54.485500000000002</v>
      </c>
    </row>
    <row r="553" spans="1:27" ht="15.75" hidden="1" customHeight="1" x14ac:dyDescent="0.2">
      <c r="A553" s="2"/>
      <c r="B553" s="31">
        <v>548</v>
      </c>
      <c r="C553" s="36" t="s">
        <v>991</v>
      </c>
      <c r="D553" s="36" t="s">
        <v>1337</v>
      </c>
      <c r="E553" s="36" t="s">
        <v>1338</v>
      </c>
      <c r="F553" s="36" t="s">
        <v>1339</v>
      </c>
      <c r="G553" s="36" t="s">
        <v>1340</v>
      </c>
      <c r="H553" s="37" t="s">
        <v>80</v>
      </c>
      <c r="I553" s="37" t="s">
        <v>81</v>
      </c>
      <c r="J553" s="37" t="s">
        <v>82</v>
      </c>
      <c r="K553" s="37" t="s">
        <v>87</v>
      </c>
      <c r="L553" s="36" t="s">
        <v>84</v>
      </c>
      <c r="M553" s="34">
        <v>4797.8599999999997</v>
      </c>
      <c r="N553" s="34">
        <v>4424</v>
      </c>
      <c r="O553" s="34">
        <v>373.86</v>
      </c>
      <c r="P553" s="34">
        <v>3401.25</v>
      </c>
      <c r="Q553" s="34">
        <v>743.66</v>
      </c>
      <c r="R553" s="34">
        <v>604.04</v>
      </c>
      <c r="S553" s="34">
        <v>604.04</v>
      </c>
      <c r="T553" s="34">
        <v>356.73</v>
      </c>
      <c r="U553" s="34">
        <v>165.55</v>
      </c>
      <c r="V553" s="34">
        <v>4.53</v>
      </c>
      <c r="W553" s="34">
        <v>9.76</v>
      </c>
      <c r="X553" s="34">
        <v>11.83</v>
      </c>
      <c r="Y553" s="35">
        <v>16.790600000000001</v>
      </c>
      <c r="Z553" s="35">
        <v>215.4785</v>
      </c>
      <c r="AA553" s="35">
        <v>23.685099999999998</v>
      </c>
    </row>
    <row r="554" spans="1:27" ht="15.75" hidden="1" customHeight="1" x14ac:dyDescent="0.2">
      <c r="A554" s="2"/>
      <c r="B554" s="31">
        <v>549</v>
      </c>
      <c r="C554" s="36" t="s">
        <v>991</v>
      </c>
      <c r="D554" s="36" t="s">
        <v>1309</v>
      </c>
      <c r="E554" s="36" t="s">
        <v>1310</v>
      </c>
      <c r="F554" s="36" t="s">
        <v>1341</v>
      </c>
      <c r="G554" s="36" t="s">
        <v>1342</v>
      </c>
      <c r="H554" s="37" t="s">
        <v>80</v>
      </c>
      <c r="I554" s="37" t="s">
        <v>81</v>
      </c>
      <c r="J554" s="37" t="s">
        <v>82</v>
      </c>
      <c r="K554" s="37" t="s">
        <v>87</v>
      </c>
      <c r="L554" s="36" t="s">
        <v>84</v>
      </c>
      <c r="M554" s="34">
        <v>13465.43</v>
      </c>
      <c r="N554" s="34">
        <v>5700.68</v>
      </c>
      <c r="O554" s="34">
        <v>7764.75</v>
      </c>
      <c r="P554" s="34">
        <v>8794.64</v>
      </c>
      <c r="Q554" s="34">
        <v>873.59</v>
      </c>
      <c r="R554" s="34">
        <v>654.96</v>
      </c>
      <c r="S554" s="34">
        <v>662.42</v>
      </c>
      <c r="T554" s="34">
        <v>50.15</v>
      </c>
      <c r="U554" s="34">
        <v>272.41000000000003</v>
      </c>
      <c r="V554" s="34">
        <v>10.77</v>
      </c>
      <c r="W554" s="34">
        <v>1.98</v>
      </c>
      <c r="X554" s="34">
        <v>0.73</v>
      </c>
      <c r="Y554" s="35">
        <v>10.616199999999999</v>
      </c>
      <c r="Z554" s="35">
        <v>18.410299999999999</v>
      </c>
      <c r="AA554" s="35">
        <v>16.2544</v>
      </c>
    </row>
    <row r="555" spans="1:27" ht="15.75" hidden="1" customHeight="1" x14ac:dyDescent="0.2">
      <c r="A555" s="2"/>
      <c r="B555" s="31">
        <v>550</v>
      </c>
      <c r="C555" s="36" t="s">
        <v>991</v>
      </c>
      <c r="D555" s="36" t="s">
        <v>1309</v>
      </c>
      <c r="E555" s="36" t="s">
        <v>1310</v>
      </c>
      <c r="F555" s="36" t="s">
        <v>1343</v>
      </c>
      <c r="G555" s="36" t="s">
        <v>1344</v>
      </c>
      <c r="H555" s="37" t="s">
        <v>80</v>
      </c>
      <c r="I555" s="37" t="s">
        <v>81</v>
      </c>
      <c r="J555" s="37" t="s">
        <v>82</v>
      </c>
      <c r="K555" s="37" t="s">
        <v>87</v>
      </c>
      <c r="L555" s="36" t="s">
        <v>84</v>
      </c>
      <c r="M555" s="34">
        <v>31414.32</v>
      </c>
      <c r="N555" s="34">
        <v>15805.32</v>
      </c>
      <c r="O555" s="34">
        <v>15609</v>
      </c>
      <c r="P555" s="34">
        <v>19562.060000000001</v>
      </c>
      <c r="Q555" s="34">
        <v>1468.63</v>
      </c>
      <c r="R555" s="34">
        <v>1145.02</v>
      </c>
      <c r="S555" s="34">
        <v>960.93</v>
      </c>
      <c r="T555" s="34">
        <v>110.19</v>
      </c>
      <c r="U555" s="34">
        <v>940.3</v>
      </c>
      <c r="V555" s="34">
        <v>10.210000000000001</v>
      </c>
      <c r="W555" s="34">
        <v>1.2</v>
      </c>
      <c r="X555" s="34">
        <v>1.01</v>
      </c>
      <c r="Y555" s="35">
        <v>5.8228</v>
      </c>
      <c r="Z555" s="35">
        <v>11.7189</v>
      </c>
      <c r="AA555" s="35">
        <v>9.3507999999999996</v>
      </c>
    </row>
    <row r="556" spans="1:27" ht="15.75" hidden="1" customHeight="1" x14ac:dyDescent="0.2">
      <c r="A556" s="2"/>
      <c r="B556" s="31">
        <v>551</v>
      </c>
      <c r="C556" s="36" t="s">
        <v>991</v>
      </c>
      <c r="D556" s="36" t="s">
        <v>1301</v>
      </c>
      <c r="E556" s="36" t="s">
        <v>1302</v>
      </c>
      <c r="F556" s="36" t="s">
        <v>1345</v>
      </c>
      <c r="G556" s="36" t="s">
        <v>1346</v>
      </c>
      <c r="H556" s="37" t="s">
        <v>80</v>
      </c>
      <c r="I556" s="37" t="s">
        <v>81</v>
      </c>
      <c r="J556" s="37" t="s">
        <v>82</v>
      </c>
      <c r="K556" s="37" t="s">
        <v>87</v>
      </c>
      <c r="L556" s="36" t="s">
        <v>84</v>
      </c>
      <c r="M556" s="34">
        <v>6721.85</v>
      </c>
      <c r="N556" s="34">
        <v>3127.77</v>
      </c>
      <c r="O556" s="34">
        <v>3594.08</v>
      </c>
      <c r="P556" s="34">
        <v>3734.59</v>
      </c>
      <c r="Q556" s="34">
        <v>673.08</v>
      </c>
      <c r="R556" s="34">
        <v>507.38</v>
      </c>
      <c r="S556" s="34">
        <v>505.69</v>
      </c>
      <c r="T556" s="34">
        <v>41.58</v>
      </c>
      <c r="U556" s="34">
        <v>142.68</v>
      </c>
      <c r="V556" s="34">
        <v>25.98</v>
      </c>
      <c r="W556" s="34">
        <v>7.57</v>
      </c>
      <c r="X556" s="34">
        <v>0.87</v>
      </c>
      <c r="Y556" s="35">
        <v>15.5807</v>
      </c>
      <c r="Z556" s="35">
        <v>29.139900000000001</v>
      </c>
      <c r="AA556" s="35">
        <v>28.043600000000001</v>
      </c>
    </row>
    <row r="557" spans="1:27" ht="15.75" hidden="1" customHeight="1" x14ac:dyDescent="0.2">
      <c r="A557" s="2"/>
      <c r="B557" s="31">
        <v>552</v>
      </c>
      <c r="C557" s="36" t="s">
        <v>991</v>
      </c>
      <c r="D557" s="36" t="s">
        <v>1347</v>
      </c>
      <c r="E557" s="36" t="s">
        <v>1348</v>
      </c>
      <c r="F557" s="36" t="s">
        <v>1349</v>
      </c>
      <c r="G557" s="36" t="s">
        <v>1350</v>
      </c>
      <c r="H557" s="37" t="s">
        <v>95</v>
      </c>
      <c r="I557" s="37" t="s">
        <v>127</v>
      </c>
      <c r="J557" s="37" t="s">
        <v>82</v>
      </c>
      <c r="K557" s="37" t="s">
        <v>87</v>
      </c>
      <c r="L557" s="36" t="s">
        <v>84</v>
      </c>
      <c r="M557" s="34">
        <v>416.1</v>
      </c>
      <c r="N557" s="34">
        <v>462.55</v>
      </c>
      <c r="O557" s="34">
        <v>-46.46</v>
      </c>
      <c r="P557" s="34">
        <v>1243.08</v>
      </c>
      <c r="Q557" s="34">
        <v>-7.24</v>
      </c>
      <c r="R557" s="34">
        <v>-10.130000000000001</v>
      </c>
      <c r="S557" s="34">
        <v>-7.95</v>
      </c>
      <c r="T557" s="34">
        <v>-3.85</v>
      </c>
      <c r="U557" s="34">
        <v>-8.4499999999999993</v>
      </c>
      <c r="V557" s="34">
        <v>-0.26</v>
      </c>
      <c r="W557" s="34">
        <v>-0.12</v>
      </c>
      <c r="X557" s="34">
        <v>-9.9600000000000009</v>
      </c>
      <c r="Y557" s="35">
        <v>-5.0867000000000004</v>
      </c>
      <c r="Z557" s="35" t="s">
        <v>95</v>
      </c>
      <c r="AA557" s="35">
        <v>-1.7027000000000001</v>
      </c>
    </row>
    <row r="558" spans="1:27" ht="15.75" hidden="1" customHeight="1" x14ac:dyDescent="0.2">
      <c r="A558" s="2"/>
      <c r="B558" s="31">
        <v>553</v>
      </c>
      <c r="C558" s="36" t="s">
        <v>991</v>
      </c>
      <c r="D558" s="36" t="s">
        <v>1305</v>
      </c>
      <c r="E558" s="36" t="s">
        <v>1306</v>
      </c>
      <c r="F558" s="36" t="s">
        <v>1351</v>
      </c>
      <c r="G558" s="36" t="s">
        <v>1352</v>
      </c>
      <c r="H558" s="37" t="s">
        <v>80</v>
      </c>
      <c r="I558" s="37" t="s">
        <v>81</v>
      </c>
      <c r="J558" s="37" t="s">
        <v>82</v>
      </c>
      <c r="K558" s="37" t="s">
        <v>87</v>
      </c>
      <c r="L558" s="36" t="s">
        <v>84</v>
      </c>
      <c r="M558" s="34">
        <v>8639.93</v>
      </c>
      <c r="N558" s="34">
        <v>2703.13</v>
      </c>
      <c r="O558" s="34">
        <v>5936.8</v>
      </c>
      <c r="P558" s="34">
        <v>7436.15</v>
      </c>
      <c r="Q558" s="34">
        <v>312.02</v>
      </c>
      <c r="R558" s="34">
        <v>248.98</v>
      </c>
      <c r="S558" s="34">
        <v>248.97</v>
      </c>
      <c r="T558" s="34">
        <v>114.92</v>
      </c>
      <c r="U558" s="34">
        <v>1353.28</v>
      </c>
      <c r="V558" s="34">
        <v>8.14</v>
      </c>
      <c r="W558" s="34">
        <v>0.69</v>
      </c>
      <c r="X558" s="34">
        <v>0.46</v>
      </c>
      <c r="Y558" s="35">
        <v>5.8350999999999997</v>
      </c>
      <c r="Z558" s="35">
        <v>8.4920000000000009</v>
      </c>
      <c r="AA558" s="35">
        <v>6.7797000000000001</v>
      </c>
    </row>
    <row r="559" spans="1:27" ht="15.75" hidden="1" customHeight="1" x14ac:dyDescent="0.2">
      <c r="A559" s="2"/>
      <c r="B559" s="31">
        <v>554</v>
      </c>
      <c r="C559" s="36" t="s">
        <v>991</v>
      </c>
      <c r="D559" s="36" t="s">
        <v>1305</v>
      </c>
      <c r="E559" s="36" t="s">
        <v>1306</v>
      </c>
      <c r="F559" s="36" t="s">
        <v>1353</v>
      </c>
      <c r="G559" s="36" t="s">
        <v>1354</v>
      </c>
      <c r="H559" s="37" t="s">
        <v>80</v>
      </c>
      <c r="I559" s="37" t="s">
        <v>81</v>
      </c>
      <c r="J559" s="37" t="s">
        <v>82</v>
      </c>
      <c r="K559" s="37" t="s">
        <v>87</v>
      </c>
      <c r="L559" s="36" t="s">
        <v>84</v>
      </c>
      <c r="M559" s="34">
        <v>4929.58</v>
      </c>
      <c r="N559" s="34">
        <v>1765.38</v>
      </c>
      <c r="O559" s="34">
        <v>3164.2</v>
      </c>
      <c r="P559" s="34">
        <v>3868.61</v>
      </c>
      <c r="Q559" s="34">
        <v>80.86</v>
      </c>
      <c r="R559" s="34">
        <v>60.45</v>
      </c>
      <c r="S559" s="34">
        <v>48.73</v>
      </c>
      <c r="T559" s="34">
        <v>7.35</v>
      </c>
      <c r="U559" s="34">
        <v>230.03</v>
      </c>
      <c r="V559" s="34">
        <v>16.329999999999998</v>
      </c>
      <c r="W559" s="34">
        <v>0.52</v>
      </c>
      <c r="X559" s="34">
        <v>0.56000000000000005</v>
      </c>
      <c r="Y559" s="35">
        <v>2.0510999999999999</v>
      </c>
      <c r="Z559" s="35">
        <v>3.1955</v>
      </c>
      <c r="AA559" s="35">
        <v>2.6135999999999999</v>
      </c>
    </row>
    <row r="560" spans="1:27" ht="15.75" hidden="1" customHeight="1" x14ac:dyDescent="0.2">
      <c r="A560" s="2"/>
      <c r="B560" s="31">
        <v>555</v>
      </c>
      <c r="C560" s="36" t="s">
        <v>991</v>
      </c>
      <c r="D560" s="36" t="s">
        <v>1347</v>
      </c>
      <c r="E560" s="36" t="s">
        <v>1348</v>
      </c>
      <c r="F560" s="36" t="s">
        <v>1355</v>
      </c>
      <c r="G560" s="36" t="s">
        <v>1356</v>
      </c>
      <c r="H560" s="37" t="s">
        <v>80</v>
      </c>
      <c r="I560" s="37" t="s">
        <v>81</v>
      </c>
      <c r="J560" s="37" t="s">
        <v>82</v>
      </c>
      <c r="K560" s="37" t="s">
        <v>87</v>
      </c>
      <c r="L560" s="36" t="s">
        <v>84</v>
      </c>
      <c r="M560" s="34">
        <v>311.12</v>
      </c>
      <c r="N560" s="34">
        <v>76.430000000000007</v>
      </c>
      <c r="O560" s="34">
        <v>234.7</v>
      </c>
      <c r="P560" s="34">
        <v>1939.92</v>
      </c>
      <c r="Q560" s="34">
        <v>32.96</v>
      </c>
      <c r="R560" s="34">
        <v>25.68</v>
      </c>
      <c r="S560" s="34">
        <v>24.05</v>
      </c>
      <c r="T560" s="34">
        <v>8.8000000000000007</v>
      </c>
      <c r="U560" s="34">
        <v>40.46</v>
      </c>
      <c r="V560" s="34">
        <v>15.45</v>
      </c>
      <c r="W560" s="34">
        <v>3.36</v>
      </c>
      <c r="X560" s="34">
        <v>0.33</v>
      </c>
      <c r="Y560" s="35">
        <v>16.414000000000001</v>
      </c>
      <c r="Z560" s="35">
        <v>21.7591</v>
      </c>
      <c r="AA560" s="35">
        <v>2.6324999999999998</v>
      </c>
    </row>
    <row r="561" spans="1:27" ht="15.75" hidden="1" customHeight="1" x14ac:dyDescent="0.2">
      <c r="A561" s="2"/>
      <c r="B561" s="31">
        <v>556</v>
      </c>
      <c r="C561" s="36" t="s">
        <v>991</v>
      </c>
      <c r="D561" s="36" t="s">
        <v>1337</v>
      </c>
      <c r="E561" s="36" t="s">
        <v>1338</v>
      </c>
      <c r="F561" s="36" t="s">
        <v>1357</v>
      </c>
      <c r="G561" s="36" t="s">
        <v>1358</v>
      </c>
      <c r="H561" s="37" t="s">
        <v>80</v>
      </c>
      <c r="I561" s="37" t="s">
        <v>81</v>
      </c>
      <c r="J561" s="37" t="s">
        <v>82</v>
      </c>
      <c r="K561" s="37" t="s">
        <v>87</v>
      </c>
      <c r="L561" s="36" t="s">
        <v>84</v>
      </c>
      <c r="M561" s="34">
        <v>4569.53</v>
      </c>
      <c r="N561" s="34">
        <v>1110.25</v>
      </c>
      <c r="O561" s="34">
        <v>3459.28</v>
      </c>
      <c r="P561" s="34">
        <v>1503.03</v>
      </c>
      <c r="Q561" s="34">
        <v>266.81</v>
      </c>
      <c r="R561" s="34">
        <v>230.37</v>
      </c>
      <c r="S561" s="34">
        <v>230.37</v>
      </c>
      <c r="T561" s="34">
        <v>41.79</v>
      </c>
      <c r="U561" s="34">
        <v>487.5</v>
      </c>
      <c r="V561" s="34">
        <v>9.6199999999999992</v>
      </c>
      <c r="W561" s="34">
        <v>0.82</v>
      </c>
      <c r="X561" s="34">
        <v>0.32</v>
      </c>
      <c r="Y561" s="35">
        <v>6.4898999999999996</v>
      </c>
      <c r="Z561" s="35">
        <v>8.5729000000000006</v>
      </c>
      <c r="AA561" s="35">
        <v>19.730899999999998</v>
      </c>
    </row>
    <row r="562" spans="1:27" ht="15.75" hidden="1" customHeight="1" x14ac:dyDescent="0.2">
      <c r="A562" s="2"/>
      <c r="B562" s="31">
        <v>557</v>
      </c>
      <c r="C562" s="36" t="s">
        <v>991</v>
      </c>
      <c r="D562" s="36" t="s">
        <v>1323</v>
      </c>
      <c r="E562" s="36" t="s">
        <v>1324</v>
      </c>
      <c r="F562" s="36" t="s">
        <v>1359</v>
      </c>
      <c r="G562" s="36" t="s">
        <v>1360</v>
      </c>
      <c r="H562" s="37" t="s">
        <v>80</v>
      </c>
      <c r="I562" s="37" t="s">
        <v>81</v>
      </c>
      <c r="J562" s="37" t="s">
        <v>82</v>
      </c>
      <c r="K562" s="37" t="s">
        <v>87</v>
      </c>
      <c r="L562" s="36" t="s">
        <v>84</v>
      </c>
      <c r="M562" s="34">
        <v>405.71</v>
      </c>
      <c r="N562" s="34">
        <v>67.56</v>
      </c>
      <c r="O562" s="34">
        <v>338.15</v>
      </c>
      <c r="P562" s="34">
        <v>84.08</v>
      </c>
      <c r="Q562" s="34">
        <v>-12.13</v>
      </c>
      <c r="R562" s="34">
        <v>-12.13</v>
      </c>
      <c r="S562" s="34">
        <v>-12.12</v>
      </c>
      <c r="T562" s="34">
        <v>-4.3899999999999997</v>
      </c>
      <c r="U562" s="34">
        <v>137.27000000000001</v>
      </c>
      <c r="V562" s="34">
        <v>-20.73</v>
      </c>
      <c r="W562" s="34">
        <v>0.66</v>
      </c>
      <c r="X562" s="34">
        <v>0.2</v>
      </c>
      <c r="Y562" s="35">
        <v>-2.6654</v>
      </c>
      <c r="Z562" s="35">
        <v>-3.198</v>
      </c>
      <c r="AA562" s="35">
        <v>-12.861700000000001</v>
      </c>
    </row>
    <row r="563" spans="1:27" ht="15.75" hidden="1" customHeight="1" x14ac:dyDescent="0.2">
      <c r="A563" s="2"/>
      <c r="B563" s="31">
        <v>558</v>
      </c>
      <c r="C563" s="36" t="s">
        <v>991</v>
      </c>
      <c r="D563" s="36" t="s">
        <v>1337</v>
      </c>
      <c r="E563" s="36" t="s">
        <v>1338</v>
      </c>
      <c r="F563" s="36" t="s">
        <v>1361</v>
      </c>
      <c r="G563" s="36" t="s">
        <v>1362</v>
      </c>
      <c r="H563" s="37" t="s">
        <v>80</v>
      </c>
      <c r="I563" s="37" t="s">
        <v>81</v>
      </c>
      <c r="J563" s="37" t="s">
        <v>82</v>
      </c>
      <c r="K563" s="37" t="s">
        <v>87</v>
      </c>
      <c r="L563" s="36" t="s">
        <v>84</v>
      </c>
      <c r="M563" s="34">
        <v>927.22</v>
      </c>
      <c r="N563" s="34">
        <v>265.66000000000003</v>
      </c>
      <c r="O563" s="34">
        <v>661.56</v>
      </c>
      <c r="P563" s="34">
        <v>406.38</v>
      </c>
      <c r="Q563" s="34">
        <v>38.51</v>
      </c>
      <c r="R563" s="34">
        <v>25.53</v>
      </c>
      <c r="S563" s="34">
        <v>25.53</v>
      </c>
      <c r="T563" s="34">
        <v>85.58</v>
      </c>
      <c r="U563" s="34">
        <v>998.73</v>
      </c>
      <c r="V563" s="34">
        <v>50.95</v>
      </c>
      <c r="W563" s="34">
        <v>4.37</v>
      </c>
      <c r="X563" s="34">
        <v>0.4</v>
      </c>
      <c r="Y563" s="35">
        <v>6.1136999999999997</v>
      </c>
      <c r="Z563" s="35">
        <v>8.5687999999999995</v>
      </c>
      <c r="AA563" s="35">
        <v>13.949299999999999</v>
      </c>
    </row>
    <row r="564" spans="1:27" ht="15.75" hidden="1" customHeight="1" x14ac:dyDescent="0.2">
      <c r="A564" s="2"/>
      <c r="B564" s="31">
        <v>559</v>
      </c>
      <c r="C564" s="36" t="s">
        <v>991</v>
      </c>
      <c r="D564" s="36" t="s">
        <v>1347</v>
      </c>
      <c r="E564" s="36" t="s">
        <v>1348</v>
      </c>
      <c r="F564" s="36" t="s">
        <v>1363</v>
      </c>
      <c r="G564" s="36" t="s">
        <v>1364</v>
      </c>
      <c r="H564" s="37" t="s">
        <v>95</v>
      </c>
      <c r="I564" s="37" t="s">
        <v>81</v>
      </c>
      <c r="J564" s="37" t="s">
        <v>82</v>
      </c>
      <c r="K564" s="37" t="s">
        <v>87</v>
      </c>
      <c r="L564" s="36" t="s">
        <v>84</v>
      </c>
      <c r="M564" s="34">
        <v>93.75</v>
      </c>
      <c r="N564" s="34">
        <v>4835.1000000000004</v>
      </c>
      <c r="O564" s="34">
        <v>-4741.3500000000004</v>
      </c>
      <c r="P564" s="34">
        <v>295.05</v>
      </c>
      <c r="Q564" s="34">
        <v>-27.33</v>
      </c>
      <c r="R564" s="34">
        <v>-27.33</v>
      </c>
      <c r="S564" s="34">
        <v>-27.32</v>
      </c>
      <c r="T564" s="34">
        <v>-4.2</v>
      </c>
      <c r="U564" s="34">
        <v>-648.53</v>
      </c>
      <c r="V564" s="34">
        <v>-2.14</v>
      </c>
      <c r="W564" s="34">
        <v>-0.01</v>
      </c>
      <c r="X564" s="34">
        <v>-1.02</v>
      </c>
      <c r="Y564" s="35">
        <v>-32.762999999999998</v>
      </c>
      <c r="Z564" s="35" t="s">
        <v>95</v>
      </c>
      <c r="AA564" s="35">
        <v>-10.410500000000001</v>
      </c>
    </row>
    <row r="565" spans="1:27" ht="15.75" hidden="1" customHeight="1" x14ac:dyDescent="0.2">
      <c r="A565" s="2"/>
      <c r="B565" s="31">
        <v>560</v>
      </c>
      <c r="C565" s="36" t="s">
        <v>991</v>
      </c>
      <c r="D565" s="36" t="s">
        <v>1301</v>
      </c>
      <c r="E565" s="36" t="s">
        <v>1302</v>
      </c>
      <c r="F565" s="36" t="s">
        <v>1365</v>
      </c>
      <c r="G565" s="36" t="s">
        <v>1366</v>
      </c>
      <c r="H565" s="37" t="s">
        <v>80</v>
      </c>
      <c r="I565" s="37" t="s">
        <v>81</v>
      </c>
      <c r="J565" s="37" t="s">
        <v>82</v>
      </c>
      <c r="K565" s="37" t="s">
        <v>87</v>
      </c>
      <c r="L565" s="36" t="s">
        <v>84</v>
      </c>
      <c r="M565" s="34">
        <v>210.39</v>
      </c>
      <c r="N565" s="34">
        <v>20.57</v>
      </c>
      <c r="O565" s="34">
        <v>189.82</v>
      </c>
      <c r="P565" s="34">
        <v>31.18</v>
      </c>
      <c r="Q565" s="34">
        <v>-3.41</v>
      </c>
      <c r="R565" s="34">
        <v>-3.41</v>
      </c>
      <c r="S565" s="34">
        <v>-3.41</v>
      </c>
      <c r="T565" s="34">
        <v>-1.74</v>
      </c>
      <c r="U565" s="34">
        <v>92.59</v>
      </c>
      <c r="V565" s="34">
        <v>-39.14</v>
      </c>
      <c r="W565" s="34">
        <v>0.73</v>
      </c>
      <c r="X565" s="34">
        <v>0.11</v>
      </c>
      <c r="Y565" s="35">
        <v>-1.6928000000000001</v>
      </c>
      <c r="Z565" s="35">
        <v>-1.8762000000000001</v>
      </c>
      <c r="AA565" s="35">
        <v>-11.422499999999999</v>
      </c>
    </row>
    <row r="566" spans="1:27" ht="15.75" hidden="1" customHeight="1" x14ac:dyDescent="0.2">
      <c r="A566" s="2"/>
      <c r="B566" s="31">
        <v>561</v>
      </c>
      <c r="C566" s="36" t="s">
        <v>991</v>
      </c>
      <c r="D566" s="36" t="s">
        <v>1323</v>
      </c>
      <c r="E566" s="36" t="s">
        <v>1324</v>
      </c>
      <c r="F566" s="36" t="s">
        <v>1367</v>
      </c>
      <c r="G566" s="36" t="s">
        <v>1368</v>
      </c>
      <c r="H566" s="37" t="s">
        <v>95</v>
      </c>
      <c r="I566" s="37" t="s">
        <v>81</v>
      </c>
      <c r="J566" s="37" t="s">
        <v>82</v>
      </c>
      <c r="K566" s="37" t="s">
        <v>87</v>
      </c>
      <c r="L566" s="36" t="s">
        <v>84</v>
      </c>
      <c r="M566" s="34">
        <v>87.86</v>
      </c>
      <c r="N566" s="34">
        <v>4079.99</v>
      </c>
      <c r="O566" s="34">
        <v>-3992.13</v>
      </c>
      <c r="P566" s="34">
        <v>250.62</v>
      </c>
      <c r="Q566" s="34">
        <v>-22.69</v>
      </c>
      <c r="R566" s="34">
        <v>-22.69</v>
      </c>
      <c r="S566" s="34">
        <v>-32.15</v>
      </c>
      <c r="T566" s="34">
        <v>-5.33</v>
      </c>
      <c r="U566" s="34">
        <v>-153.5</v>
      </c>
      <c r="V566" s="34">
        <v>-79.92</v>
      </c>
      <c r="W566" s="34">
        <v>-2.78</v>
      </c>
      <c r="X566" s="34">
        <v>-1.02</v>
      </c>
      <c r="Y566" s="35">
        <v>-157.78399999999999</v>
      </c>
      <c r="Z566" s="35" t="s">
        <v>95</v>
      </c>
      <c r="AA566" s="35">
        <v>-55.314399999999999</v>
      </c>
    </row>
    <row r="567" spans="1:27" ht="15.75" hidden="1" customHeight="1" x14ac:dyDescent="0.2">
      <c r="A567" s="2"/>
      <c r="B567" s="31">
        <v>562</v>
      </c>
      <c r="C567" s="36" t="s">
        <v>991</v>
      </c>
      <c r="D567" s="36" t="s">
        <v>1323</v>
      </c>
      <c r="E567" s="36" t="s">
        <v>1324</v>
      </c>
      <c r="F567" s="36" t="s">
        <v>1369</v>
      </c>
      <c r="G567" s="36" t="s">
        <v>1370</v>
      </c>
      <c r="H567" s="37" t="s">
        <v>80</v>
      </c>
      <c r="I567" s="37" t="s">
        <v>81</v>
      </c>
      <c r="J567" s="37" t="s">
        <v>82</v>
      </c>
      <c r="K567" s="37" t="s">
        <v>87</v>
      </c>
      <c r="L567" s="36" t="s">
        <v>84</v>
      </c>
      <c r="M567" s="34">
        <v>555.34</v>
      </c>
      <c r="N567" s="34">
        <v>320.70999999999998</v>
      </c>
      <c r="O567" s="34">
        <v>234.63</v>
      </c>
      <c r="P567" s="34">
        <v>554.67999999999995</v>
      </c>
      <c r="Q567" s="34">
        <v>10.66</v>
      </c>
      <c r="R567" s="34">
        <v>7.81</v>
      </c>
      <c r="S567" s="34">
        <v>7.76</v>
      </c>
      <c r="T567" s="34">
        <v>6.87</v>
      </c>
      <c r="U567" s="34">
        <v>80.95</v>
      </c>
      <c r="V567" s="34">
        <v>28.08</v>
      </c>
      <c r="W567" s="34">
        <v>2.38</v>
      </c>
      <c r="X567" s="34">
        <v>1.37</v>
      </c>
      <c r="Y567" s="35">
        <v>3.5867</v>
      </c>
      <c r="Z567" s="35">
        <v>8.4893000000000001</v>
      </c>
      <c r="AA567" s="35">
        <v>3.5909</v>
      </c>
    </row>
    <row r="568" spans="1:27" ht="15.75" hidden="1" customHeight="1" x14ac:dyDescent="0.2">
      <c r="A568" s="2"/>
      <c r="B568" s="31">
        <v>563</v>
      </c>
      <c r="C568" s="36" t="s">
        <v>991</v>
      </c>
      <c r="D568" s="36" t="s">
        <v>1347</v>
      </c>
      <c r="E568" s="36" t="s">
        <v>1348</v>
      </c>
      <c r="F568" s="36" t="s">
        <v>1371</v>
      </c>
      <c r="G568" s="36" t="s">
        <v>1372</v>
      </c>
      <c r="H568" s="37" t="s">
        <v>80</v>
      </c>
      <c r="I568" s="37" t="s">
        <v>81</v>
      </c>
      <c r="J568" s="37" t="s">
        <v>82</v>
      </c>
      <c r="K568" s="37" t="s">
        <v>87</v>
      </c>
      <c r="L568" s="36" t="s">
        <v>84</v>
      </c>
      <c r="M568" s="34">
        <v>298.14999999999998</v>
      </c>
      <c r="N568" s="34">
        <v>8.66</v>
      </c>
      <c r="O568" s="34">
        <v>289.49</v>
      </c>
      <c r="P568" s="34">
        <v>40.33</v>
      </c>
      <c r="Q568" s="34">
        <v>-0.61</v>
      </c>
      <c r="R568" s="34">
        <v>-0.47</v>
      </c>
      <c r="S568" s="34">
        <v>-0.48</v>
      </c>
      <c r="T568" s="34">
        <v>-2.34</v>
      </c>
      <c r="U568" s="34">
        <v>151.35</v>
      </c>
      <c r="V568" s="34">
        <v>-27.38</v>
      </c>
      <c r="W568" s="34">
        <v>0.42</v>
      </c>
      <c r="X568" s="34">
        <v>0.03</v>
      </c>
      <c r="Y568" s="35">
        <v>-1.4997</v>
      </c>
      <c r="Z568" s="35">
        <v>-1.5446</v>
      </c>
      <c r="AA568" s="35">
        <v>-11.088200000000001</v>
      </c>
    </row>
    <row r="569" spans="1:27" ht="15.75" hidden="1" customHeight="1" x14ac:dyDescent="0.2">
      <c r="A569" s="2"/>
      <c r="B569" s="31">
        <v>564</v>
      </c>
      <c r="C569" s="36" t="s">
        <v>991</v>
      </c>
      <c r="D569" s="36" t="s">
        <v>1309</v>
      </c>
      <c r="E569" s="36" t="s">
        <v>1310</v>
      </c>
      <c r="F569" s="36" t="s">
        <v>1373</v>
      </c>
      <c r="G569" s="36" t="s">
        <v>1374</v>
      </c>
      <c r="H569" s="37" t="s">
        <v>80</v>
      </c>
      <c r="I569" s="37" t="s">
        <v>81</v>
      </c>
      <c r="J569" s="37" t="s">
        <v>82</v>
      </c>
      <c r="K569" s="37" t="s">
        <v>87</v>
      </c>
      <c r="L569" s="36" t="s">
        <v>84</v>
      </c>
      <c r="M569" s="34">
        <v>682.76</v>
      </c>
      <c r="N569" s="34">
        <v>154.9</v>
      </c>
      <c r="O569" s="34">
        <v>527.86</v>
      </c>
      <c r="P569" s="34">
        <v>125.35</v>
      </c>
      <c r="Q569" s="34">
        <v>4.0999999999999996</v>
      </c>
      <c r="R569" s="34">
        <v>4.0999999999999996</v>
      </c>
      <c r="S569" s="34">
        <v>4.0999999999999996</v>
      </c>
      <c r="T569" s="34">
        <v>0.18</v>
      </c>
      <c r="U569" s="34">
        <v>62.13</v>
      </c>
      <c r="V569" s="34">
        <v>514.11</v>
      </c>
      <c r="W569" s="34">
        <v>1.46</v>
      </c>
      <c r="X569" s="34">
        <v>0.28999999999999998</v>
      </c>
      <c r="Y569" s="35">
        <v>0.2203</v>
      </c>
      <c r="Z569" s="35">
        <v>0.28489999999999999</v>
      </c>
      <c r="AA569" s="35">
        <v>1.1997</v>
      </c>
    </row>
    <row r="570" spans="1:27" ht="15.75" hidden="1" customHeight="1" x14ac:dyDescent="0.2">
      <c r="A570" s="2"/>
      <c r="B570" s="31">
        <v>565</v>
      </c>
      <c r="C570" s="36" t="s">
        <v>991</v>
      </c>
      <c r="D570" s="36" t="s">
        <v>1309</v>
      </c>
      <c r="E570" s="36" t="s">
        <v>1310</v>
      </c>
      <c r="F570" s="36" t="s">
        <v>1375</v>
      </c>
      <c r="G570" s="36" t="s">
        <v>1376</v>
      </c>
      <c r="H570" s="37" t="s">
        <v>80</v>
      </c>
      <c r="I570" s="37" t="s">
        <v>81</v>
      </c>
      <c r="J570" s="37" t="s">
        <v>82</v>
      </c>
      <c r="K570" s="37" t="s">
        <v>87</v>
      </c>
      <c r="L570" s="36" t="s">
        <v>84</v>
      </c>
      <c r="M570" s="34">
        <v>704.99</v>
      </c>
      <c r="N570" s="34">
        <v>322.51</v>
      </c>
      <c r="O570" s="34">
        <v>382.48</v>
      </c>
      <c r="P570" s="34">
        <v>403.14</v>
      </c>
      <c r="Q570" s="34">
        <v>15.28</v>
      </c>
      <c r="R570" s="34">
        <v>11.66</v>
      </c>
      <c r="S570" s="34">
        <v>11.66</v>
      </c>
      <c r="T570" s="34">
        <v>4.3499999999999996</v>
      </c>
      <c r="U570" s="34">
        <v>439.54</v>
      </c>
      <c r="V570" s="34">
        <v>170.18</v>
      </c>
      <c r="W570" s="34">
        <v>1.68</v>
      </c>
      <c r="X570" s="34">
        <v>0.84</v>
      </c>
      <c r="Y570" s="35">
        <v>0.53669999999999995</v>
      </c>
      <c r="Z570" s="35">
        <v>0.98929999999999996</v>
      </c>
      <c r="AA570" s="35">
        <v>0.93859999999999999</v>
      </c>
    </row>
    <row r="571" spans="1:27" ht="15.75" hidden="1" customHeight="1" x14ac:dyDescent="0.2">
      <c r="A571" s="2"/>
      <c r="B571" s="31">
        <v>566</v>
      </c>
      <c r="C571" s="36" t="s">
        <v>1377</v>
      </c>
      <c r="D571" s="36" t="s">
        <v>1378</v>
      </c>
      <c r="E571" s="36" t="s">
        <v>1379</v>
      </c>
      <c r="F571" s="36" t="s">
        <v>1380</v>
      </c>
      <c r="G571" s="36" t="s">
        <v>1381</v>
      </c>
      <c r="H571" s="37" t="s">
        <v>80</v>
      </c>
      <c r="I571" s="37" t="s">
        <v>81</v>
      </c>
      <c r="J571" s="37" t="s">
        <v>82</v>
      </c>
      <c r="K571" s="37" t="s">
        <v>87</v>
      </c>
      <c r="L571" s="36" t="s">
        <v>84</v>
      </c>
      <c r="M571" s="34">
        <v>3526.41</v>
      </c>
      <c r="N571" s="34">
        <v>1384.13</v>
      </c>
      <c r="O571" s="34">
        <v>2142.29</v>
      </c>
      <c r="P571" s="34">
        <v>757.8</v>
      </c>
      <c r="Q571" s="34">
        <v>8.33</v>
      </c>
      <c r="R571" s="34">
        <v>6.37</v>
      </c>
      <c r="S571" s="34">
        <v>3.9</v>
      </c>
      <c r="T571" s="34">
        <v>0.56999999999999995</v>
      </c>
      <c r="U571" s="34">
        <v>246.51</v>
      </c>
      <c r="V571" s="34">
        <v>296.02999999999997</v>
      </c>
      <c r="W571" s="34">
        <v>0.68</v>
      </c>
      <c r="X571" s="34">
        <v>0.65</v>
      </c>
      <c r="Y571" s="35">
        <v>0.13850000000000001</v>
      </c>
      <c r="Z571" s="35">
        <v>0.22789999999999999</v>
      </c>
      <c r="AA571" s="35">
        <v>0.64429999999999998</v>
      </c>
    </row>
    <row r="572" spans="1:27" ht="15.75" hidden="1" customHeight="1" x14ac:dyDescent="0.2">
      <c r="A572" s="2"/>
      <c r="B572" s="31">
        <v>567</v>
      </c>
      <c r="C572" s="36" t="s">
        <v>1377</v>
      </c>
      <c r="D572" s="36" t="s">
        <v>1378</v>
      </c>
      <c r="E572" s="36" t="s">
        <v>1379</v>
      </c>
      <c r="F572" s="36" t="s">
        <v>1382</v>
      </c>
      <c r="G572" s="36" t="s">
        <v>1383</v>
      </c>
      <c r="H572" s="37" t="s">
        <v>80</v>
      </c>
      <c r="I572" s="37" t="s">
        <v>81</v>
      </c>
      <c r="J572" s="37" t="s">
        <v>82</v>
      </c>
      <c r="K572" s="37" t="s">
        <v>87</v>
      </c>
      <c r="L572" s="36" t="s">
        <v>84</v>
      </c>
      <c r="M572" s="34">
        <v>3895.28</v>
      </c>
      <c r="N572" s="34">
        <v>875.67</v>
      </c>
      <c r="O572" s="34">
        <v>3019.61</v>
      </c>
      <c r="P572" s="34">
        <v>158.04</v>
      </c>
      <c r="Q572" s="34">
        <v>1.53</v>
      </c>
      <c r="R572" s="34">
        <v>1.23</v>
      </c>
      <c r="S572" s="34">
        <v>1.26</v>
      </c>
      <c r="T572" s="34">
        <v>-1.01</v>
      </c>
      <c r="U572" s="34">
        <v>90.82</v>
      </c>
      <c r="V572" s="34">
        <v>-286.35000000000002</v>
      </c>
      <c r="W572" s="34">
        <v>3.19</v>
      </c>
      <c r="X572" s="34">
        <v>0.28999999999999998</v>
      </c>
      <c r="Y572" s="35">
        <v>-0.86450000000000005</v>
      </c>
      <c r="Z572" s="35">
        <v>-1.1152</v>
      </c>
      <c r="AA572" s="35">
        <v>-21.307400000000001</v>
      </c>
    </row>
    <row r="573" spans="1:27" ht="15.75" hidden="1" customHeight="1" x14ac:dyDescent="0.2">
      <c r="A573" s="2"/>
      <c r="B573" s="31">
        <v>568</v>
      </c>
      <c r="C573" s="36" t="s">
        <v>1377</v>
      </c>
      <c r="D573" s="36" t="s">
        <v>1384</v>
      </c>
      <c r="E573" s="36" t="s">
        <v>1385</v>
      </c>
      <c r="F573" s="36" t="s">
        <v>1386</v>
      </c>
      <c r="G573" s="36" t="s">
        <v>1387</v>
      </c>
      <c r="H573" s="37" t="s">
        <v>80</v>
      </c>
      <c r="I573" s="37" t="s">
        <v>81</v>
      </c>
      <c r="J573" s="37" t="s">
        <v>82</v>
      </c>
      <c r="K573" s="37" t="s">
        <v>87</v>
      </c>
      <c r="L573" s="36" t="s">
        <v>84</v>
      </c>
      <c r="M573" s="34">
        <v>112.87</v>
      </c>
      <c r="N573" s="34">
        <v>17.66</v>
      </c>
      <c r="O573" s="34">
        <v>95.2</v>
      </c>
      <c r="P573" s="34">
        <v>78.319999999999993</v>
      </c>
      <c r="Q573" s="34">
        <v>5.26</v>
      </c>
      <c r="R573" s="34">
        <v>5.26</v>
      </c>
      <c r="S573" s="34">
        <v>5.26</v>
      </c>
      <c r="T573" s="34">
        <v>5.32</v>
      </c>
      <c r="U573" s="34">
        <v>23.14</v>
      </c>
      <c r="V573" s="34">
        <v>33.25</v>
      </c>
      <c r="W573" s="34">
        <v>7.65</v>
      </c>
      <c r="X573" s="34">
        <v>0.19</v>
      </c>
      <c r="Y573" s="35">
        <v>19.398199999999999</v>
      </c>
      <c r="Z573" s="35">
        <v>22.997399999999999</v>
      </c>
      <c r="AA573" s="35">
        <v>27.9557</v>
      </c>
    </row>
    <row r="574" spans="1:27" ht="15.75" hidden="1" customHeight="1" x14ac:dyDescent="0.2">
      <c r="A574" s="2"/>
      <c r="B574" s="31">
        <v>569</v>
      </c>
      <c r="C574" s="36" t="s">
        <v>1377</v>
      </c>
      <c r="D574" s="36" t="s">
        <v>1378</v>
      </c>
      <c r="E574" s="36" t="s">
        <v>1379</v>
      </c>
      <c r="F574" s="36" t="s">
        <v>1388</v>
      </c>
      <c r="G574" s="36" t="s">
        <v>1389</v>
      </c>
      <c r="H574" s="37" t="s">
        <v>80</v>
      </c>
      <c r="I574" s="37" t="s">
        <v>81</v>
      </c>
      <c r="J574" s="37" t="s">
        <v>82</v>
      </c>
      <c r="K574" s="37" t="s">
        <v>87</v>
      </c>
      <c r="L574" s="36" t="s">
        <v>84</v>
      </c>
      <c r="M574" s="34">
        <v>304.08</v>
      </c>
      <c r="N574" s="34">
        <v>110.07</v>
      </c>
      <c r="O574" s="34">
        <v>194</v>
      </c>
      <c r="P574" s="34">
        <v>76.88</v>
      </c>
      <c r="Q574" s="34">
        <v>-2.13</v>
      </c>
      <c r="R574" s="34">
        <v>-2.13</v>
      </c>
      <c r="S574" s="34">
        <v>-2.13</v>
      </c>
      <c r="T574" s="34">
        <v>-2.0299999999999998</v>
      </c>
      <c r="U574" s="34">
        <v>155.19999999999999</v>
      </c>
      <c r="V574" s="34">
        <v>-71.38</v>
      </c>
      <c r="W574" s="34">
        <v>0.93</v>
      </c>
      <c r="X574" s="34">
        <v>0.56999999999999995</v>
      </c>
      <c r="Y574" s="35">
        <v>-0.83509999999999995</v>
      </c>
      <c r="Z574" s="35">
        <v>-1.3088</v>
      </c>
      <c r="AA574" s="35">
        <v>-3.3027000000000002</v>
      </c>
    </row>
    <row r="575" spans="1:27" ht="15.75" hidden="1" customHeight="1" x14ac:dyDescent="0.2">
      <c r="A575" s="2"/>
      <c r="B575" s="31">
        <v>570</v>
      </c>
      <c r="C575" s="36" t="s">
        <v>1377</v>
      </c>
      <c r="D575" s="36" t="s">
        <v>1378</v>
      </c>
      <c r="E575" s="36" t="s">
        <v>1379</v>
      </c>
      <c r="F575" s="36" t="s">
        <v>1390</v>
      </c>
      <c r="G575" s="36" t="s">
        <v>1391</v>
      </c>
      <c r="H575" s="37" t="s">
        <v>80</v>
      </c>
      <c r="I575" s="37" t="s">
        <v>81</v>
      </c>
      <c r="J575" s="37" t="s">
        <v>82</v>
      </c>
      <c r="K575" s="37" t="s">
        <v>87</v>
      </c>
      <c r="L575" s="36" t="s">
        <v>84</v>
      </c>
      <c r="M575" s="34">
        <v>330.02</v>
      </c>
      <c r="N575" s="34">
        <v>135.71</v>
      </c>
      <c r="O575" s="34">
        <v>194.31</v>
      </c>
      <c r="P575" s="34">
        <v>85.91</v>
      </c>
      <c r="Q575" s="34">
        <v>6.34</v>
      </c>
      <c r="R575" s="34">
        <v>6.34</v>
      </c>
      <c r="S575" s="34">
        <v>6.34</v>
      </c>
      <c r="T575" s="34" t="s">
        <v>95</v>
      </c>
      <c r="U575" s="34">
        <v>76.2</v>
      </c>
      <c r="V575" s="34" t="s">
        <v>95</v>
      </c>
      <c r="W575" s="34">
        <v>1.29</v>
      </c>
      <c r="X575" s="34">
        <v>0.7</v>
      </c>
      <c r="Y575" s="35" t="s">
        <v>95</v>
      </c>
      <c r="Z575" s="35" t="s">
        <v>95</v>
      </c>
      <c r="AA575" s="35" t="s">
        <v>95</v>
      </c>
    </row>
    <row r="576" spans="1:27" ht="15.75" hidden="1" customHeight="1" x14ac:dyDescent="0.2">
      <c r="A576" s="2"/>
      <c r="B576" s="31">
        <v>571</v>
      </c>
      <c r="C576" s="36" t="s">
        <v>1377</v>
      </c>
      <c r="D576" s="36" t="s">
        <v>1384</v>
      </c>
      <c r="E576" s="36" t="s">
        <v>1385</v>
      </c>
      <c r="F576" s="36" t="s">
        <v>1392</v>
      </c>
      <c r="G576" s="36" t="s">
        <v>1393</v>
      </c>
      <c r="H576" s="37" t="s">
        <v>80</v>
      </c>
      <c r="I576" s="37" t="s">
        <v>81</v>
      </c>
      <c r="J576" s="37" t="s">
        <v>82</v>
      </c>
      <c r="K576" s="37" t="s">
        <v>87</v>
      </c>
      <c r="L576" s="36" t="s">
        <v>84</v>
      </c>
      <c r="M576" s="34">
        <v>243.55</v>
      </c>
      <c r="N576" s="34">
        <v>78.02</v>
      </c>
      <c r="O576" s="34">
        <v>165.53</v>
      </c>
      <c r="P576" s="34">
        <v>100.46</v>
      </c>
      <c r="Q576" s="34">
        <v>4.7699999999999996</v>
      </c>
      <c r="R576" s="34">
        <v>3.65</v>
      </c>
      <c r="S576" s="34">
        <v>3.65</v>
      </c>
      <c r="T576" s="34">
        <v>-1</v>
      </c>
      <c r="U576" s="34">
        <v>29.3</v>
      </c>
      <c r="V576" s="34">
        <v>-103.2</v>
      </c>
      <c r="W576" s="34">
        <v>3.52</v>
      </c>
      <c r="X576" s="34">
        <v>0.47</v>
      </c>
      <c r="Y576" s="35">
        <v>-2.3153000000000001</v>
      </c>
      <c r="Z576" s="35">
        <v>-3.4064999999999999</v>
      </c>
      <c r="AA576" s="35">
        <v>-5.6131000000000002</v>
      </c>
    </row>
    <row r="577" spans="1:27" ht="15.75" hidden="1" customHeight="1" x14ac:dyDescent="0.2">
      <c r="A577" s="2"/>
      <c r="B577" s="31">
        <v>572</v>
      </c>
      <c r="C577" s="36" t="s">
        <v>1377</v>
      </c>
      <c r="D577" s="36" t="s">
        <v>1378</v>
      </c>
      <c r="E577" s="36" t="s">
        <v>1379</v>
      </c>
      <c r="F577" s="36" t="s">
        <v>1394</v>
      </c>
      <c r="G577" s="36" t="s">
        <v>1395</v>
      </c>
      <c r="H577" s="37" t="s">
        <v>80</v>
      </c>
      <c r="I577" s="37" t="s">
        <v>81</v>
      </c>
      <c r="J577" s="37" t="s">
        <v>82</v>
      </c>
      <c r="K577" s="37" t="s">
        <v>87</v>
      </c>
      <c r="L577" s="36" t="s">
        <v>84</v>
      </c>
      <c r="M577" s="34">
        <v>11922.5</v>
      </c>
      <c r="N577" s="34">
        <v>4908.92</v>
      </c>
      <c r="O577" s="34">
        <v>7013.58</v>
      </c>
      <c r="P577" s="34">
        <v>3388.56</v>
      </c>
      <c r="Q577" s="34">
        <v>366.51</v>
      </c>
      <c r="R577" s="34">
        <v>284.31</v>
      </c>
      <c r="S577" s="34">
        <v>224.85</v>
      </c>
      <c r="T577" s="34">
        <v>27.18</v>
      </c>
      <c r="U577" s="34">
        <v>456.44</v>
      </c>
      <c r="V577" s="34">
        <v>61.81</v>
      </c>
      <c r="W577" s="34">
        <v>3.68</v>
      </c>
      <c r="X577" s="34">
        <v>0.7</v>
      </c>
      <c r="Y577" s="35">
        <v>3.5028999999999999</v>
      </c>
      <c r="Z577" s="35">
        <v>5.9546000000000001</v>
      </c>
      <c r="AA577" s="35">
        <v>12.3248</v>
      </c>
    </row>
    <row r="578" spans="1:27" ht="15.75" hidden="1" customHeight="1" x14ac:dyDescent="0.2">
      <c r="A578" s="2"/>
      <c r="B578" s="31">
        <v>573</v>
      </c>
      <c r="C578" s="36" t="s">
        <v>1377</v>
      </c>
      <c r="D578" s="36" t="s">
        <v>1396</v>
      </c>
      <c r="E578" s="36" t="s">
        <v>1397</v>
      </c>
      <c r="F578" s="36" t="s">
        <v>1398</v>
      </c>
      <c r="G578" s="36" t="s">
        <v>1399</v>
      </c>
      <c r="H578" s="37" t="s">
        <v>80</v>
      </c>
      <c r="I578" s="37" t="s">
        <v>81</v>
      </c>
      <c r="J578" s="37" t="s">
        <v>82</v>
      </c>
      <c r="K578" s="37" t="s">
        <v>87</v>
      </c>
      <c r="L578" s="36" t="s">
        <v>84</v>
      </c>
      <c r="M578" s="34">
        <v>1906.44</v>
      </c>
      <c r="N578" s="34">
        <v>1367.61</v>
      </c>
      <c r="O578" s="34">
        <v>538.82000000000005</v>
      </c>
      <c r="P578" s="34">
        <v>590.34</v>
      </c>
      <c r="Q578" s="34">
        <v>34.08</v>
      </c>
      <c r="R578" s="34">
        <v>26.59</v>
      </c>
      <c r="S578" s="34">
        <v>26.59</v>
      </c>
      <c r="T578" s="34">
        <v>44.38</v>
      </c>
      <c r="U578" s="34">
        <v>336.76</v>
      </c>
      <c r="V578" s="34">
        <v>9.8699999999999992</v>
      </c>
      <c r="W578" s="34">
        <v>1.3</v>
      </c>
      <c r="X578" s="34">
        <v>2.54</v>
      </c>
      <c r="Y578" s="35">
        <v>3.7246000000000001</v>
      </c>
      <c r="Z578" s="35">
        <v>13.178100000000001</v>
      </c>
      <c r="AA578" s="35">
        <v>12.0281</v>
      </c>
    </row>
    <row r="579" spans="1:27" ht="15.75" hidden="1" customHeight="1" x14ac:dyDescent="0.2">
      <c r="A579" s="2"/>
      <c r="B579" s="31">
        <v>574</v>
      </c>
      <c r="C579" s="36" t="s">
        <v>1377</v>
      </c>
      <c r="D579" s="36" t="s">
        <v>1384</v>
      </c>
      <c r="E579" s="36" t="s">
        <v>1385</v>
      </c>
      <c r="F579" s="36" t="s">
        <v>1400</v>
      </c>
      <c r="G579" s="36" t="s">
        <v>1401</v>
      </c>
      <c r="H579" s="37" t="s">
        <v>80</v>
      </c>
      <c r="I579" s="37" t="s">
        <v>81</v>
      </c>
      <c r="J579" s="37" t="s">
        <v>82</v>
      </c>
      <c r="K579" s="37" t="s">
        <v>87</v>
      </c>
      <c r="L579" s="36" t="s">
        <v>84</v>
      </c>
      <c r="M579" s="34">
        <v>209.16</v>
      </c>
      <c r="N579" s="34">
        <v>63.34</v>
      </c>
      <c r="O579" s="34">
        <v>145.81</v>
      </c>
      <c r="P579" s="34">
        <v>86.7</v>
      </c>
      <c r="Q579" s="34">
        <v>7.06</v>
      </c>
      <c r="R579" s="34">
        <v>7.06</v>
      </c>
      <c r="S579" s="34">
        <v>7.06</v>
      </c>
      <c r="T579" s="34">
        <v>2.09</v>
      </c>
      <c r="U579" s="34">
        <v>36.909999999999997</v>
      </c>
      <c r="V579" s="34">
        <v>67.58</v>
      </c>
      <c r="W579" s="34">
        <v>3.82</v>
      </c>
      <c r="X579" s="34">
        <v>0.43</v>
      </c>
      <c r="Y579" s="35">
        <v>3.9405000000000001</v>
      </c>
      <c r="Z579" s="35">
        <v>5.6524000000000001</v>
      </c>
      <c r="AA579" s="35">
        <v>9.5065000000000008</v>
      </c>
    </row>
    <row r="580" spans="1:27" ht="15.75" hidden="1" customHeight="1" x14ac:dyDescent="0.2">
      <c r="A580" s="2"/>
      <c r="B580" s="31">
        <v>575</v>
      </c>
      <c r="C580" s="36" t="s">
        <v>1377</v>
      </c>
      <c r="D580" s="36" t="s">
        <v>1384</v>
      </c>
      <c r="E580" s="36" t="s">
        <v>1385</v>
      </c>
      <c r="F580" s="36" t="s">
        <v>1402</v>
      </c>
      <c r="G580" s="36" t="s">
        <v>1403</v>
      </c>
      <c r="H580" s="37" t="s">
        <v>80</v>
      </c>
      <c r="I580" s="37" t="s">
        <v>81</v>
      </c>
      <c r="J580" s="37" t="s">
        <v>82</v>
      </c>
      <c r="K580" s="37" t="s">
        <v>87</v>
      </c>
      <c r="L580" s="36" t="s">
        <v>84</v>
      </c>
      <c r="M580" s="34">
        <v>63.87</v>
      </c>
      <c r="N580" s="34">
        <v>11.12</v>
      </c>
      <c r="O580" s="34">
        <v>52.75</v>
      </c>
      <c r="P580" s="34">
        <v>3.15</v>
      </c>
      <c r="Q580" s="34">
        <v>-3.87</v>
      </c>
      <c r="R580" s="34">
        <v>-3.87</v>
      </c>
      <c r="S580" s="34">
        <v>-3.87</v>
      </c>
      <c r="T580" s="34">
        <v>-5.57</v>
      </c>
      <c r="U580" s="34">
        <v>33.76</v>
      </c>
      <c r="V580" s="34">
        <v>-11.13</v>
      </c>
      <c r="W580" s="34">
        <v>1.84</v>
      </c>
      <c r="X580" s="34">
        <v>0.21</v>
      </c>
      <c r="Y580" s="35">
        <v>-13.631600000000001</v>
      </c>
      <c r="Z580" s="35">
        <v>-16.505099999999999</v>
      </c>
      <c r="AA580" s="35">
        <v>-276.16109999999998</v>
      </c>
    </row>
    <row r="581" spans="1:27" ht="15.75" hidden="1" customHeight="1" x14ac:dyDescent="0.2">
      <c r="A581" s="2"/>
      <c r="B581" s="31">
        <v>576</v>
      </c>
      <c r="C581" s="36" t="s">
        <v>1377</v>
      </c>
      <c r="D581" s="36" t="s">
        <v>1378</v>
      </c>
      <c r="E581" s="36" t="s">
        <v>1379</v>
      </c>
      <c r="F581" s="36" t="s">
        <v>1404</v>
      </c>
      <c r="G581" s="36" t="s">
        <v>1405</v>
      </c>
      <c r="H581" s="37" t="s">
        <v>80</v>
      </c>
      <c r="I581" s="37" t="s">
        <v>81</v>
      </c>
      <c r="J581" s="37" t="s">
        <v>82</v>
      </c>
      <c r="K581" s="37" t="s">
        <v>87</v>
      </c>
      <c r="L581" s="36" t="s">
        <v>84</v>
      </c>
      <c r="M581" s="34">
        <v>8989.01</v>
      </c>
      <c r="N581" s="34">
        <v>1575.59</v>
      </c>
      <c r="O581" s="34">
        <v>7413.42</v>
      </c>
      <c r="P581" s="34">
        <v>2563.46</v>
      </c>
      <c r="Q581" s="34">
        <v>861.84</v>
      </c>
      <c r="R581" s="34">
        <v>683.63</v>
      </c>
      <c r="S581" s="34">
        <v>639.73</v>
      </c>
      <c r="T581" s="34">
        <v>85.24</v>
      </c>
      <c r="U581" s="34">
        <v>533.04999999999995</v>
      </c>
      <c r="V581" s="34">
        <v>28.86</v>
      </c>
      <c r="W581" s="34">
        <v>4.6100000000000003</v>
      </c>
      <c r="X581" s="34">
        <v>0.21</v>
      </c>
      <c r="Y581" s="35">
        <v>13.188499999999999</v>
      </c>
      <c r="Z581" s="35">
        <v>15.9915</v>
      </c>
      <c r="AA581" s="35">
        <v>46.246600000000001</v>
      </c>
    </row>
    <row r="582" spans="1:27" ht="15.75" hidden="1" customHeight="1" x14ac:dyDescent="0.2">
      <c r="A582" s="2"/>
      <c r="B582" s="31">
        <v>577</v>
      </c>
      <c r="C582" s="36" t="s">
        <v>1377</v>
      </c>
      <c r="D582" s="36" t="s">
        <v>1384</v>
      </c>
      <c r="E582" s="36" t="s">
        <v>1385</v>
      </c>
      <c r="F582" s="36" t="s">
        <v>1406</v>
      </c>
      <c r="G582" s="36" t="s">
        <v>1407</v>
      </c>
      <c r="H582" s="37" t="s">
        <v>80</v>
      </c>
      <c r="I582" s="37" t="s">
        <v>81</v>
      </c>
      <c r="J582" s="37" t="s">
        <v>82</v>
      </c>
      <c r="K582" s="37" t="s">
        <v>87</v>
      </c>
      <c r="L582" s="36" t="s">
        <v>84</v>
      </c>
      <c r="M582" s="34">
        <v>407.7</v>
      </c>
      <c r="N582" s="34">
        <v>225.43</v>
      </c>
      <c r="O582" s="34">
        <v>182.26</v>
      </c>
      <c r="P582" s="34">
        <v>97.93</v>
      </c>
      <c r="Q582" s="34">
        <v>2.33</v>
      </c>
      <c r="R582" s="34">
        <v>1.76</v>
      </c>
      <c r="S582" s="34">
        <v>1.76</v>
      </c>
      <c r="T582" s="34">
        <v>3.11</v>
      </c>
      <c r="U582" s="34">
        <v>75.94</v>
      </c>
      <c r="V582" s="34">
        <v>136.16999999999999</v>
      </c>
      <c r="W582" s="34">
        <v>5.58</v>
      </c>
      <c r="X582" s="34">
        <v>1.24</v>
      </c>
      <c r="Y582" s="35">
        <v>1.8331</v>
      </c>
      <c r="Z582" s="35">
        <v>4.1005000000000003</v>
      </c>
      <c r="AA582" s="35">
        <v>7.6315999999999997</v>
      </c>
    </row>
    <row r="583" spans="1:27" ht="15.75" hidden="1" customHeight="1" x14ac:dyDescent="0.2">
      <c r="A583" s="2"/>
      <c r="B583" s="31">
        <v>578</v>
      </c>
      <c r="C583" s="36" t="s">
        <v>1377</v>
      </c>
      <c r="D583" s="36" t="s">
        <v>1378</v>
      </c>
      <c r="E583" s="36" t="s">
        <v>1379</v>
      </c>
      <c r="F583" s="36" t="s">
        <v>1408</v>
      </c>
      <c r="G583" s="36" t="s">
        <v>1409</v>
      </c>
      <c r="H583" s="37" t="s">
        <v>80</v>
      </c>
      <c r="I583" s="37" t="s">
        <v>81</v>
      </c>
      <c r="J583" s="37" t="s">
        <v>82</v>
      </c>
      <c r="K583" s="37" t="s">
        <v>87</v>
      </c>
      <c r="L583" s="36" t="s">
        <v>84</v>
      </c>
      <c r="M583" s="34">
        <v>2510.54</v>
      </c>
      <c r="N583" s="34">
        <v>1056.4000000000001</v>
      </c>
      <c r="O583" s="34">
        <v>1454.13</v>
      </c>
      <c r="P583" s="34">
        <v>639.94000000000005</v>
      </c>
      <c r="Q583" s="34">
        <v>46.78</v>
      </c>
      <c r="R583" s="34">
        <v>33.9</v>
      </c>
      <c r="S583" s="34">
        <v>34.86</v>
      </c>
      <c r="T583" s="34">
        <v>13.84</v>
      </c>
      <c r="U583" s="34">
        <v>702.98</v>
      </c>
      <c r="V583" s="34">
        <v>93.2</v>
      </c>
      <c r="W583" s="34">
        <v>1.84</v>
      </c>
      <c r="X583" s="34">
        <v>0.73</v>
      </c>
      <c r="Y583" s="35">
        <v>1.1405000000000001</v>
      </c>
      <c r="Z583" s="35">
        <v>1.9690000000000001</v>
      </c>
      <c r="AA583" s="35">
        <v>4.4741</v>
      </c>
    </row>
    <row r="584" spans="1:27" ht="15.75" hidden="1" customHeight="1" x14ac:dyDescent="0.2">
      <c r="A584" s="2"/>
      <c r="B584" s="31">
        <v>579</v>
      </c>
      <c r="C584" s="36" t="s">
        <v>1377</v>
      </c>
      <c r="D584" s="36" t="s">
        <v>1384</v>
      </c>
      <c r="E584" s="36" t="s">
        <v>1385</v>
      </c>
      <c r="F584" s="36" t="s">
        <v>1410</v>
      </c>
      <c r="G584" s="36" t="s">
        <v>1411</v>
      </c>
      <c r="H584" s="37" t="s">
        <v>80</v>
      </c>
      <c r="I584" s="37" t="s">
        <v>81</v>
      </c>
      <c r="J584" s="37" t="s">
        <v>82</v>
      </c>
      <c r="K584" s="37" t="s">
        <v>87</v>
      </c>
      <c r="L584" s="36" t="s">
        <v>84</v>
      </c>
      <c r="M584" s="34">
        <v>2836.86</v>
      </c>
      <c r="N584" s="34">
        <v>288.93</v>
      </c>
      <c r="O584" s="34">
        <v>2547.9299999999998</v>
      </c>
      <c r="P584" s="34">
        <v>925.85</v>
      </c>
      <c r="Q584" s="34">
        <v>193.23</v>
      </c>
      <c r="R584" s="34">
        <v>154.68</v>
      </c>
      <c r="S584" s="34">
        <v>153.72999999999999</v>
      </c>
      <c r="T584" s="34">
        <v>12.25</v>
      </c>
      <c r="U584" s="34">
        <v>94.16</v>
      </c>
      <c r="V584" s="34">
        <v>16.329999999999998</v>
      </c>
      <c r="W584" s="34">
        <v>2.12</v>
      </c>
      <c r="X584" s="34">
        <v>0.11</v>
      </c>
      <c r="Y584" s="35">
        <v>11.6839</v>
      </c>
      <c r="Z584" s="35">
        <v>13.008900000000001</v>
      </c>
      <c r="AA584" s="35">
        <v>35.8003</v>
      </c>
    </row>
    <row r="585" spans="1:27" ht="15.75" hidden="1" customHeight="1" x14ac:dyDescent="0.2">
      <c r="A585" s="2"/>
      <c r="B585" s="31">
        <v>580</v>
      </c>
      <c r="C585" s="36" t="s">
        <v>1377</v>
      </c>
      <c r="D585" s="36" t="s">
        <v>1378</v>
      </c>
      <c r="E585" s="36" t="s">
        <v>1379</v>
      </c>
      <c r="F585" s="36" t="s">
        <v>1412</v>
      </c>
      <c r="G585" s="36" t="s">
        <v>1413</v>
      </c>
      <c r="H585" s="37" t="s">
        <v>80</v>
      </c>
      <c r="I585" s="37" t="s">
        <v>81</v>
      </c>
      <c r="J585" s="37" t="s">
        <v>82</v>
      </c>
      <c r="K585" s="37" t="s">
        <v>87</v>
      </c>
      <c r="L585" s="36" t="s">
        <v>90</v>
      </c>
      <c r="M585" s="34">
        <v>5378.53</v>
      </c>
      <c r="N585" s="34">
        <v>2142.25</v>
      </c>
      <c r="O585" s="34">
        <v>3236.28</v>
      </c>
      <c r="P585" s="34">
        <v>1100.31</v>
      </c>
      <c r="Q585" s="34">
        <v>109.34</v>
      </c>
      <c r="R585" s="34">
        <v>82.75</v>
      </c>
      <c r="S585" s="34">
        <v>85.2</v>
      </c>
      <c r="T585" s="34">
        <v>10.1</v>
      </c>
      <c r="U585" s="34">
        <v>231.83</v>
      </c>
      <c r="V585" s="34">
        <v>71.75</v>
      </c>
      <c r="W585" s="34">
        <v>3.13</v>
      </c>
      <c r="X585" s="34">
        <v>0.66</v>
      </c>
      <c r="Y585" s="35">
        <v>2.6225999999999998</v>
      </c>
      <c r="Z585" s="35">
        <v>4.3586</v>
      </c>
      <c r="AA585" s="35">
        <v>12.819599999999999</v>
      </c>
    </row>
    <row r="586" spans="1:27" ht="15.75" hidden="1" customHeight="1" x14ac:dyDescent="0.2">
      <c r="A586" s="2"/>
      <c r="B586" s="31">
        <v>581</v>
      </c>
      <c r="C586" s="36" t="s">
        <v>1377</v>
      </c>
      <c r="D586" s="36" t="s">
        <v>1378</v>
      </c>
      <c r="E586" s="36" t="s">
        <v>1379</v>
      </c>
      <c r="F586" s="36" t="s">
        <v>1414</v>
      </c>
      <c r="G586" s="36" t="s">
        <v>1415</v>
      </c>
      <c r="H586" s="37" t="s">
        <v>80</v>
      </c>
      <c r="I586" s="37" t="s">
        <v>81</v>
      </c>
      <c r="J586" s="37" t="s">
        <v>82</v>
      </c>
      <c r="K586" s="37" t="s">
        <v>87</v>
      </c>
      <c r="L586" s="36" t="s">
        <v>84</v>
      </c>
      <c r="M586" s="34">
        <v>2574.1</v>
      </c>
      <c r="N586" s="34">
        <v>259.20999999999998</v>
      </c>
      <c r="O586" s="34">
        <v>2314.9</v>
      </c>
      <c r="P586" s="34">
        <v>1027.3499999999999</v>
      </c>
      <c r="Q586" s="34">
        <v>86.16</v>
      </c>
      <c r="R586" s="34">
        <v>69.599999999999994</v>
      </c>
      <c r="S586" s="34">
        <v>69.64</v>
      </c>
      <c r="T586" s="34">
        <v>239.11</v>
      </c>
      <c r="U586" s="34">
        <v>2469.2199999999998</v>
      </c>
      <c r="V586" s="34">
        <v>11.08</v>
      </c>
      <c r="W586" s="34">
        <v>1.07</v>
      </c>
      <c r="X586" s="34">
        <v>0.11</v>
      </c>
      <c r="Y586" s="35">
        <v>8.7083999999999993</v>
      </c>
      <c r="Z586" s="35">
        <v>9.6835000000000004</v>
      </c>
      <c r="AA586" s="35">
        <v>21.819700000000001</v>
      </c>
    </row>
    <row r="587" spans="1:27" ht="15.75" hidden="1" customHeight="1" x14ac:dyDescent="0.2">
      <c r="A587" s="2"/>
      <c r="B587" s="31">
        <v>582</v>
      </c>
      <c r="C587" s="36" t="s">
        <v>1377</v>
      </c>
      <c r="D587" s="36" t="s">
        <v>1378</v>
      </c>
      <c r="E587" s="36" t="s">
        <v>1379</v>
      </c>
      <c r="F587" s="36" t="s">
        <v>1416</v>
      </c>
      <c r="G587" s="36" t="s">
        <v>1417</v>
      </c>
      <c r="H587" s="37" t="s">
        <v>80</v>
      </c>
      <c r="I587" s="37" t="s">
        <v>81</v>
      </c>
      <c r="J587" s="37" t="s">
        <v>82</v>
      </c>
      <c r="K587" s="37" t="s">
        <v>87</v>
      </c>
      <c r="L587" s="36" t="s">
        <v>84</v>
      </c>
      <c r="M587" s="34">
        <v>1073.1300000000001</v>
      </c>
      <c r="N587" s="34">
        <v>115.8</v>
      </c>
      <c r="O587" s="34">
        <v>957.33</v>
      </c>
      <c r="P587" s="34">
        <v>166.94</v>
      </c>
      <c r="Q587" s="34">
        <v>-4.4400000000000004</v>
      </c>
      <c r="R587" s="34">
        <v>-5.05</v>
      </c>
      <c r="S587" s="34">
        <v>-5.03</v>
      </c>
      <c r="T587" s="34">
        <v>-2.96</v>
      </c>
      <c r="U587" s="34">
        <v>282.11</v>
      </c>
      <c r="V587" s="34">
        <v>-29.08</v>
      </c>
      <c r="W587" s="34">
        <v>0.3</v>
      </c>
      <c r="X587" s="34">
        <v>0.12</v>
      </c>
      <c r="Y587" s="35">
        <v>-0.93510000000000004</v>
      </c>
      <c r="Z587" s="35">
        <v>-1.0482</v>
      </c>
      <c r="AA587" s="35">
        <v>-6.0110000000000001</v>
      </c>
    </row>
    <row r="588" spans="1:27" ht="15.75" hidden="1" customHeight="1" x14ac:dyDescent="0.2">
      <c r="A588" s="2"/>
      <c r="B588" s="31">
        <v>583</v>
      </c>
      <c r="C588" s="36" t="s">
        <v>1377</v>
      </c>
      <c r="D588" s="36" t="s">
        <v>1378</v>
      </c>
      <c r="E588" s="36" t="s">
        <v>1379</v>
      </c>
      <c r="F588" s="36" t="s">
        <v>1418</v>
      </c>
      <c r="G588" s="36" t="s">
        <v>1419</v>
      </c>
      <c r="H588" s="37" t="s">
        <v>80</v>
      </c>
      <c r="I588" s="37" t="s">
        <v>81</v>
      </c>
      <c r="J588" s="37" t="s">
        <v>82</v>
      </c>
      <c r="K588" s="37" t="s">
        <v>87</v>
      </c>
      <c r="L588" s="36" t="s">
        <v>84</v>
      </c>
      <c r="M588" s="34">
        <v>283.77</v>
      </c>
      <c r="N588" s="34">
        <v>147.76</v>
      </c>
      <c r="O588" s="34">
        <v>136.01</v>
      </c>
      <c r="P588" s="34">
        <v>27.66</v>
      </c>
      <c r="Q588" s="34">
        <v>-14.49</v>
      </c>
      <c r="R588" s="34">
        <v>-10.96</v>
      </c>
      <c r="S588" s="34">
        <v>-10.95</v>
      </c>
      <c r="T588" s="34">
        <v>-5.6</v>
      </c>
      <c r="U588" s="34">
        <v>51.32</v>
      </c>
      <c r="V588" s="34">
        <v>-65.38</v>
      </c>
      <c r="W588" s="34">
        <v>7.13</v>
      </c>
      <c r="X588" s="34">
        <v>1.0900000000000001</v>
      </c>
      <c r="Y588" s="35">
        <v>-5.2275</v>
      </c>
      <c r="Z588" s="35">
        <v>-10.9069</v>
      </c>
      <c r="AA588" s="35">
        <v>-53.6265</v>
      </c>
    </row>
    <row r="589" spans="1:27" ht="15.75" hidden="1" customHeight="1" x14ac:dyDescent="0.2">
      <c r="A589" s="2"/>
      <c r="B589" s="31">
        <v>584</v>
      </c>
      <c r="C589" s="36" t="s">
        <v>1377</v>
      </c>
      <c r="D589" s="36" t="s">
        <v>1378</v>
      </c>
      <c r="E589" s="36" t="s">
        <v>1379</v>
      </c>
      <c r="F589" s="36" t="s">
        <v>1420</v>
      </c>
      <c r="G589" s="36" t="s">
        <v>1421</v>
      </c>
      <c r="H589" s="37" t="s">
        <v>80</v>
      </c>
      <c r="I589" s="37" t="s">
        <v>81</v>
      </c>
      <c r="J589" s="37" t="s">
        <v>82</v>
      </c>
      <c r="K589" s="37" t="s">
        <v>87</v>
      </c>
      <c r="L589" s="36" t="s">
        <v>84</v>
      </c>
      <c r="M589" s="34">
        <v>928.15</v>
      </c>
      <c r="N589" s="34">
        <v>110.4</v>
      </c>
      <c r="O589" s="34">
        <v>817.75</v>
      </c>
      <c r="P589" s="34">
        <v>219.36</v>
      </c>
      <c r="Q589" s="34">
        <v>24.4</v>
      </c>
      <c r="R589" s="34">
        <v>19.22</v>
      </c>
      <c r="S589" s="34">
        <v>19.25</v>
      </c>
      <c r="T589" s="34">
        <v>36.159999999999997</v>
      </c>
      <c r="U589" s="34">
        <v>879.61</v>
      </c>
      <c r="V589" s="34">
        <v>27.1</v>
      </c>
      <c r="W589" s="34">
        <v>1.1100000000000001</v>
      </c>
      <c r="X589" s="34">
        <v>0.14000000000000001</v>
      </c>
      <c r="Y589" s="35">
        <v>3.6223999999999998</v>
      </c>
      <c r="Z589" s="35">
        <v>4.1113999999999997</v>
      </c>
      <c r="AA589" s="35">
        <v>15.327299999999999</v>
      </c>
    </row>
    <row r="590" spans="1:27" ht="15.75" hidden="1" customHeight="1" x14ac:dyDescent="0.2">
      <c r="A590" s="2"/>
      <c r="B590" s="31">
        <v>585</v>
      </c>
      <c r="C590" s="36" t="s">
        <v>1377</v>
      </c>
      <c r="D590" s="36" t="s">
        <v>1378</v>
      </c>
      <c r="E590" s="36" t="s">
        <v>1379</v>
      </c>
      <c r="F590" s="36" t="s">
        <v>1422</v>
      </c>
      <c r="G590" s="36" t="s">
        <v>1423</v>
      </c>
      <c r="H590" s="37" t="s">
        <v>80</v>
      </c>
      <c r="I590" s="37" t="s">
        <v>81</v>
      </c>
      <c r="J590" s="37" t="s">
        <v>82</v>
      </c>
      <c r="K590" s="37" t="s">
        <v>87</v>
      </c>
      <c r="L590" s="36" t="s">
        <v>84</v>
      </c>
      <c r="M590" s="34">
        <v>5592.32</v>
      </c>
      <c r="N590" s="34">
        <v>1432.92</v>
      </c>
      <c r="O590" s="34">
        <v>4159.3900000000003</v>
      </c>
      <c r="P590" s="34">
        <v>875.02</v>
      </c>
      <c r="Q590" s="34">
        <v>27.11</v>
      </c>
      <c r="R590" s="34">
        <v>18.41</v>
      </c>
      <c r="S590" s="34">
        <v>14.29</v>
      </c>
      <c r="T590" s="34">
        <v>1.82</v>
      </c>
      <c r="U590" s="34">
        <v>242.57</v>
      </c>
      <c r="V590" s="34">
        <v>171.66</v>
      </c>
      <c r="W590" s="34">
        <v>1.29</v>
      </c>
      <c r="X590" s="34">
        <v>0.34</v>
      </c>
      <c r="Y590" s="35">
        <v>0.55730000000000002</v>
      </c>
      <c r="Z590" s="35">
        <v>0.74929999999999997</v>
      </c>
      <c r="AA590" s="35">
        <v>3.5617000000000001</v>
      </c>
    </row>
    <row r="591" spans="1:27" ht="15.75" hidden="1" customHeight="1" x14ac:dyDescent="0.2">
      <c r="A591" s="2"/>
      <c r="B591" s="31">
        <v>586</v>
      </c>
      <c r="C591" s="36" t="s">
        <v>1377</v>
      </c>
      <c r="D591" s="36" t="s">
        <v>1378</v>
      </c>
      <c r="E591" s="36" t="s">
        <v>1379</v>
      </c>
      <c r="F591" s="36" t="s">
        <v>1424</v>
      </c>
      <c r="G591" s="36" t="s">
        <v>1425</v>
      </c>
      <c r="H591" s="37" t="s">
        <v>80</v>
      </c>
      <c r="I591" s="37" t="s">
        <v>81</v>
      </c>
      <c r="J591" s="37" t="s">
        <v>82</v>
      </c>
      <c r="K591" s="37" t="s">
        <v>83</v>
      </c>
      <c r="L591" s="36" t="s">
        <v>84</v>
      </c>
      <c r="M591" s="34">
        <v>13526.41</v>
      </c>
      <c r="N591" s="34">
        <v>4277.26</v>
      </c>
      <c r="O591" s="34">
        <v>9249.15</v>
      </c>
      <c r="P591" s="34">
        <v>6104.95</v>
      </c>
      <c r="Q591" s="34">
        <v>641.73</v>
      </c>
      <c r="R591" s="34">
        <v>476.42</v>
      </c>
      <c r="S591" s="34">
        <v>456.82</v>
      </c>
      <c r="T591" s="34">
        <v>80.319999999999993</v>
      </c>
      <c r="U591" s="34">
        <v>711.14</v>
      </c>
      <c r="V591" s="34">
        <v>25.27</v>
      </c>
      <c r="W591" s="34">
        <v>2.85</v>
      </c>
      <c r="X591" s="34">
        <v>0.46</v>
      </c>
      <c r="Y591" s="35">
        <v>7.7233999999999998</v>
      </c>
      <c r="Z591" s="35">
        <v>11.295</v>
      </c>
      <c r="AA591" s="35">
        <v>17.112300000000001</v>
      </c>
    </row>
    <row r="592" spans="1:27" ht="15.75" hidden="1" customHeight="1" x14ac:dyDescent="0.2">
      <c r="A592" s="2"/>
      <c r="B592" s="31">
        <v>587</v>
      </c>
      <c r="C592" s="36" t="s">
        <v>1377</v>
      </c>
      <c r="D592" s="36" t="s">
        <v>1378</v>
      </c>
      <c r="E592" s="36" t="s">
        <v>1379</v>
      </c>
      <c r="F592" s="36" t="s">
        <v>1426</v>
      </c>
      <c r="G592" s="36" t="s">
        <v>1427</v>
      </c>
      <c r="H592" s="37" t="s">
        <v>80</v>
      </c>
      <c r="I592" s="37" t="s">
        <v>81</v>
      </c>
      <c r="J592" s="37" t="s">
        <v>82</v>
      </c>
      <c r="K592" s="37" t="s">
        <v>104</v>
      </c>
      <c r="L592" s="36" t="s">
        <v>90</v>
      </c>
      <c r="M592" s="34">
        <v>7601.03</v>
      </c>
      <c r="N592" s="34">
        <v>6129.19</v>
      </c>
      <c r="O592" s="34">
        <v>1471.84</v>
      </c>
      <c r="P592" s="34">
        <v>1188.8699999999999</v>
      </c>
      <c r="Q592" s="34">
        <v>-109.48</v>
      </c>
      <c r="R592" s="34">
        <v>-65.45</v>
      </c>
      <c r="S592" s="34">
        <v>-65.55</v>
      </c>
      <c r="T592" s="34">
        <v>-8.07</v>
      </c>
      <c r="U592" s="34">
        <v>120.26</v>
      </c>
      <c r="V592" s="34">
        <v>-1317.32</v>
      </c>
      <c r="W592" s="34">
        <v>88.35</v>
      </c>
      <c r="X592" s="34">
        <v>4.16</v>
      </c>
      <c r="Y592" s="35">
        <v>-1.2987</v>
      </c>
      <c r="Z592" s="35">
        <v>-6.7069000000000001</v>
      </c>
      <c r="AA592" s="35">
        <v>-8.3032000000000004</v>
      </c>
    </row>
    <row r="593" spans="1:27" ht="15.75" hidden="1" customHeight="1" x14ac:dyDescent="0.2">
      <c r="A593" s="2"/>
      <c r="B593" s="31">
        <v>588</v>
      </c>
      <c r="C593" s="36" t="s">
        <v>1377</v>
      </c>
      <c r="D593" s="36" t="s">
        <v>1384</v>
      </c>
      <c r="E593" s="36" t="s">
        <v>1385</v>
      </c>
      <c r="F593" s="36" t="s">
        <v>1428</v>
      </c>
      <c r="G593" s="36" t="s">
        <v>1429</v>
      </c>
      <c r="H593" s="37" t="s">
        <v>80</v>
      </c>
      <c r="I593" s="37" t="s">
        <v>81</v>
      </c>
      <c r="J593" s="37" t="s">
        <v>82</v>
      </c>
      <c r="K593" s="37" t="s">
        <v>87</v>
      </c>
      <c r="L593" s="36" t="s">
        <v>84</v>
      </c>
      <c r="M593" s="34">
        <v>394.35</v>
      </c>
      <c r="N593" s="34">
        <v>49.8</v>
      </c>
      <c r="O593" s="34">
        <v>344.55</v>
      </c>
      <c r="P593" s="34">
        <v>70.28</v>
      </c>
      <c r="Q593" s="34">
        <v>1.79</v>
      </c>
      <c r="R593" s="34">
        <v>1.38</v>
      </c>
      <c r="S593" s="34">
        <v>1.38</v>
      </c>
      <c r="T593" s="34">
        <v>-0.46</v>
      </c>
      <c r="U593" s="34">
        <v>54.39</v>
      </c>
      <c r="V593" s="34">
        <v>-260.73</v>
      </c>
      <c r="W593" s="34">
        <v>2.19</v>
      </c>
      <c r="X593" s="34">
        <v>0.14000000000000001</v>
      </c>
      <c r="Y593" s="35">
        <v>-0.73309999999999997</v>
      </c>
      <c r="Z593" s="35">
        <v>-0.83909999999999996</v>
      </c>
      <c r="AA593" s="35">
        <v>-4.1135999999999999</v>
      </c>
    </row>
    <row r="594" spans="1:27" ht="15.75" hidden="1" customHeight="1" x14ac:dyDescent="0.2">
      <c r="A594" s="2"/>
      <c r="B594" s="31">
        <v>589</v>
      </c>
      <c r="C594" s="36" t="s">
        <v>1377</v>
      </c>
      <c r="D594" s="36" t="s">
        <v>1430</v>
      </c>
      <c r="E594" s="36" t="s">
        <v>1431</v>
      </c>
      <c r="F594" s="36" t="s">
        <v>1432</v>
      </c>
      <c r="G594" s="36" t="s">
        <v>1433</v>
      </c>
      <c r="H594" s="37" t="s">
        <v>80</v>
      </c>
      <c r="I594" s="37" t="s">
        <v>81</v>
      </c>
      <c r="J594" s="37" t="s">
        <v>82</v>
      </c>
      <c r="K594" s="37" t="s">
        <v>87</v>
      </c>
      <c r="L594" s="36" t="s">
        <v>84</v>
      </c>
      <c r="M594" s="34">
        <v>2398.0500000000002</v>
      </c>
      <c r="N594" s="34">
        <v>904.97</v>
      </c>
      <c r="O594" s="34">
        <v>1493.08</v>
      </c>
      <c r="P594" s="34">
        <v>1086.0999999999999</v>
      </c>
      <c r="Q594" s="34">
        <v>163.63</v>
      </c>
      <c r="R594" s="34">
        <v>121.44</v>
      </c>
      <c r="S594" s="34">
        <v>121.44</v>
      </c>
      <c r="T594" s="34">
        <v>141.28</v>
      </c>
      <c r="U594" s="34">
        <v>1333.1</v>
      </c>
      <c r="V594" s="34">
        <v>11.5</v>
      </c>
      <c r="W594" s="34">
        <v>1.22</v>
      </c>
      <c r="X594" s="34">
        <v>0.61</v>
      </c>
      <c r="Y594" s="35">
        <v>6.5982000000000003</v>
      </c>
      <c r="Z594" s="35">
        <v>10.5975</v>
      </c>
      <c r="AA594" s="35">
        <v>14.5685</v>
      </c>
    </row>
    <row r="595" spans="1:27" ht="15.75" hidden="1" customHeight="1" x14ac:dyDescent="0.2">
      <c r="A595" s="2"/>
      <c r="B595" s="31">
        <v>590</v>
      </c>
      <c r="C595" s="36" t="s">
        <v>1377</v>
      </c>
      <c r="D595" s="36" t="s">
        <v>1430</v>
      </c>
      <c r="E595" s="36" t="s">
        <v>1431</v>
      </c>
      <c r="F595" s="36" t="s">
        <v>1434</v>
      </c>
      <c r="G595" s="36" t="s">
        <v>1435</v>
      </c>
      <c r="H595" s="37" t="s">
        <v>80</v>
      </c>
      <c r="I595" s="37" t="s">
        <v>81</v>
      </c>
      <c r="J595" s="37" t="s">
        <v>82</v>
      </c>
      <c r="K595" s="37" t="s">
        <v>87</v>
      </c>
      <c r="L595" s="36" t="s">
        <v>84</v>
      </c>
      <c r="M595" s="34">
        <v>476.89</v>
      </c>
      <c r="N595" s="34">
        <v>239.93</v>
      </c>
      <c r="O595" s="34">
        <v>236.96</v>
      </c>
      <c r="P595" s="34">
        <v>175.45</v>
      </c>
      <c r="Q595" s="34">
        <v>-9.14</v>
      </c>
      <c r="R595" s="34">
        <v>-9.14</v>
      </c>
      <c r="S595" s="34">
        <v>-9.14</v>
      </c>
      <c r="T595" s="34">
        <v>-5.01</v>
      </c>
      <c r="U595" s="34">
        <v>140.66</v>
      </c>
      <c r="V595" s="34">
        <v>-45.15</v>
      </c>
      <c r="W595" s="34">
        <v>1.61</v>
      </c>
      <c r="X595" s="34">
        <v>1.01</v>
      </c>
      <c r="Y595" s="35">
        <v>-1.7684</v>
      </c>
      <c r="Z595" s="35">
        <v>-3.5590000000000002</v>
      </c>
      <c r="AA595" s="35">
        <v>-4.8068999999999997</v>
      </c>
    </row>
    <row r="596" spans="1:27" ht="15.75" hidden="1" customHeight="1" x14ac:dyDescent="0.2">
      <c r="A596" s="2"/>
      <c r="B596" s="31">
        <v>591</v>
      </c>
      <c r="C596" s="36" t="s">
        <v>1377</v>
      </c>
      <c r="D596" s="36" t="s">
        <v>1430</v>
      </c>
      <c r="E596" s="36" t="s">
        <v>1431</v>
      </c>
      <c r="F596" s="36" t="s">
        <v>1436</v>
      </c>
      <c r="G596" s="36" t="s">
        <v>1437</v>
      </c>
      <c r="H596" s="37" t="s">
        <v>95</v>
      </c>
      <c r="I596" s="37" t="s">
        <v>81</v>
      </c>
      <c r="J596" s="37" t="s">
        <v>82</v>
      </c>
      <c r="K596" s="37" t="s">
        <v>87</v>
      </c>
      <c r="L596" s="36" t="s">
        <v>84</v>
      </c>
      <c r="M596" s="34">
        <v>559.64</v>
      </c>
      <c r="N596" s="34">
        <v>1367.04</v>
      </c>
      <c r="O596" s="34">
        <v>-807.4</v>
      </c>
      <c r="P596" s="34">
        <v>67.03</v>
      </c>
      <c r="Q596" s="34">
        <v>-44.29</v>
      </c>
      <c r="R596" s="34">
        <v>-43.55</v>
      </c>
      <c r="S596" s="34">
        <v>-43.55</v>
      </c>
      <c r="T596" s="34">
        <v>-89.09</v>
      </c>
      <c r="U596" s="34">
        <v>-260.51</v>
      </c>
      <c r="V596" s="34">
        <v>-1.41</v>
      </c>
      <c r="W596" s="34">
        <v>-0.48</v>
      </c>
      <c r="X596" s="34">
        <v>-1.69</v>
      </c>
      <c r="Y596" s="35">
        <v>-49.335500000000003</v>
      </c>
      <c r="Z596" s="35" t="s">
        <v>95</v>
      </c>
      <c r="AA596" s="35">
        <v>-411.91699999999997</v>
      </c>
    </row>
    <row r="597" spans="1:27" ht="15.75" hidden="1" customHeight="1" x14ac:dyDescent="0.2">
      <c r="A597" s="2"/>
      <c r="B597" s="31">
        <v>592</v>
      </c>
      <c r="C597" s="36" t="s">
        <v>1377</v>
      </c>
      <c r="D597" s="36" t="s">
        <v>1430</v>
      </c>
      <c r="E597" s="36" t="s">
        <v>1431</v>
      </c>
      <c r="F597" s="36" t="s">
        <v>1438</v>
      </c>
      <c r="G597" s="36" t="s">
        <v>1439</v>
      </c>
      <c r="H597" s="37" t="s">
        <v>95</v>
      </c>
      <c r="I597" s="37" t="s">
        <v>81</v>
      </c>
      <c r="J597" s="37" t="s">
        <v>82</v>
      </c>
      <c r="K597" s="37" t="s">
        <v>83</v>
      </c>
      <c r="L597" s="36" t="s">
        <v>84</v>
      </c>
      <c r="M597" s="34">
        <v>14973.27</v>
      </c>
      <c r="N597" s="34">
        <v>11680.08</v>
      </c>
      <c r="O597" s="34">
        <v>3293.19</v>
      </c>
      <c r="P597" s="34">
        <v>4369.3500000000004</v>
      </c>
      <c r="Q597" s="34">
        <v>-120.01</v>
      </c>
      <c r="R597" s="34">
        <v>-135.61000000000001</v>
      </c>
      <c r="S597" s="34">
        <v>-95.02</v>
      </c>
      <c r="T597" s="34">
        <v>-127.64</v>
      </c>
      <c r="U597" s="34">
        <v>591.6</v>
      </c>
      <c r="V597" s="34">
        <v>-4.2300000000000004</v>
      </c>
      <c r="W597" s="34">
        <v>0.91</v>
      </c>
      <c r="X597" s="34">
        <v>3.55</v>
      </c>
      <c r="Y597" s="35">
        <v>-4.7451999999999996</v>
      </c>
      <c r="Z597" s="35">
        <v>-21.574999999999999</v>
      </c>
      <c r="AA597" s="35">
        <v>-16.261099999999999</v>
      </c>
    </row>
    <row r="598" spans="1:27" ht="15.75" hidden="1" customHeight="1" x14ac:dyDescent="0.2">
      <c r="A598" s="2"/>
      <c r="B598" s="31">
        <v>593</v>
      </c>
      <c r="C598" s="36" t="s">
        <v>1377</v>
      </c>
      <c r="D598" s="36" t="s">
        <v>1430</v>
      </c>
      <c r="E598" s="36" t="s">
        <v>1431</v>
      </c>
      <c r="F598" s="36" t="s">
        <v>1440</v>
      </c>
      <c r="G598" s="36" t="s">
        <v>1441</v>
      </c>
      <c r="H598" s="37" t="s">
        <v>80</v>
      </c>
      <c r="I598" s="37" t="s">
        <v>81</v>
      </c>
      <c r="J598" s="37" t="s">
        <v>82</v>
      </c>
      <c r="K598" s="37" t="s">
        <v>87</v>
      </c>
      <c r="L598" s="36" t="s">
        <v>84</v>
      </c>
      <c r="M598" s="34">
        <v>29509.38</v>
      </c>
      <c r="N598" s="34">
        <v>5318.69</v>
      </c>
      <c r="O598" s="34">
        <v>24190.69</v>
      </c>
      <c r="P598" s="34">
        <v>17079.29</v>
      </c>
      <c r="Q598" s="34">
        <v>2612.79</v>
      </c>
      <c r="R598" s="34">
        <v>2028.09</v>
      </c>
      <c r="S598" s="34">
        <v>1974.94</v>
      </c>
      <c r="T598" s="34">
        <v>72.849999999999994</v>
      </c>
      <c r="U598" s="34">
        <v>516.75</v>
      </c>
      <c r="V598" s="34">
        <v>15.51</v>
      </c>
      <c r="W598" s="34">
        <v>2.19</v>
      </c>
      <c r="X598" s="34">
        <v>0.22</v>
      </c>
      <c r="Y598" s="35">
        <v>11.5573</v>
      </c>
      <c r="Z598" s="35">
        <v>14.0983</v>
      </c>
      <c r="AA598" s="35">
        <v>19.968499999999999</v>
      </c>
    </row>
    <row r="599" spans="1:27" ht="15.75" hidden="1" customHeight="1" x14ac:dyDescent="0.2">
      <c r="A599" s="2"/>
      <c r="B599" s="31">
        <v>594</v>
      </c>
      <c r="C599" s="36" t="s">
        <v>1377</v>
      </c>
      <c r="D599" s="36" t="s">
        <v>1430</v>
      </c>
      <c r="E599" s="36" t="s">
        <v>1431</v>
      </c>
      <c r="F599" s="36" t="s">
        <v>1442</v>
      </c>
      <c r="G599" s="36" t="s">
        <v>1443</v>
      </c>
      <c r="H599" s="37" t="s">
        <v>80</v>
      </c>
      <c r="I599" s="37" t="s">
        <v>81</v>
      </c>
      <c r="J599" s="37" t="s">
        <v>82</v>
      </c>
      <c r="K599" s="37" t="s">
        <v>87</v>
      </c>
      <c r="L599" s="36" t="s">
        <v>84</v>
      </c>
      <c r="M599" s="34">
        <v>6262.22</v>
      </c>
      <c r="N599" s="34">
        <v>3214.87</v>
      </c>
      <c r="O599" s="34">
        <v>3047.34</v>
      </c>
      <c r="P599" s="34">
        <v>7419.93</v>
      </c>
      <c r="Q599" s="34">
        <v>259.39999999999998</v>
      </c>
      <c r="R599" s="34">
        <v>200.33</v>
      </c>
      <c r="S599" s="34">
        <v>197.95</v>
      </c>
      <c r="T599" s="34">
        <v>26.34</v>
      </c>
      <c r="U599" s="34">
        <v>217.47</v>
      </c>
      <c r="V599" s="34">
        <v>8.58</v>
      </c>
      <c r="W599" s="34">
        <v>1.04</v>
      </c>
      <c r="X599" s="34">
        <v>1.05</v>
      </c>
      <c r="Y599" s="35">
        <v>5.8943000000000003</v>
      </c>
      <c r="Z599" s="35">
        <v>12.1126</v>
      </c>
      <c r="AA599" s="35">
        <v>4.9745999999999997</v>
      </c>
    </row>
    <row r="600" spans="1:27" ht="15.75" hidden="1" customHeight="1" x14ac:dyDescent="0.2">
      <c r="A600" s="2"/>
      <c r="B600" s="31">
        <v>595</v>
      </c>
      <c r="C600" s="36" t="s">
        <v>1377</v>
      </c>
      <c r="D600" s="36" t="s">
        <v>1430</v>
      </c>
      <c r="E600" s="36" t="s">
        <v>1431</v>
      </c>
      <c r="F600" s="36" t="s">
        <v>1444</v>
      </c>
      <c r="G600" s="36" t="s">
        <v>1445</v>
      </c>
      <c r="H600" s="37" t="s">
        <v>80</v>
      </c>
      <c r="I600" s="37" t="s">
        <v>81</v>
      </c>
      <c r="J600" s="37" t="s">
        <v>82</v>
      </c>
      <c r="K600" s="37" t="s">
        <v>87</v>
      </c>
      <c r="L600" s="36" t="s">
        <v>84</v>
      </c>
      <c r="M600" s="34">
        <v>1007.23</v>
      </c>
      <c r="N600" s="34">
        <v>177.44</v>
      </c>
      <c r="O600" s="34">
        <v>829.78</v>
      </c>
      <c r="P600" s="34">
        <v>480.16</v>
      </c>
      <c r="Q600" s="34">
        <v>31.15</v>
      </c>
      <c r="R600" s="34">
        <v>22.51</v>
      </c>
      <c r="S600" s="34">
        <v>22.51</v>
      </c>
      <c r="T600" s="34">
        <v>287.45</v>
      </c>
      <c r="U600" s="34">
        <v>1852.2</v>
      </c>
      <c r="V600" s="34">
        <v>9.9499999999999993</v>
      </c>
      <c r="W600" s="34">
        <v>1.54</v>
      </c>
      <c r="X600" s="34">
        <v>0.21</v>
      </c>
      <c r="Y600" s="35">
        <v>12.7851</v>
      </c>
      <c r="Z600" s="35">
        <v>15.5192</v>
      </c>
      <c r="AA600" s="35">
        <v>26.819500000000001</v>
      </c>
    </row>
    <row r="601" spans="1:27" ht="15.75" hidden="1" customHeight="1" x14ac:dyDescent="0.2">
      <c r="A601" s="2"/>
      <c r="B601" s="31">
        <v>596</v>
      </c>
      <c r="C601" s="36" t="s">
        <v>1377</v>
      </c>
      <c r="D601" s="36" t="s">
        <v>1430</v>
      </c>
      <c r="E601" s="36" t="s">
        <v>1431</v>
      </c>
      <c r="F601" s="36" t="s">
        <v>1446</v>
      </c>
      <c r="G601" s="36" t="s">
        <v>1447</v>
      </c>
      <c r="H601" s="37" t="s">
        <v>80</v>
      </c>
      <c r="I601" s="37" t="s">
        <v>81</v>
      </c>
      <c r="J601" s="37" t="s">
        <v>82</v>
      </c>
      <c r="K601" s="37" t="s">
        <v>87</v>
      </c>
      <c r="L601" s="36" t="s">
        <v>84</v>
      </c>
      <c r="M601" s="34">
        <v>135.94</v>
      </c>
      <c r="N601" s="34">
        <v>27.07</v>
      </c>
      <c r="O601" s="34">
        <v>108.88</v>
      </c>
      <c r="P601" s="34">
        <v>76.56</v>
      </c>
      <c r="Q601" s="34">
        <v>18.91</v>
      </c>
      <c r="R601" s="34">
        <v>18.91</v>
      </c>
      <c r="S601" s="34">
        <v>17.8</v>
      </c>
      <c r="T601" s="34">
        <v>56.95</v>
      </c>
      <c r="U601" s="34">
        <v>180.13</v>
      </c>
      <c r="V601" s="34">
        <v>7.9</v>
      </c>
      <c r="W601" s="34">
        <v>2.5</v>
      </c>
      <c r="X601" s="34">
        <v>0.25</v>
      </c>
      <c r="Y601" s="35">
        <v>25.321100000000001</v>
      </c>
      <c r="Z601" s="35">
        <v>31.6157</v>
      </c>
      <c r="AA601" s="35">
        <v>44.958199999999998</v>
      </c>
    </row>
    <row r="602" spans="1:27" ht="15.75" hidden="1" customHeight="1" x14ac:dyDescent="0.2">
      <c r="A602" s="2"/>
      <c r="B602" s="31">
        <v>597</v>
      </c>
      <c r="C602" s="36" t="s">
        <v>1377</v>
      </c>
      <c r="D602" s="36" t="s">
        <v>1430</v>
      </c>
      <c r="E602" s="36" t="s">
        <v>1431</v>
      </c>
      <c r="F602" s="36" t="s">
        <v>1448</v>
      </c>
      <c r="G602" s="36" t="s">
        <v>1449</v>
      </c>
      <c r="H602" s="37" t="s">
        <v>80</v>
      </c>
      <c r="I602" s="37" t="s">
        <v>81</v>
      </c>
      <c r="J602" s="37" t="s">
        <v>82</v>
      </c>
      <c r="K602" s="37" t="s">
        <v>87</v>
      </c>
      <c r="L602" s="36" t="s">
        <v>84</v>
      </c>
      <c r="M602" s="34">
        <v>1457.83</v>
      </c>
      <c r="N602" s="34">
        <v>1062.26</v>
      </c>
      <c r="O602" s="34">
        <v>395.57</v>
      </c>
      <c r="P602" s="34">
        <v>458.23</v>
      </c>
      <c r="Q602" s="34">
        <v>10.67</v>
      </c>
      <c r="R602" s="34">
        <v>2.4500000000000002</v>
      </c>
      <c r="S602" s="34">
        <v>2.38</v>
      </c>
      <c r="T602" s="34">
        <v>-277.64999999999998</v>
      </c>
      <c r="U602" s="34">
        <v>470.92</v>
      </c>
      <c r="V602" s="34">
        <v>-1.17</v>
      </c>
      <c r="W602" s="34">
        <v>0.69</v>
      </c>
      <c r="X602" s="34">
        <v>2.69</v>
      </c>
      <c r="Y602" s="35">
        <v>-15.998100000000001</v>
      </c>
      <c r="Z602" s="35">
        <v>-58.959299999999999</v>
      </c>
      <c r="AA602" s="35">
        <v>-50.897100000000002</v>
      </c>
    </row>
    <row r="603" spans="1:27" ht="15.75" hidden="1" customHeight="1" x14ac:dyDescent="0.2">
      <c r="A603" s="2"/>
      <c r="B603" s="31">
        <v>598</v>
      </c>
      <c r="C603" s="36" t="s">
        <v>1377</v>
      </c>
      <c r="D603" s="36" t="s">
        <v>1430</v>
      </c>
      <c r="E603" s="36" t="s">
        <v>1431</v>
      </c>
      <c r="F603" s="36" t="s">
        <v>1450</v>
      </c>
      <c r="G603" s="36" t="s">
        <v>1451</v>
      </c>
      <c r="H603" s="37" t="s">
        <v>80</v>
      </c>
      <c r="I603" s="37" t="s">
        <v>81</v>
      </c>
      <c r="J603" s="37" t="s">
        <v>82</v>
      </c>
      <c r="K603" s="37" t="s">
        <v>87</v>
      </c>
      <c r="L603" s="36" t="s">
        <v>84</v>
      </c>
      <c r="M603" s="34">
        <v>1317.74</v>
      </c>
      <c r="N603" s="34">
        <v>1000.49</v>
      </c>
      <c r="O603" s="34">
        <v>317.25</v>
      </c>
      <c r="P603" s="34">
        <v>1685.73</v>
      </c>
      <c r="Q603" s="34">
        <v>37.14</v>
      </c>
      <c r="R603" s="34">
        <v>28.97</v>
      </c>
      <c r="S603" s="34">
        <v>28.97</v>
      </c>
      <c r="T603" s="34">
        <v>33.14</v>
      </c>
      <c r="U603" s="34">
        <v>179.68</v>
      </c>
      <c r="V603" s="34">
        <v>15.39</v>
      </c>
      <c r="W603" s="34">
        <v>2.84</v>
      </c>
      <c r="X603" s="34">
        <v>3.15</v>
      </c>
      <c r="Y603" s="35">
        <v>4.4406999999999996</v>
      </c>
      <c r="Z603" s="35">
        <v>18.4453</v>
      </c>
      <c r="AA603" s="35">
        <v>3.4712999999999998</v>
      </c>
    </row>
    <row r="604" spans="1:27" ht="15.75" hidden="1" customHeight="1" x14ac:dyDescent="0.2">
      <c r="A604" s="2"/>
      <c r="B604" s="31">
        <v>599</v>
      </c>
      <c r="C604" s="36" t="s">
        <v>1377</v>
      </c>
      <c r="D604" s="36" t="s">
        <v>1430</v>
      </c>
      <c r="E604" s="36" t="s">
        <v>1431</v>
      </c>
      <c r="F604" s="36" t="s">
        <v>1452</v>
      </c>
      <c r="G604" s="36" t="s">
        <v>1453</v>
      </c>
      <c r="H604" s="37" t="s">
        <v>95</v>
      </c>
      <c r="I604" s="37" t="s">
        <v>81</v>
      </c>
      <c r="J604" s="37" t="s">
        <v>82</v>
      </c>
      <c r="K604" s="37" t="s">
        <v>87</v>
      </c>
      <c r="L604" s="36" t="s">
        <v>84</v>
      </c>
      <c r="M604" s="34">
        <v>6852.81</v>
      </c>
      <c r="N604" s="34">
        <v>5996.4</v>
      </c>
      <c r="O604" s="34">
        <v>856.41</v>
      </c>
      <c r="P604" s="34">
        <v>1385.4</v>
      </c>
      <c r="Q604" s="34">
        <v>-215.08</v>
      </c>
      <c r="R604" s="34">
        <v>-213.2</v>
      </c>
      <c r="S604" s="34">
        <v>-213.2</v>
      </c>
      <c r="T604" s="34">
        <v>-40.01</v>
      </c>
      <c r="U604" s="34">
        <v>76.22</v>
      </c>
      <c r="V604" s="34">
        <v>-14.62</v>
      </c>
      <c r="W604" s="34">
        <v>7.68</v>
      </c>
      <c r="X604" s="34">
        <v>7</v>
      </c>
      <c r="Y604" s="35">
        <v>-6.5609000000000002</v>
      </c>
      <c r="Z604" s="35">
        <v>-52.499200000000002</v>
      </c>
      <c r="AA604" s="35">
        <v>-32.453200000000002</v>
      </c>
    </row>
    <row r="605" spans="1:27" ht="15.75" hidden="1" customHeight="1" x14ac:dyDescent="0.2">
      <c r="A605" s="2"/>
      <c r="B605" s="31">
        <v>600</v>
      </c>
      <c r="C605" s="36" t="s">
        <v>1377</v>
      </c>
      <c r="D605" s="36" t="s">
        <v>1430</v>
      </c>
      <c r="E605" s="36" t="s">
        <v>1431</v>
      </c>
      <c r="F605" s="36" t="s">
        <v>1454</v>
      </c>
      <c r="G605" s="36" t="s">
        <v>1455</v>
      </c>
      <c r="H605" s="37" t="s">
        <v>80</v>
      </c>
      <c r="I605" s="37" t="s">
        <v>81</v>
      </c>
      <c r="J605" s="37" t="s">
        <v>82</v>
      </c>
      <c r="K605" s="37" t="s">
        <v>87</v>
      </c>
      <c r="L605" s="36" t="s">
        <v>84</v>
      </c>
      <c r="M605" s="34">
        <v>1914.15</v>
      </c>
      <c r="N605" s="34">
        <v>749.46</v>
      </c>
      <c r="O605" s="34">
        <v>1164.7</v>
      </c>
      <c r="P605" s="34">
        <v>1733.57</v>
      </c>
      <c r="Q605" s="34">
        <v>172.7</v>
      </c>
      <c r="R605" s="34">
        <v>131.69</v>
      </c>
      <c r="S605" s="34">
        <v>131.69</v>
      </c>
      <c r="T605" s="34">
        <v>57416.56</v>
      </c>
      <c r="U605" s="34">
        <v>323527.08</v>
      </c>
      <c r="V605" s="34">
        <v>0.51</v>
      </c>
      <c r="W605" s="34">
        <v>0.09</v>
      </c>
      <c r="X605" s="34">
        <v>0.64</v>
      </c>
      <c r="Y605" s="35">
        <v>10.798500000000001</v>
      </c>
      <c r="Z605" s="35">
        <v>17.7471</v>
      </c>
      <c r="AA605" s="35">
        <v>11.923400000000001</v>
      </c>
    </row>
    <row r="606" spans="1:27" ht="15.75" hidden="1" customHeight="1" x14ac:dyDescent="0.2">
      <c r="A606" s="2"/>
      <c r="B606" s="31">
        <v>601</v>
      </c>
      <c r="C606" s="36" t="s">
        <v>1377</v>
      </c>
      <c r="D606" s="36" t="s">
        <v>1430</v>
      </c>
      <c r="E606" s="36" t="s">
        <v>1431</v>
      </c>
      <c r="F606" s="36" t="s">
        <v>1456</v>
      </c>
      <c r="G606" s="36" t="s">
        <v>1457</v>
      </c>
      <c r="H606" s="37" t="s">
        <v>80</v>
      </c>
      <c r="I606" s="37" t="s">
        <v>81</v>
      </c>
      <c r="J606" s="37" t="s">
        <v>82</v>
      </c>
      <c r="K606" s="37" t="s">
        <v>87</v>
      </c>
      <c r="L606" s="36" t="s">
        <v>84</v>
      </c>
      <c r="M606" s="34">
        <v>3649.84</v>
      </c>
      <c r="N606" s="34">
        <v>312.82</v>
      </c>
      <c r="O606" s="34">
        <v>3337.02</v>
      </c>
      <c r="P606" s="34">
        <v>1828.7</v>
      </c>
      <c r="Q606" s="34">
        <v>765.97</v>
      </c>
      <c r="R606" s="34">
        <v>600.47</v>
      </c>
      <c r="S606" s="34">
        <v>600.47</v>
      </c>
      <c r="T606" s="34">
        <v>38.770000000000003</v>
      </c>
      <c r="U606" s="34">
        <v>111.23</v>
      </c>
      <c r="V606" s="34">
        <v>13.8</v>
      </c>
      <c r="W606" s="34">
        <v>4.8099999999999996</v>
      </c>
      <c r="X606" s="34">
        <v>0.09</v>
      </c>
      <c r="Y606" s="35">
        <v>31.8645</v>
      </c>
      <c r="Z606" s="35">
        <v>34.851599999999998</v>
      </c>
      <c r="AA606" s="35">
        <v>63.597099999999998</v>
      </c>
    </row>
    <row r="607" spans="1:27" ht="15.75" hidden="1" customHeight="1" x14ac:dyDescent="0.2">
      <c r="A607" s="2"/>
      <c r="B607" s="31">
        <v>602</v>
      </c>
      <c r="C607" s="36" t="s">
        <v>1377</v>
      </c>
      <c r="D607" s="36" t="s">
        <v>1430</v>
      </c>
      <c r="E607" s="36" t="s">
        <v>1431</v>
      </c>
      <c r="F607" s="36" t="s">
        <v>1458</v>
      </c>
      <c r="G607" s="36" t="s">
        <v>1459</v>
      </c>
      <c r="H607" s="37" t="s">
        <v>80</v>
      </c>
      <c r="I607" s="37" t="s">
        <v>81</v>
      </c>
      <c r="J607" s="37" t="s">
        <v>82</v>
      </c>
      <c r="K607" s="37" t="s">
        <v>87</v>
      </c>
      <c r="L607" s="36" t="s">
        <v>84</v>
      </c>
      <c r="M607" s="34">
        <v>5477.57</v>
      </c>
      <c r="N607" s="34">
        <v>2772.78</v>
      </c>
      <c r="O607" s="34">
        <v>2704.78</v>
      </c>
      <c r="P607" s="34">
        <v>5168.99</v>
      </c>
      <c r="Q607" s="34">
        <v>368.95</v>
      </c>
      <c r="R607" s="34">
        <v>290.36</v>
      </c>
      <c r="S607" s="34">
        <v>290.36</v>
      </c>
      <c r="T607" s="34">
        <v>41.56</v>
      </c>
      <c r="U607" s="34">
        <v>213.11</v>
      </c>
      <c r="V607" s="34">
        <v>18.89</v>
      </c>
      <c r="W607" s="34">
        <v>3.68</v>
      </c>
      <c r="X607" s="34">
        <v>1.03</v>
      </c>
      <c r="Y607" s="35">
        <v>9.6288</v>
      </c>
      <c r="Z607" s="35">
        <v>19.499600000000001</v>
      </c>
      <c r="AA607" s="35">
        <v>10.2036</v>
      </c>
    </row>
    <row r="608" spans="1:27" ht="15.75" hidden="1" customHeight="1" x14ac:dyDescent="0.2">
      <c r="A608" s="2"/>
      <c r="B608" s="31">
        <v>603</v>
      </c>
      <c r="C608" s="36" t="s">
        <v>1377</v>
      </c>
      <c r="D608" s="36" t="s">
        <v>1430</v>
      </c>
      <c r="E608" s="36" t="s">
        <v>1431</v>
      </c>
      <c r="F608" s="36" t="s">
        <v>1460</v>
      </c>
      <c r="G608" s="36" t="s">
        <v>1461</v>
      </c>
      <c r="H608" s="37" t="s">
        <v>80</v>
      </c>
      <c r="I608" s="37" t="s">
        <v>81</v>
      </c>
      <c r="J608" s="37" t="s">
        <v>82</v>
      </c>
      <c r="K608" s="37" t="s">
        <v>87</v>
      </c>
      <c r="L608" s="36" t="s">
        <v>84</v>
      </c>
      <c r="M608" s="34">
        <v>12753.15</v>
      </c>
      <c r="N608" s="34">
        <v>3309.66</v>
      </c>
      <c r="O608" s="34">
        <v>9443.49</v>
      </c>
      <c r="P608" s="34">
        <v>6598.71</v>
      </c>
      <c r="Q608" s="34">
        <v>877.2</v>
      </c>
      <c r="R608" s="34">
        <v>754.48</v>
      </c>
      <c r="S608" s="34">
        <v>702.2</v>
      </c>
      <c r="T608" s="34">
        <v>294.66000000000003</v>
      </c>
      <c r="U608" s="34">
        <v>2093.96</v>
      </c>
      <c r="V608" s="34">
        <v>8.0399999999999991</v>
      </c>
      <c r="W608" s="34">
        <v>1.1299999999999999</v>
      </c>
      <c r="X608" s="34">
        <v>0.35</v>
      </c>
      <c r="Y608" s="35">
        <v>10.4199</v>
      </c>
      <c r="Z608" s="35">
        <v>14.0718</v>
      </c>
      <c r="AA608" s="35">
        <v>20.138300000000001</v>
      </c>
    </row>
    <row r="609" spans="1:27" ht="15.75" hidden="1" customHeight="1" x14ac:dyDescent="0.2">
      <c r="A609" s="2"/>
      <c r="B609" s="31">
        <v>604</v>
      </c>
      <c r="C609" s="36" t="s">
        <v>1462</v>
      </c>
      <c r="D609" s="36" t="s">
        <v>1463</v>
      </c>
      <c r="E609" s="36" t="s">
        <v>1464</v>
      </c>
      <c r="F609" s="36" t="s">
        <v>1465</v>
      </c>
      <c r="G609" s="36" t="s">
        <v>1466</v>
      </c>
      <c r="H609" s="37" t="s">
        <v>95</v>
      </c>
      <c r="I609" s="37" t="s">
        <v>81</v>
      </c>
      <c r="J609" s="37" t="s">
        <v>82</v>
      </c>
      <c r="K609" s="37" t="s">
        <v>87</v>
      </c>
      <c r="L609" s="36" t="s">
        <v>84</v>
      </c>
      <c r="M609" s="34">
        <v>13340</v>
      </c>
      <c r="N609" s="34">
        <v>9836.67</v>
      </c>
      <c r="O609" s="34">
        <v>3503.33</v>
      </c>
      <c r="P609" s="34">
        <v>591.69000000000005</v>
      </c>
      <c r="Q609" s="34">
        <v>38.01</v>
      </c>
      <c r="R609" s="34">
        <v>32.94</v>
      </c>
      <c r="S609" s="34">
        <v>32.94</v>
      </c>
      <c r="T609" s="34">
        <v>2.58</v>
      </c>
      <c r="U609" s="34">
        <v>141.6</v>
      </c>
      <c r="V609" s="34">
        <v>93.06</v>
      </c>
      <c r="W609" s="34">
        <v>1.69</v>
      </c>
      <c r="X609" s="34">
        <v>2.81</v>
      </c>
      <c r="Y609" s="35">
        <v>0.4783</v>
      </c>
      <c r="Z609" s="35">
        <v>1.8211999999999999</v>
      </c>
      <c r="AA609" s="35">
        <v>10.783200000000001</v>
      </c>
    </row>
    <row r="610" spans="1:27" ht="15.75" hidden="1" customHeight="1" x14ac:dyDescent="0.2">
      <c r="A610" s="2"/>
      <c r="B610" s="31">
        <v>605</v>
      </c>
      <c r="C610" s="36" t="s">
        <v>1462</v>
      </c>
      <c r="D610" s="36" t="s">
        <v>1463</v>
      </c>
      <c r="E610" s="36" t="s">
        <v>1464</v>
      </c>
      <c r="F610" s="36" t="s">
        <v>1467</v>
      </c>
      <c r="G610" s="36" t="s">
        <v>1468</v>
      </c>
      <c r="H610" s="37" t="s">
        <v>95</v>
      </c>
      <c r="I610" s="37" t="s">
        <v>81</v>
      </c>
      <c r="J610" s="37" t="s">
        <v>82</v>
      </c>
      <c r="K610" s="37" t="s">
        <v>87</v>
      </c>
      <c r="L610" s="36" t="s">
        <v>84</v>
      </c>
      <c r="M610" s="34">
        <v>21741.26</v>
      </c>
      <c r="N610" s="34">
        <v>16022.95</v>
      </c>
      <c r="O610" s="34">
        <v>5718.31</v>
      </c>
      <c r="P610" s="34">
        <v>734.95</v>
      </c>
      <c r="Q610" s="34">
        <v>127.81</v>
      </c>
      <c r="R610" s="34">
        <v>105.65</v>
      </c>
      <c r="S610" s="34">
        <v>105.65</v>
      </c>
      <c r="T610" s="34">
        <v>4.3499999999999996</v>
      </c>
      <c r="U610" s="34">
        <v>119.52</v>
      </c>
      <c r="V610" s="34">
        <v>17.71</v>
      </c>
      <c r="W610" s="34">
        <v>0.64</v>
      </c>
      <c r="X610" s="34">
        <v>2.8</v>
      </c>
      <c r="Y610" s="35">
        <v>0.95689999999999997</v>
      </c>
      <c r="Z610" s="35">
        <v>3.6381999999999999</v>
      </c>
      <c r="AA610" s="35">
        <v>28.306799999999999</v>
      </c>
    </row>
    <row r="611" spans="1:27" ht="15.75" hidden="1" customHeight="1" x14ac:dyDescent="0.2">
      <c r="A611" s="2"/>
      <c r="B611" s="31">
        <v>606</v>
      </c>
      <c r="C611" s="36" t="s">
        <v>1462</v>
      </c>
      <c r="D611" s="36" t="s">
        <v>1463</v>
      </c>
      <c r="E611" s="36" t="s">
        <v>1464</v>
      </c>
      <c r="F611" s="36" t="s">
        <v>1469</v>
      </c>
      <c r="G611" s="36" t="s">
        <v>1470</v>
      </c>
      <c r="H611" s="37" t="s">
        <v>95</v>
      </c>
      <c r="I611" s="37" t="s">
        <v>81</v>
      </c>
      <c r="J611" s="37" t="s">
        <v>82</v>
      </c>
      <c r="K611" s="37" t="s">
        <v>87</v>
      </c>
      <c r="L611" s="36" t="s">
        <v>84</v>
      </c>
      <c r="M611" s="34">
        <v>5579.37</v>
      </c>
      <c r="N611" s="34">
        <v>2209.66</v>
      </c>
      <c r="O611" s="34">
        <v>3369.71</v>
      </c>
      <c r="P611" s="34">
        <v>681.99</v>
      </c>
      <c r="Q611" s="34">
        <v>153.15</v>
      </c>
      <c r="R611" s="34">
        <v>118</v>
      </c>
      <c r="S611" s="34">
        <v>118</v>
      </c>
      <c r="T611" s="34">
        <v>12.8</v>
      </c>
      <c r="U611" s="34">
        <v>183.32</v>
      </c>
      <c r="V611" s="34">
        <v>16.260000000000002</v>
      </c>
      <c r="W611" s="34">
        <v>1.1299999999999999</v>
      </c>
      <c r="X611" s="34">
        <v>0.66</v>
      </c>
      <c r="Y611" s="35">
        <v>4.2156000000000002</v>
      </c>
      <c r="Z611" s="35">
        <v>6.9798999999999998</v>
      </c>
      <c r="AA611" s="35">
        <v>34.487900000000003</v>
      </c>
    </row>
    <row r="612" spans="1:27" ht="15.75" hidden="1" customHeight="1" x14ac:dyDescent="0.2">
      <c r="A612" s="2"/>
      <c r="B612" s="31">
        <v>607</v>
      </c>
      <c r="C612" s="36" t="s">
        <v>1462</v>
      </c>
      <c r="D612" s="36" t="s">
        <v>1463</v>
      </c>
      <c r="E612" s="36" t="s">
        <v>1464</v>
      </c>
      <c r="F612" s="36" t="s">
        <v>1471</v>
      </c>
      <c r="G612" s="36" t="s">
        <v>1472</v>
      </c>
      <c r="H612" s="37" t="s">
        <v>95</v>
      </c>
      <c r="I612" s="37" t="s">
        <v>81</v>
      </c>
      <c r="J612" s="37" t="s">
        <v>82</v>
      </c>
      <c r="K612" s="37" t="s">
        <v>87</v>
      </c>
      <c r="L612" s="36" t="s">
        <v>84</v>
      </c>
      <c r="M612" s="34">
        <v>32428.69</v>
      </c>
      <c r="N612" s="34">
        <v>23528.29</v>
      </c>
      <c r="O612" s="34">
        <v>8664.4699999999993</v>
      </c>
      <c r="P612" s="34">
        <v>1625.52</v>
      </c>
      <c r="Q612" s="34">
        <v>163.01</v>
      </c>
      <c r="R612" s="34">
        <v>127.07</v>
      </c>
      <c r="S612" s="34">
        <v>127.07</v>
      </c>
      <c r="T612" s="34">
        <v>14.83</v>
      </c>
      <c r="U612" s="34">
        <v>631.39</v>
      </c>
      <c r="V612" s="34">
        <v>143.59</v>
      </c>
      <c r="W612" s="34">
        <v>3.37</v>
      </c>
      <c r="X612" s="34">
        <v>2.72</v>
      </c>
      <c r="Y612" s="35">
        <v>0.6341</v>
      </c>
      <c r="Z612" s="35">
        <v>2.3732000000000002</v>
      </c>
      <c r="AA612" s="35">
        <v>12.6495</v>
      </c>
    </row>
    <row r="613" spans="1:27" ht="15.75" hidden="1" customHeight="1" x14ac:dyDescent="0.2">
      <c r="A613" s="2"/>
      <c r="B613" s="31">
        <v>608</v>
      </c>
      <c r="C613" s="36" t="s">
        <v>1462</v>
      </c>
      <c r="D613" s="36" t="s">
        <v>1463</v>
      </c>
      <c r="E613" s="36" t="s">
        <v>1464</v>
      </c>
      <c r="F613" s="36" t="s">
        <v>1473</v>
      </c>
      <c r="G613" s="36" t="s">
        <v>1474</v>
      </c>
      <c r="H613" s="37" t="s">
        <v>95</v>
      </c>
      <c r="I613" s="37" t="s">
        <v>81</v>
      </c>
      <c r="J613" s="37" t="s">
        <v>82</v>
      </c>
      <c r="K613" s="37" t="s">
        <v>87</v>
      </c>
      <c r="L613" s="36" t="s">
        <v>84</v>
      </c>
      <c r="M613" s="34">
        <v>21056.97</v>
      </c>
      <c r="N613" s="34">
        <v>17349.490000000002</v>
      </c>
      <c r="O613" s="34">
        <v>3707.48</v>
      </c>
      <c r="P613" s="34">
        <v>819.08</v>
      </c>
      <c r="Q613" s="34">
        <v>52.36</v>
      </c>
      <c r="R613" s="34">
        <v>41.71</v>
      </c>
      <c r="S613" s="34">
        <v>41.71</v>
      </c>
      <c r="T613" s="34">
        <v>1.96</v>
      </c>
      <c r="U613" s="34">
        <v>84.23</v>
      </c>
      <c r="V613" s="34">
        <v>29.1</v>
      </c>
      <c r="W613" s="34">
        <v>0.68</v>
      </c>
      <c r="X613" s="34">
        <v>4.68</v>
      </c>
      <c r="Y613" s="35">
        <v>0.41360000000000002</v>
      </c>
      <c r="Z613" s="35">
        <v>2.3489</v>
      </c>
      <c r="AA613" s="35">
        <v>10.632099999999999</v>
      </c>
    </row>
    <row r="614" spans="1:27" ht="15.75" hidden="1" customHeight="1" x14ac:dyDescent="0.2">
      <c r="A614" s="2"/>
      <c r="B614" s="31">
        <v>609</v>
      </c>
      <c r="C614" s="36" t="s">
        <v>1462</v>
      </c>
      <c r="D614" s="36" t="s">
        <v>1463</v>
      </c>
      <c r="E614" s="36" t="s">
        <v>1464</v>
      </c>
      <c r="F614" s="36" t="s">
        <v>1475</v>
      </c>
      <c r="G614" s="36" t="s">
        <v>1476</v>
      </c>
      <c r="H614" s="37" t="s">
        <v>95</v>
      </c>
      <c r="I614" s="37" t="s">
        <v>81</v>
      </c>
      <c r="J614" s="37" t="s">
        <v>82</v>
      </c>
      <c r="K614" s="37" t="s">
        <v>87</v>
      </c>
      <c r="L614" s="36" t="s">
        <v>84</v>
      </c>
      <c r="M614" s="34">
        <v>23114.53</v>
      </c>
      <c r="N614" s="34">
        <v>16452.63</v>
      </c>
      <c r="O614" s="34">
        <v>6661.9</v>
      </c>
      <c r="P614" s="34">
        <v>799.66</v>
      </c>
      <c r="Q614" s="34">
        <v>48.14</v>
      </c>
      <c r="R614" s="34">
        <v>37.549999999999997</v>
      </c>
      <c r="S614" s="34">
        <v>37.549999999999997</v>
      </c>
      <c r="T614" s="34">
        <v>5.48</v>
      </c>
      <c r="U614" s="34">
        <v>333.88</v>
      </c>
      <c r="V614" s="34">
        <v>27.76</v>
      </c>
      <c r="W614" s="34">
        <v>0.46</v>
      </c>
      <c r="X614" s="34">
        <v>2.4700000000000002</v>
      </c>
      <c r="Y614" s="35">
        <v>0.47260000000000002</v>
      </c>
      <c r="Z614" s="35">
        <v>1.6398999999999999</v>
      </c>
      <c r="AA614" s="35">
        <v>13.6616</v>
      </c>
    </row>
    <row r="615" spans="1:27" ht="15.75" hidden="1" customHeight="1" x14ac:dyDescent="0.2">
      <c r="A615" s="2"/>
      <c r="B615" s="31">
        <v>610</v>
      </c>
      <c r="C615" s="36" t="s">
        <v>1462</v>
      </c>
      <c r="D615" s="36" t="s">
        <v>1463</v>
      </c>
      <c r="E615" s="36" t="s">
        <v>1464</v>
      </c>
      <c r="F615" s="36" t="s">
        <v>1477</v>
      </c>
      <c r="G615" s="36" t="s">
        <v>1478</v>
      </c>
      <c r="H615" s="37" t="s">
        <v>80</v>
      </c>
      <c r="I615" s="37" t="s">
        <v>81</v>
      </c>
      <c r="J615" s="37" t="s">
        <v>82</v>
      </c>
      <c r="K615" s="37" t="s">
        <v>87</v>
      </c>
      <c r="L615" s="36" t="s">
        <v>90</v>
      </c>
      <c r="M615" s="34">
        <v>10346.93</v>
      </c>
      <c r="N615" s="34">
        <v>440.92</v>
      </c>
      <c r="O615" s="34">
        <v>3231.64</v>
      </c>
      <c r="P615" s="34">
        <v>352.97</v>
      </c>
      <c r="Q615" s="34">
        <v>80.040000000000006</v>
      </c>
      <c r="R615" s="34">
        <v>80.040000000000006</v>
      </c>
      <c r="S615" s="34">
        <v>80.040000000000006</v>
      </c>
      <c r="T615" s="34">
        <v>4.53</v>
      </c>
      <c r="U615" s="34">
        <v>221.16</v>
      </c>
      <c r="V615" s="34">
        <v>177.54</v>
      </c>
      <c r="W615" s="34">
        <v>3.64</v>
      </c>
      <c r="X615" s="34">
        <v>0.14000000000000001</v>
      </c>
      <c r="Y615" s="35">
        <v>0.6472</v>
      </c>
      <c r="Z615" s="35">
        <v>2.0709</v>
      </c>
      <c r="AA615" s="35">
        <v>18.973199999999999</v>
      </c>
    </row>
    <row r="616" spans="1:27" ht="15.75" hidden="1" customHeight="1" x14ac:dyDescent="0.2">
      <c r="A616" s="2"/>
      <c r="B616" s="31">
        <v>611</v>
      </c>
      <c r="C616" s="36" t="s">
        <v>1462</v>
      </c>
      <c r="D616" s="36" t="s">
        <v>1463</v>
      </c>
      <c r="E616" s="36" t="s">
        <v>1464</v>
      </c>
      <c r="F616" s="36" t="s">
        <v>1479</v>
      </c>
      <c r="G616" s="36" t="s">
        <v>1480</v>
      </c>
      <c r="H616" s="37" t="s">
        <v>95</v>
      </c>
      <c r="I616" s="37" t="s">
        <v>81</v>
      </c>
      <c r="J616" s="37" t="s">
        <v>82</v>
      </c>
      <c r="K616" s="37" t="s">
        <v>87</v>
      </c>
      <c r="L616" s="36" t="s">
        <v>84</v>
      </c>
      <c r="M616" s="34">
        <v>1504118.98</v>
      </c>
      <c r="N616" s="34">
        <v>1233079.98</v>
      </c>
      <c r="O616" s="34">
        <v>261800.91</v>
      </c>
      <c r="P616" s="34">
        <v>51172.58</v>
      </c>
      <c r="Q616" s="34">
        <v>35793.660000000003</v>
      </c>
      <c r="R616" s="34">
        <v>29022.97</v>
      </c>
      <c r="S616" s="34">
        <v>29016.41</v>
      </c>
      <c r="T616" s="34">
        <v>462.19</v>
      </c>
      <c r="U616" s="34">
        <v>2145.17</v>
      </c>
      <c r="V616" s="34">
        <v>16.5</v>
      </c>
      <c r="W616" s="34">
        <v>3.55</v>
      </c>
      <c r="X616" s="34">
        <v>4.71</v>
      </c>
      <c r="Y616" s="35">
        <v>3.7879999999999998</v>
      </c>
      <c r="Z616" s="35">
        <v>21.763300000000001</v>
      </c>
      <c r="AA616" s="35">
        <v>111.3419</v>
      </c>
    </row>
    <row r="617" spans="1:27" ht="15.75" hidden="1" customHeight="1" x14ac:dyDescent="0.2">
      <c r="A617" s="2"/>
      <c r="B617" s="31">
        <v>612</v>
      </c>
      <c r="C617" s="36" t="s">
        <v>1462</v>
      </c>
      <c r="D617" s="36" t="s">
        <v>1463</v>
      </c>
      <c r="E617" s="36" t="s">
        <v>1464</v>
      </c>
      <c r="F617" s="36" t="s">
        <v>1481</v>
      </c>
      <c r="G617" s="36" t="s">
        <v>1482</v>
      </c>
      <c r="H617" s="37" t="s">
        <v>95</v>
      </c>
      <c r="I617" s="37" t="s">
        <v>81</v>
      </c>
      <c r="J617" s="37" t="s">
        <v>82</v>
      </c>
      <c r="K617" s="37" t="s">
        <v>87</v>
      </c>
      <c r="L617" s="36" t="s">
        <v>84</v>
      </c>
      <c r="M617" s="34">
        <v>14173.36</v>
      </c>
      <c r="N617" s="34">
        <v>6894.07</v>
      </c>
      <c r="O617" s="34">
        <v>7279.29</v>
      </c>
      <c r="P617" s="34">
        <v>852.58</v>
      </c>
      <c r="Q617" s="34">
        <v>292.87</v>
      </c>
      <c r="R617" s="34">
        <v>227.07</v>
      </c>
      <c r="S617" s="34">
        <v>227.07</v>
      </c>
      <c r="T617" s="34">
        <v>22.71</v>
      </c>
      <c r="U617" s="34">
        <v>334.98</v>
      </c>
      <c r="V617" s="34">
        <v>65.38</v>
      </c>
      <c r="W617" s="34">
        <v>4.43</v>
      </c>
      <c r="X617" s="34">
        <v>0.95</v>
      </c>
      <c r="Y617" s="35">
        <v>3.4824999999999999</v>
      </c>
      <c r="Z617" s="35">
        <v>6.7807000000000004</v>
      </c>
      <c r="AA617" s="35">
        <v>57.892800000000001</v>
      </c>
    </row>
    <row r="618" spans="1:27" ht="15.75" hidden="1" customHeight="1" x14ac:dyDescent="0.2">
      <c r="A618" s="2"/>
      <c r="B618" s="31">
        <v>613</v>
      </c>
      <c r="C618" s="36" t="s">
        <v>1462</v>
      </c>
      <c r="D618" s="36" t="s">
        <v>1463</v>
      </c>
      <c r="E618" s="36" t="s">
        <v>1464</v>
      </c>
      <c r="F618" s="36" t="s">
        <v>1483</v>
      </c>
      <c r="G618" s="36" t="s">
        <v>1484</v>
      </c>
      <c r="H618" s="37" t="s">
        <v>95</v>
      </c>
      <c r="I618" s="37" t="s">
        <v>81</v>
      </c>
      <c r="J618" s="37" t="s">
        <v>82</v>
      </c>
      <c r="K618" s="37" t="s">
        <v>87</v>
      </c>
      <c r="L618" s="36" t="s">
        <v>84</v>
      </c>
      <c r="M618" s="34">
        <v>83629.81</v>
      </c>
      <c r="N618" s="34">
        <v>75261.59</v>
      </c>
      <c r="O618" s="34">
        <v>8368.2199999999993</v>
      </c>
      <c r="P618" s="34">
        <v>2798.53</v>
      </c>
      <c r="Q618" s="34">
        <v>505.96</v>
      </c>
      <c r="R618" s="34">
        <v>389.67</v>
      </c>
      <c r="S618" s="34">
        <v>389.32</v>
      </c>
      <c r="T618" s="34">
        <v>-14.95</v>
      </c>
      <c r="U618" s="34">
        <v>44.58</v>
      </c>
      <c r="V618" s="34">
        <v>-5.0199999999999996</v>
      </c>
      <c r="W618" s="34">
        <v>1.68</v>
      </c>
      <c r="X618" s="34">
        <v>8.99</v>
      </c>
      <c r="Y618" s="35">
        <v>-3.3557000000000001</v>
      </c>
      <c r="Z618" s="35">
        <v>-33.536000000000001</v>
      </c>
      <c r="AA618" s="35">
        <v>-100.2801</v>
      </c>
    </row>
    <row r="619" spans="1:27" ht="15.75" hidden="1" customHeight="1" x14ac:dyDescent="0.2">
      <c r="A619" s="2"/>
      <c r="B619" s="31">
        <v>614</v>
      </c>
      <c r="C619" s="36" t="s">
        <v>1462</v>
      </c>
      <c r="D619" s="36" t="s">
        <v>1463</v>
      </c>
      <c r="E619" s="36" t="s">
        <v>1464</v>
      </c>
      <c r="F619" s="36" t="s">
        <v>1485</v>
      </c>
      <c r="G619" s="36" t="s">
        <v>1486</v>
      </c>
      <c r="H619" s="37" t="s">
        <v>95</v>
      </c>
      <c r="I619" s="37" t="s">
        <v>81</v>
      </c>
      <c r="J619" s="37" t="s">
        <v>82</v>
      </c>
      <c r="K619" s="37" t="s">
        <v>87</v>
      </c>
      <c r="L619" s="36" t="s">
        <v>84</v>
      </c>
      <c r="M619" s="34">
        <v>16322.13</v>
      </c>
      <c r="N619" s="34">
        <v>10996.73</v>
      </c>
      <c r="O619" s="34">
        <v>5325.4</v>
      </c>
      <c r="P619" s="34">
        <v>625.04</v>
      </c>
      <c r="Q619" s="34">
        <v>176.88</v>
      </c>
      <c r="R619" s="34">
        <v>137.97</v>
      </c>
      <c r="S619" s="34">
        <v>137.97</v>
      </c>
      <c r="T619" s="34">
        <v>92.51</v>
      </c>
      <c r="U619" s="34">
        <v>1315.18</v>
      </c>
      <c r="V619" s="34">
        <v>22.92</v>
      </c>
      <c r="W619" s="34">
        <v>1.61</v>
      </c>
      <c r="X619" s="34">
        <v>2.06</v>
      </c>
      <c r="Y619" s="35">
        <v>2.3182</v>
      </c>
      <c r="Z619" s="35">
        <v>7.1052</v>
      </c>
      <c r="AA619" s="35">
        <v>60.5366</v>
      </c>
    </row>
    <row r="620" spans="1:27" ht="15.75" hidden="1" customHeight="1" x14ac:dyDescent="0.2">
      <c r="A620" s="2"/>
      <c r="B620" s="31">
        <v>615</v>
      </c>
      <c r="C620" s="36" t="s">
        <v>1462</v>
      </c>
      <c r="D620" s="36" t="s">
        <v>1463</v>
      </c>
      <c r="E620" s="36" t="s">
        <v>1464</v>
      </c>
      <c r="F620" s="36" t="s">
        <v>1487</v>
      </c>
      <c r="G620" s="36" t="s">
        <v>1488</v>
      </c>
      <c r="H620" s="37" t="s">
        <v>95</v>
      </c>
      <c r="I620" s="37" t="s">
        <v>81</v>
      </c>
      <c r="J620" s="37" t="s">
        <v>82</v>
      </c>
      <c r="K620" s="37" t="s">
        <v>87</v>
      </c>
      <c r="L620" s="36" t="s">
        <v>84</v>
      </c>
      <c r="M620" s="34">
        <v>1201653.27</v>
      </c>
      <c r="N620" s="34">
        <v>1036465.32</v>
      </c>
      <c r="O620" s="34">
        <v>165187.94</v>
      </c>
      <c r="P620" s="34">
        <v>41009.800000000003</v>
      </c>
      <c r="Q620" s="34">
        <v>12317.04</v>
      </c>
      <c r="R620" s="34">
        <v>10166.02</v>
      </c>
      <c r="S620" s="34">
        <v>10094.040000000001</v>
      </c>
      <c r="T620" s="34">
        <v>559.45000000000005</v>
      </c>
      <c r="U620" s="34">
        <v>4428.95</v>
      </c>
      <c r="V620" s="34">
        <v>7.33</v>
      </c>
      <c r="W620" s="34">
        <v>0.93</v>
      </c>
      <c r="X620" s="34">
        <v>6.27</v>
      </c>
      <c r="Y620" s="35">
        <v>1.7363999999999999</v>
      </c>
      <c r="Z620" s="35">
        <v>12.6317</v>
      </c>
      <c r="AA620" s="35">
        <v>50.880600000000001</v>
      </c>
    </row>
    <row r="621" spans="1:27" ht="15.75" hidden="1" customHeight="1" x14ac:dyDescent="0.2">
      <c r="A621" s="2"/>
      <c r="B621" s="31">
        <v>616</v>
      </c>
      <c r="C621" s="36" t="s">
        <v>1462</v>
      </c>
      <c r="D621" s="36" t="s">
        <v>1463</v>
      </c>
      <c r="E621" s="36" t="s">
        <v>1464</v>
      </c>
      <c r="F621" s="36" t="s">
        <v>1489</v>
      </c>
      <c r="G621" s="36" t="s">
        <v>1490</v>
      </c>
      <c r="H621" s="37" t="s">
        <v>95</v>
      </c>
      <c r="I621" s="37" t="s">
        <v>81</v>
      </c>
      <c r="J621" s="37" t="s">
        <v>82</v>
      </c>
      <c r="K621" s="37" t="s">
        <v>87</v>
      </c>
      <c r="L621" s="36" t="s">
        <v>84</v>
      </c>
      <c r="M621" s="34">
        <v>2106370.9500000002</v>
      </c>
      <c r="N621" s="34">
        <v>1784298.68</v>
      </c>
      <c r="O621" s="34">
        <v>322072.26</v>
      </c>
      <c r="P621" s="34">
        <v>117258.12</v>
      </c>
      <c r="Q621" s="34">
        <v>34744.199999999997</v>
      </c>
      <c r="R621" s="34">
        <v>26533.15</v>
      </c>
      <c r="S621" s="34">
        <v>26276.7</v>
      </c>
      <c r="T621" s="34">
        <v>374.31</v>
      </c>
      <c r="U621" s="34">
        <v>2125.06</v>
      </c>
      <c r="V621" s="34">
        <v>10.42</v>
      </c>
      <c r="W621" s="34">
        <v>1.84</v>
      </c>
      <c r="X621" s="34">
        <v>5.54</v>
      </c>
      <c r="Y621" s="35">
        <v>2.6932</v>
      </c>
      <c r="Z621" s="35">
        <v>17.614000000000001</v>
      </c>
      <c r="AA621" s="35">
        <v>48.380200000000002</v>
      </c>
    </row>
    <row r="622" spans="1:27" ht="15.75" hidden="1" customHeight="1" x14ac:dyDescent="0.2">
      <c r="A622" s="2"/>
      <c r="B622" s="31">
        <v>617</v>
      </c>
      <c r="C622" s="36" t="s">
        <v>1462</v>
      </c>
      <c r="D622" s="36" t="s">
        <v>1463</v>
      </c>
      <c r="E622" s="36" t="s">
        <v>1464</v>
      </c>
      <c r="F622" s="36" t="s">
        <v>1491</v>
      </c>
      <c r="G622" s="36" t="s">
        <v>1492</v>
      </c>
      <c r="H622" s="37" t="s">
        <v>95</v>
      </c>
      <c r="I622" s="37" t="s">
        <v>81</v>
      </c>
      <c r="J622" s="37" t="s">
        <v>82</v>
      </c>
      <c r="K622" s="37" t="s">
        <v>87</v>
      </c>
      <c r="L622" s="36" t="s">
        <v>84</v>
      </c>
      <c r="M622" s="34">
        <v>9328.91</v>
      </c>
      <c r="N622" s="34">
        <v>5934.85</v>
      </c>
      <c r="O622" s="34">
        <v>3394.06</v>
      </c>
      <c r="P622" s="34">
        <v>903.7</v>
      </c>
      <c r="Q622" s="34">
        <v>93.84</v>
      </c>
      <c r="R622" s="34">
        <v>73.19</v>
      </c>
      <c r="S622" s="34">
        <v>73.19</v>
      </c>
      <c r="T622" s="34">
        <v>35.950000000000003</v>
      </c>
      <c r="U622" s="34">
        <v>932.95</v>
      </c>
      <c r="V622" s="34">
        <v>133.22999999999999</v>
      </c>
      <c r="W622" s="34">
        <v>5.13</v>
      </c>
      <c r="X622" s="34">
        <v>1.75</v>
      </c>
      <c r="Y622" s="35">
        <v>1.4161999999999999</v>
      </c>
      <c r="Z622" s="35">
        <v>3.8925000000000001</v>
      </c>
      <c r="AA622" s="35">
        <v>14.619300000000001</v>
      </c>
    </row>
    <row r="623" spans="1:27" ht="15.75" hidden="1" customHeight="1" x14ac:dyDescent="0.2">
      <c r="A623" s="2"/>
      <c r="B623" s="31">
        <v>618</v>
      </c>
      <c r="C623" s="36" t="s">
        <v>1462</v>
      </c>
      <c r="D623" s="36" t="s">
        <v>1463</v>
      </c>
      <c r="E623" s="36" t="s">
        <v>1464</v>
      </c>
      <c r="F623" s="36" t="s">
        <v>1493</v>
      </c>
      <c r="G623" s="36" t="s">
        <v>1494</v>
      </c>
      <c r="H623" s="37" t="s">
        <v>95</v>
      </c>
      <c r="I623" s="37" t="s">
        <v>81</v>
      </c>
      <c r="J623" s="37" t="s">
        <v>82</v>
      </c>
      <c r="K623" s="37" t="s">
        <v>104</v>
      </c>
      <c r="L623" s="36" t="s">
        <v>90</v>
      </c>
      <c r="M623" s="34">
        <v>484807.26</v>
      </c>
      <c r="N623" s="34">
        <v>419012.14</v>
      </c>
      <c r="O623" s="34">
        <v>33926.019999999997</v>
      </c>
      <c r="P623" s="34">
        <v>17556.349999999999</v>
      </c>
      <c r="Q623" s="34">
        <v>2130.38</v>
      </c>
      <c r="R623" s="34">
        <v>1706.39</v>
      </c>
      <c r="S623" s="34">
        <v>1706.39</v>
      </c>
      <c r="T623" s="34">
        <v>228.86</v>
      </c>
      <c r="U623" s="34">
        <v>2417.34</v>
      </c>
      <c r="V623" s="34">
        <v>5.61</v>
      </c>
      <c r="W623" s="34">
        <v>0.53</v>
      </c>
      <c r="X623" s="34">
        <v>12.35</v>
      </c>
      <c r="Y623" s="35">
        <v>0.66249999999999998</v>
      </c>
      <c r="Z623" s="35">
        <v>9.4672000000000001</v>
      </c>
      <c r="AA623" s="35">
        <v>18.294599999999999</v>
      </c>
    </row>
    <row r="624" spans="1:27" ht="15.75" hidden="1" customHeight="1" x14ac:dyDescent="0.2">
      <c r="A624" s="2"/>
      <c r="B624" s="31">
        <v>619</v>
      </c>
      <c r="C624" s="36" t="s">
        <v>1462</v>
      </c>
      <c r="D624" s="36" t="s">
        <v>1463</v>
      </c>
      <c r="E624" s="36" t="s">
        <v>1464</v>
      </c>
      <c r="F624" s="36" t="s">
        <v>1495</v>
      </c>
      <c r="G624" s="36" t="s">
        <v>1496</v>
      </c>
      <c r="H624" s="37" t="s">
        <v>95</v>
      </c>
      <c r="I624" s="37" t="s">
        <v>81</v>
      </c>
      <c r="J624" s="37" t="s">
        <v>82</v>
      </c>
      <c r="K624" s="37" t="s">
        <v>87</v>
      </c>
      <c r="L624" s="36" t="s">
        <v>84</v>
      </c>
      <c r="M624" s="34">
        <v>17961.96</v>
      </c>
      <c r="N624" s="34">
        <v>14071.52</v>
      </c>
      <c r="O624" s="34">
        <v>3890.44</v>
      </c>
      <c r="P624" s="34">
        <v>1651.32</v>
      </c>
      <c r="Q624" s="34">
        <v>275.05</v>
      </c>
      <c r="R624" s="34">
        <v>276.05</v>
      </c>
      <c r="S624" s="34">
        <v>276.05</v>
      </c>
      <c r="T624" s="34">
        <v>22.63</v>
      </c>
      <c r="U624" s="34">
        <v>291.41000000000003</v>
      </c>
      <c r="V624" s="34">
        <v>14.67</v>
      </c>
      <c r="W624" s="34">
        <v>1.1399999999999999</v>
      </c>
      <c r="X624" s="34">
        <v>3.62</v>
      </c>
      <c r="Y624" s="35">
        <v>1.6818</v>
      </c>
      <c r="Z624" s="35">
        <v>7.7648999999999999</v>
      </c>
      <c r="AA624" s="35">
        <v>18.293700000000001</v>
      </c>
    </row>
    <row r="625" spans="1:27" ht="15.75" hidden="1" customHeight="1" x14ac:dyDescent="0.2">
      <c r="A625" s="2"/>
      <c r="B625" s="31">
        <v>620</v>
      </c>
      <c r="C625" s="36" t="s">
        <v>1462</v>
      </c>
      <c r="D625" s="36" t="s">
        <v>1463</v>
      </c>
      <c r="E625" s="36" t="s">
        <v>1464</v>
      </c>
      <c r="F625" s="36" t="s">
        <v>1497</v>
      </c>
      <c r="G625" s="36" t="s">
        <v>1498</v>
      </c>
      <c r="H625" s="37" t="s">
        <v>95</v>
      </c>
      <c r="I625" s="37" t="s">
        <v>81</v>
      </c>
      <c r="J625" s="37" t="s">
        <v>82</v>
      </c>
      <c r="K625" s="37" t="s">
        <v>87</v>
      </c>
      <c r="L625" s="36" t="s">
        <v>84</v>
      </c>
      <c r="M625" s="34">
        <v>40299.96</v>
      </c>
      <c r="N625" s="34">
        <v>36343.85</v>
      </c>
      <c r="O625" s="34">
        <v>3956.11</v>
      </c>
      <c r="P625" s="34">
        <v>1562.33</v>
      </c>
      <c r="Q625" s="34">
        <v>112.86</v>
      </c>
      <c r="R625" s="34">
        <v>112.86</v>
      </c>
      <c r="S625" s="34">
        <v>112.86</v>
      </c>
      <c r="T625" s="34">
        <v>1.61</v>
      </c>
      <c r="U625" s="34">
        <v>220.69</v>
      </c>
      <c r="V625" s="34">
        <v>105.41</v>
      </c>
      <c r="W625" s="34">
        <v>0.77</v>
      </c>
      <c r="X625" s="34">
        <v>9.19</v>
      </c>
      <c r="Y625" s="35">
        <v>7.2499999999999995E-2</v>
      </c>
      <c r="Z625" s="35">
        <v>0.73809999999999998</v>
      </c>
      <c r="AA625" s="35">
        <v>1.8691</v>
      </c>
    </row>
    <row r="626" spans="1:27" ht="15.75" hidden="1" customHeight="1" x14ac:dyDescent="0.2">
      <c r="A626" s="2"/>
      <c r="B626" s="31">
        <v>621</v>
      </c>
      <c r="C626" s="36" t="s">
        <v>1462</v>
      </c>
      <c r="D626" s="36" t="s">
        <v>1463</v>
      </c>
      <c r="E626" s="36" t="s">
        <v>1464</v>
      </c>
      <c r="F626" s="36" t="s">
        <v>1499</v>
      </c>
      <c r="G626" s="36" t="s">
        <v>1500</v>
      </c>
      <c r="H626" s="37" t="s">
        <v>95</v>
      </c>
      <c r="I626" s="37" t="s">
        <v>81</v>
      </c>
      <c r="J626" s="37" t="s">
        <v>82</v>
      </c>
      <c r="K626" s="37" t="s">
        <v>87</v>
      </c>
      <c r="L626" s="36" t="s">
        <v>84</v>
      </c>
      <c r="M626" s="34">
        <v>251547.7</v>
      </c>
      <c r="N626" s="34">
        <v>198897.04</v>
      </c>
      <c r="O626" s="34">
        <v>52650.66</v>
      </c>
      <c r="P626" s="34">
        <v>12180.77</v>
      </c>
      <c r="Q626" s="34">
        <v>2145.6999999999998</v>
      </c>
      <c r="R626" s="34">
        <v>1681.1</v>
      </c>
      <c r="S626" s="34">
        <v>1633.38</v>
      </c>
      <c r="T626" s="34">
        <v>343.57</v>
      </c>
      <c r="U626" s="34">
        <v>5441.47</v>
      </c>
      <c r="V626" s="34">
        <v>6.93</v>
      </c>
      <c r="W626" s="34">
        <v>0.44</v>
      </c>
      <c r="X626" s="34">
        <v>3.78</v>
      </c>
      <c r="Y626" s="35">
        <v>1.3349</v>
      </c>
      <c r="Z626" s="35">
        <v>6.3776000000000002</v>
      </c>
      <c r="AA626" s="35">
        <v>27.566800000000001</v>
      </c>
    </row>
    <row r="627" spans="1:27" ht="15.75" hidden="1" customHeight="1" x14ac:dyDescent="0.2">
      <c r="A627" s="2"/>
      <c r="B627" s="31">
        <v>622</v>
      </c>
      <c r="C627" s="36" t="s">
        <v>1462</v>
      </c>
      <c r="D627" s="36" t="s">
        <v>1463</v>
      </c>
      <c r="E627" s="36" t="s">
        <v>1464</v>
      </c>
      <c r="F627" s="36" t="s">
        <v>1501</v>
      </c>
      <c r="G627" s="36" t="s">
        <v>1502</v>
      </c>
      <c r="H627" s="37" t="s">
        <v>95</v>
      </c>
      <c r="I627" s="37" t="s">
        <v>81</v>
      </c>
      <c r="J627" s="37" t="s">
        <v>82</v>
      </c>
      <c r="K627" s="37" t="s">
        <v>87</v>
      </c>
      <c r="L627" s="36" t="s">
        <v>84</v>
      </c>
      <c r="M627" s="34">
        <v>8538.1299999999992</v>
      </c>
      <c r="N627" s="34">
        <v>6824.61</v>
      </c>
      <c r="O627" s="34">
        <v>1713.52</v>
      </c>
      <c r="P627" s="34">
        <v>281.38</v>
      </c>
      <c r="Q627" s="34">
        <v>6.3</v>
      </c>
      <c r="R627" s="34">
        <v>6.3</v>
      </c>
      <c r="S627" s="34">
        <v>6.3</v>
      </c>
      <c r="T627" s="34">
        <v>0.81</v>
      </c>
      <c r="U627" s="34">
        <v>33.03</v>
      </c>
      <c r="V627" s="34">
        <v>34.53</v>
      </c>
      <c r="W627" s="34">
        <v>0.85</v>
      </c>
      <c r="X627" s="34">
        <v>3.98</v>
      </c>
      <c r="Y627" s="35">
        <v>0.49270000000000003</v>
      </c>
      <c r="Z627" s="35">
        <v>2.4550000000000001</v>
      </c>
      <c r="AA627" s="35">
        <v>14.950100000000001</v>
      </c>
    </row>
    <row r="628" spans="1:27" ht="15.75" hidden="1" customHeight="1" x14ac:dyDescent="0.2">
      <c r="A628" s="2"/>
      <c r="B628" s="31">
        <v>623</v>
      </c>
      <c r="C628" s="36" t="s">
        <v>1462</v>
      </c>
      <c r="D628" s="36" t="s">
        <v>1463</v>
      </c>
      <c r="E628" s="36" t="s">
        <v>1464</v>
      </c>
      <c r="F628" s="36" t="s">
        <v>1503</v>
      </c>
      <c r="G628" s="36" t="s">
        <v>1504</v>
      </c>
      <c r="H628" s="37" t="s">
        <v>95</v>
      </c>
      <c r="I628" s="37" t="s">
        <v>81</v>
      </c>
      <c r="J628" s="37" t="s">
        <v>82</v>
      </c>
      <c r="K628" s="37" t="s">
        <v>87</v>
      </c>
      <c r="L628" s="36" t="s">
        <v>84</v>
      </c>
      <c r="M628" s="34">
        <v>9209.3700000000008</v>
      </c>
      <c r="N628" s="34">
        <v>5642.84</v>
      </c>
      <c r="O628" s="34">
        <v>3566.53</v>
      </c>
      <c r="P628" s="34">
        <v>373.42</v>
      </c>
      <c r="Q628" s="34">
        <v>137.75</v>
      </c>
      <c r="R628" s="34">
        <v>107.45</v>
      </c>
      <c r="S628" s="34">
        <v>107.45</v>
      </c>
      <c r="T628" s="34">
        <v>10.38</v>
      </c>
      <c r="U628" s="34">
        <v>150.29</v>
      </c>
      <c r="V628" s="34">
        <v>10.79</v>
      </c>
      <c r="W628" s="34">
        <v>0.75</v>
      </c>
      <c r="X628" s="34">
        <v>1.58</v>
      </c>
      <c r="Y628" s="35">
        <v>2.7025999999999999</v>
      </c>
      <c r="Z628" s="35">
        <v>6.9786999999999999</v>
      </c>
      <c r="AA628" s="35">
        <v>66.652699999999996</v>
      </c>
    </row>
    <row r="629" spans="1:27" ht="15.75" hidden="1" customHeight="1" x14ac:dyDescent="0.2">
      <c r="A629" s="2"/>
      <c r="B629" s="31">
        <v>624</v>
      </c>
      <c r="C629" s="36" t="s">
        <v>1462</v>
      </c>
      <c r="D629" s="36" t="s">
        <v>1463</v>
      </c>
      <c r="E629" s="36" t="s">
        <v>1464</v>
      </c>
      <c r="F629" s="36" t="s">
        <v>1505</v>
      </c>
      <c r="G629" s="36" t="s">
        <v>1506</v>
      </c>
      <c r="H629" s="37" t="s">
        <v>95</v>
      </c>
      <c r="I629" s="37" t="s">
        <v>81</v>
      </c>
      <c r="J629" s="37" t="s">
        <v>82</v>
      </c>
      <c r="K629" s="37" t="s">
        <v>87</v>
      </c>
      <c r="L629" s="36" t="s">
        <v>84</v>
      </c>
      <c r="M629" s="34">
        <v>25978.68</v>
      </c>
      <c r="N629" s="34">
        <v>22321.11</v>
      </c>
      <c r="O629" s="34">
        <v>3657.57</v>
      </c>
      <c r="P629" s="34">
        <v>897.42</v>
      </c>
      <c r="Q629" s="34">
        <v>31.89</v>
      </c>
      <c r="R629" s="34">
        <v>24.7</v>
      </c>
      <c r="S629" s="34">
        <v>24.7</v>
      </c>
      <c r="T629" s="34">
        <v>6.14</v>
      </c>
      <c r="U629" s="34">
        <v>602.23</v>
      </c>
      <c r="V629" s="34">
        <v>729.76</v>
      </c>
      <c r="W629" s="34">
        <v>7.44</v>
      </c>
      <c r="X629" s="34">
        <v>6.1</v>
      </c>
      <c r="Y629" s="35">
        <v>0.14499999999999999</v>
      </c>
      <c r="Z629" s="35">
        <v>1.0297000000000001</v>
      </c>
      <c r="AA629" s="35">
        <v>4.1966000000000001</v>
      </c>
    </row>
    <row r="630" spans="1:27" ht="15.75" hidden="1" customHeight="1" x14ac:dyDescent="0.2">
      <c r="A630" s="2"/>
      <c r="B630" s="31">
        <v>625</v>
      </c>
      <c r="C630" s="36" t="s">
        <v>1462</v>
      </c>
      <c r="D630" s="36" t="s">
        <v>1463</v>
      </c>
      <c r="E630" s="36" t="s">
        <v>1464</v>
      </c>
      <c r="F630" s="36" t="s">
        <v>1507</v>
      </c>
      <c r="G630" s="36" t="s">
        <v>1508</v>
      </c>
      <c r="H630" s="37" t="s">
        <v>95</v>
      </c>
      <c r="I630" s="37" t="s">
        <v>81</v>
      </c>
      <c r="J630" s="37" t="s">
        <v>82</v>
      </c>
      <c r="K630" s="37" t="s">
        <v>87</v>
      </c>
      <c r="L630" s="36" t="s">
        <v>84</v>
      </c>
      <c r="M630" s="34">
        <v>215920.33</v>
      </c>
      <c r="N630" s="34">
        <v>185045.79</v>
      </c>
      <c r="O630" s="34">
        <v>19984.13</v>
      </c>
      <c r="P630" s="34">
        <v>9152.3799999999992</v>
      </c>
      <c r="Q630" s="34">
        <v>856.2</v>
      </c>
      <c r="R630" s="34">
        <v>712.07</v>
      </c>
      <c r="S630" s="34">
        <v>492.94</v>
      </c>
      <c r="T630" s="34">
        <v>108.02</v>
      </c>
      <c r="U630" s="34">
        <v>1918.56</v>
      </c>
      <c r="V630" s="34">
        <v>7.08</v>
      </c>
      <c r="W630" s="34">
        <v>0.4</v>
      </c>
      <c r="X630" s="34">
        <v>9.26</v>
      </c>
      <c r="Y630" s="35">
        <v>0.52639999999999998</v>
      </c>
      <c r="Z630" s="35">
        <v>5.6871999999999998</v>
      </c>
      <c r="AA630" s="35">
        <v>12.417999999999999</v>
      </c>
    </row>
    <row r="631" spans="1:27" ht="15.75" hidden="1" customHeight="1" x14ac:dyDescent="0.2">
      <c r="A631" s="2"/>
      <c r="B631" s="31">
        <v>626</v>
      </c>
      <c r="C631" s="36" t="s">
        <v>1462</v>
      </c>
      <c r="D631" s="36" t="s">
        <v>1463</v>
      </c>
      <c r="E631" s="36" t="s">
        <v>1464</v>
      </c>
      <c r="F631" s="36" t="s">
        <v>1509</v>
      </c>
      <c r="G631" s="36" t="s">
        <v>1510</v>
      </c>
      <c r="H631" s="37" t="s">
        <v>95</v>
      </c>
      <c r="I631" s="37" t="s">
        <v>81</v>
      </c>
      <c r="J631" s="37" t="s">
        <v>82</v>
      </c>
      <c r="K631" s="37" t="s">
        <v>87</v>
      </c>
      <c r="L631" s="36" t="s">
        <v>84</v>
      </c>
      <c r="M631" s="34">
        <v>118155.55</v>
      </c>
      <c r="N631" s="34">
        <v>88640.57</v>
      </c>
      <c r="O631" s="34">
        <v>14766.12</v>
      </c>
      <c r="P631" s="34">
        <v>4683.21</v>
      </c>
      <c r="Q631" s="34">
        <v>1058.44</v>
      </c>
      <c r="R631" s="34">
        <v>811.11</v>
      </c>
      <c r="S631" s="34">
        <v>707.61</v>
      </c>
      <c r="T631" s="34">
        <v>98.97</v>
      </c>
      <c r="U631" s="34">
        <v>983.39</v>
      </c>
      <c r="V631" s="34">
        <v>5.15</v>
      </c>
      <c r="W631" s="34">
        <v>0.52</v>
      </c>
      <c r="X631" s="34">
        <v>6</v>
      </c>
      <c r="Y631" s="35">
        <v>1.2577</v>
      </c>
      <c r="Z631" s="35">
        <v>10.064</v>
      </c>
      <c r="AA631" s="35">
        <v>31.7318</v>
      </c>
    </row>
    <row r="632" spans="1:27" ht="15.75" hidden="1" customHeight="1" x14ac:dyDescent="0.2">
      <c r="A632" s="2"/>
      <c r="B632" s="31">
        <v>627</v>
      </c>
      <c r="C632" s="36" t="s">
        <v>1462</v>
      </c>
      <c r="D632" s="36" t="s">
        <v>1463</v>
      </c>
      <c r="E632" s="36" t="s">
        <v>1464</v>
      </c>
      <c r="F632" s="36" t="s">
        <v>1511</v>
      </c>
      <c r="G632" s="36" t="s">
        <v>1512</v>
      </c>
      <c r="H632" s="37" t="s">
        <v>95</v>
      </c>
      <c r="I632" s="37" t="s">
        <v>81</v>
      </c>
      <c r="J632" s="37" t="s">
        <v>82</v>
      </c>
      <c r="K632" s="37" t="s">
        <v>87</v>
      </c>
      <c r="L632" s="36" t="s">
        <v>84</v>
      </c>
      <c r="M632" s="34">
        <v>11777.57</v>
      </c>
      <c r="N632" s="34">
        <v>7015.95</v>
      </c>
      <c r="O632" s="34">
        <v>4761.62</v>
      </c>
      <c r="P632" s="34">
        <v>368.94</v>
      </c>
      <c r="Q632" s="34">
        <v>22.92</v>
      </c>
      <c r="R632" s="34">
        <v>10.63</v>
      </c>
      <c r="S632" s="34">
        <v>10.63</v>
      </c>
      <c r="T632" s="34">
        <v>0.45</v>
      </c>
      <c r="U632" s="34">
        <v>135.43</v>
      </c>
      <c r="V632" s="34">
        <v>149.18</v>
      </c>
      <c r="W632" s="34">
        <v>0.49</v>
      </c>
      <c r="X632" s="34">
        <v>1.47</v>
      </c>
      <c r="Y632" s="35">
        <v>0.1341</v>
      </c>
      <c r="Z632" s="35">
        <v>0.33160000000000001</v>
      </c>
      <c r="AA632" s="35">
        <v>4.2797999999999998</v>
      </c>
    </row>
    <row r="633" spans="1:27" ht="15.75" hidden="1" customHeight="1" x14ac:dyDescent="0.2">
      <c r="A633" s="2"/>
      <c r="B633" s="31">
        <v>628</v>
      </c>
      <c r="C633" s="36" t="s">
        <v>1462</v>
      </c>
      <c r="D633" s="36" t="s">
        <v>1463</v>
      </c>
      <c r="E633" s="36" t="s">
        <v>1464</v>
      </c>
      <c r="F633" s="36" t="s">
        <v>1513</v>
      </c>
      <c r="G633" s="36" t="s">
        <v>1514</v>
      </c>
      <c r="H633" s="37" t="s">
        <v>95</v>
      </c>
      <c r="I633" s="37" t="s">
        <v>81</v>
      </c>
      <c r="J633" s="37" t="s">
        <v>82</v>
      </c>
      <c r="K633" s="37" t="s">
        <v>87</v>
      </c>
      <c r="L633" s="36" t="s">
        <v>84</v>
      </c>
      <c r="M633" s="34">
        <v>23243.87</v>
      </c>
      <c r="N633" s="34">
        <v>16750.89</v>
      </c>
      <c r="O633" s="34">
        <v>6492.98</v>
      </c>
      <c r="P633" s="34">
        <v>773.71</v>
      </c>
      <c r="Q633" s="34">
        <v>29.71</v>
      </c>
      <c r="R633" s="34">
        <v>25.03</v>
      </c>
      <c r="S633" s="34">
        <v>25.03</v>
      </c>
      <c r="T633" s="34">
        <v>-15.06</v>
      </c>
      <c r="U633" s="34">
        <v>362.3</v>
      </c>
      <c r="V633" s="34">
        <v>-48.82</v>
      </c>
      <c r="W633" s="34">
        <v>2.0299999999999998</v>
      </c>
      <c r="X633" s="34">
        <v>2.58</v>
      </c>
      <c r="Y633" s="35">
        <v>-1.1726000000000001</v>
      </c>
      <c r="Z633" s="35">
        <v>-4.1977000000000002</v>
      </c>
      <c r="AA633" s="35">
        <v>-35.226799999999997</v>
      </c>
    </row>
    <row r="634" spans="1:27" ht="15.75" hidden="1" customHeight="1" x14ac:dyDescent="0.2">
      <c r="A634" s="2"/>
      <c r="B634" s="31">
        <v>629</v>
      </c>
      <c r="C634" s="36" t="s">
        <v>1462</v>
      </c>
      <c r="D634" s="36" t="s">
        <v>1463</v>
      </c>
      <c r="E634" s="36" t="s">
        <v>1464</v>
      </c>
      <c r="F634" s="36" t="s">
        <v>1515</v>
      </c>
      <c r="G634" s="36" t="s">
        <v>1516</v>
      </c>
      <c r="H634" s="37" t="s">
        <v>95</v>
      </c>
      <c r="I634" s="37" t="s">
        <v>81</v>
      </c>
      <c r="J634" s="37" t="s">
        <v>82</v>
      </c>
      <c r="K634" s="37" t="s">
        <v>104</v>
      </c>
      <c r="L634" s="36" t="s">
        <v>90</v>
      </c>
      <c r="M634" s="34">
        <v>2514684.37</v>
      </c>
      <c r="N634" s="34">
        <v>1970473.44</v>
      </c>
      <c r="O634" s="34">
        <v>297917.19</v>
      </c>
      <c r="P634" s="34">
        <v>96152.49</v>
      </c>
      <c r="Q634" s="34">
        <v>33523.370000000003</v>
      </c>
      <c r="R634" s="34">
        <v>26850.33</v>
      </c>
      <c r="S634" s="34">
        <v>24455.08</v>
      </c>
      <c r="T634" s="34">
        <v>575.22</v>
      </c>
      <c r="U634" s="34">
        <v>3224.21</v>
      </c>
      <c r="V634" s="34">
        <v>7.65</v>
      </c>
      <c r="W634" s="34">
        <v>1.36</v>
      </c>
      <c r="X634" s="34">
        <v>6.61</v>
      </c>
      <c r="Y634" s="35">
        <v>2.1349</v>
      </c>
      <c r="Z634" s="35">
        <v>18.020800000000001</v>
      </c>
      <c r="AA634" s="35">
        <v>55.835500000000003</v>
      </c>
    </row>
    <row r="635" spans="1:27" ht="15.75" hidden="1" customHeight="1" x14ac:dyDescent="0.2">
      <c r="A635" s="2"/>
      <c r="B635" s="31">
        <v>630</v>
      </c>
      <c r="C635" s="36" t="s">
        <v>1462</v>
      </c>
      <c r="D635" s="36" t="s">
        <v>1463</v>
      </c>
      <c r="E635" s="36" t="s">
        <v>1464</v>
      </c>
      <c r="F635" s="36" t="s">
        <v>1517</v>
      </c>
      <c r="G635" s="36" t="s">
        <v>1518</v>
      </c>
      <c r="H635" s="37" t="s">
        <v>95</v>
      </c>
      <c r="I635" s="37" t="s">
        <v>81</v>
      </c>
      <c r="J635" s="37" t="s">
        <v>82</v>
      </c>
      <c r="K635" s="37" t="s">
        <v>87</v>
      </c>
      <c r="L635" s="36" t="s">
        <v>84</v>
      </c>
      <c r="M635" s="34">
        <v>9052.9500000000007</v>
      </c>
      <c r="N635" s="34">
        <v>5848.49</v>
      </c>
      <c r="O635" s="34">
        <v>3204.46</v>
      </c>
      <c r="P635" s="34">
        <v>271.63</v>
      </c>
      <c r="Q635" s="34">
        <v>24.81</v>
      </c>
      <c r="R635" s="34">
        <v>19.350000000000001</v>
      </c>
      <c r="S635" s="34">
        <v>19.350000000000001</v>
      </c>
      <c r="T635" s="34">
        <v>11.04</v>
      </c>
      <c r="U635" s="34">
        <v>955.38</v>
      </c>
      <c r="V635" s="34">
        <v>65.66</v>
      </c>
      <c r="W635" s="34">
        <v>0.76</v>
      </c>
      <c r="X635" s="34">
        <v>1.83</v>
      </c>
      <c r="Y635" s="35">
        <v>0.41320000000000001</v>
      </c>
      <c r="Z635" s="35">
        <v>1.1674</v>
      </c>
      <c r="AA635" s="35">
        <v>13.772399999999999</v>
      </c>
    </row>
    <row r="636" spans="1:27" ht="15.75" hidden="1" customHeight="1" x14ac:dyDescent="0.2">
      <c r="A636" s="2"/>
      <c r="B636" s="31">
        <v>631</v>
      </c>
      <c r="C636" s="36" t="s">
        <v>1462</v>
      </c>
      <c r="D636" s="36" t="s">
        <v>1463</v>
      </c>
      <c r="E636" s="36" t="s">
        <v>1464</v>
      </c>
      <c r="F636" s="36" t="s">
        <v>1519</v>
      </c>
      <c r="G636" s="36" t="s">
        <v>1520</v>
      </c>
      <c r="H636" s="37" t="s">
        <v>95</v>
      </c>
      <c r="I636" s="37" t="s">
        <v>81</v>
      </c>
      <c r="J636" s="37" t="s">
        <v>82</v>
      </c>
      <c r="K636" s="37" t="s">
        <v>87</v>
      </c>
      <c r="L636" s="36" t="s">
        <v>84</v>
      </c>
      <c r="M636" s="34">
        <v>357872.33</v>
      </c>
      <c r="N636" s="34">
        <v>304077.53999999998</v>
      </c>
      <c r="O636" s="34">
        <v>53794.79</v>
      </c>
      <c r="P636" s="34">
        <v>13932.47</v>
      </c>
      <c r="Q636" s="34">
        <v>4434.26</v>
      </c>
      <c r="R636" s="34">
        <v>3512.92</v>
      </c>
      <c r="S636" s="34">
        <v>3454.87</v>
      </c>
      <c r="T636" s="34">
        <v>273.39999999999998</v>
      </c>
      <c r="U636" s="34">
        <v>2161.23</v>
      </c>
      <c r="V636" s="34">
        <v>6.2</v>
      </c>
      <c r="W636" s="34">
        <v>0.78</v>
      </c>
      <c r="X636" s="34">
        <v>5.65</v>
      </c>
      <c r="Y636" s="35">
        <v>1.9208000000000001</v>
      </c>
      <c r="Z636" s="35">
        <v>12.7781</v>
      </c>
      <c r="AA636" s="35">
        <v>49.337699999999998</v>
      </c>
    </row>
    <row r="637" spans="1:27" ht="15.75" hidden="1" customHeight="1" x14ac:dyDescent="0.2">
      <c r="A637" s="2"/>
      <c r="B637" s="31">
        <v>632</v>
      </c>
      <c r="C637" s="36" t="s">
        <v>1462</v>
      </c>
      <c r="D637" s="36" t="s">
        <v>1463</v>
      </c>
      <c r="E637" s="36" t="s">
        <v>1464</v>
      </c>
      <c r="F637" s="36" t="s">
        <v>1521</v>
      </c>
      <c r="G637" s="36" t="s">
        <v>1522</v>
      </c>
      <c r="H637" s="37" t="s">
        <v>95</v>
      </c>
      <c r="I637" s="37" t="s">
        <v>81</v>
      </c>
      <c r="J637" s="37" t="s">
        <v>82</v>
      </c>
      <c r="K637" s="37" t="s">
        <v>87</v>
      </c>
      <c r="L637" s="36" t="s">
        <v>84</v>
      </c>
      <c r="M637" s="34">
        <v>184913.49</v>
      </c>
      <c r="N637" s="34">
        <v>153365.71</v>
      </c>
      <c r="O637" s="34">
        <v>31547.79</v>
      </c>
      <c r="P637" s="34">
        <v>6805.2</v>
      </c>
      <c r="Q637" s="34">
        <v>765.98</v>
      </c>
      <c r="R637" s="34">
        <v>602.41</v>
      </c>
      <c r="S637" s="34">
        <v>575.75</v>
      </c>
      <c r="T637" s="34">
        <v>20.54</v>
      </c>
      <c r="U637" s="34">
        <v>414.46</v>
      </c>
      <c r="V637" s="34">
        <v>10.130000000000001</v>
      </c>
      <c r="W637" s="34">
        <v>0.5</v>
      </c>
      <c r="X637" s="34">
        <v>4.8600000000000003</v>
      </c>
      <c r="Y637" s="35">
        <v>0.84540000000000004</v>
      </c>
      <c r="Z637" s="35">
        <v>4.9550999999999998</v>
      </c>
      <c r="AA637" s="35">
        <v>22.9712</v>
      </c>
    </row>
    <row r="638" spans="1:27" ht="15.75" hidden="1" customHeight="1" x14ac:dyDescent="0.2">
      <c r="A638" s="2"/>
      <c r="B638" s="31">
        <v>633</v>
      </c>
      <c r="C638" s="36" t="s">
        <v>1462</v>
      </c>
      <c r="D638" s="36" t="s">
        <v>1463</v>
      </c>
      <c r="E638" s="36" t="s">
        <v>1464</v>
      </c>
      <c r="F638" s="36" t="s">
        <v>1523</v>
      </c>
      <c r="G638" s="36" t="s">
        <v>1524</v>
      </c>
      <c r="H638" s="37" t="s">
        <v>95</v>
      </c>
      <c r="I638" s="37" t="s">
        <v>81</v>
      </c>
      <c r="J638" s="37" t="s">
        <v>82</v>
      </c>
      <c r="K638" s="37" t="s">
        <v>87</v>
      </c>
      <c r="L638" s="36" t="s">
        <v>84</v>
      </c>
      <c r="M638" s="34">
        <v>264190.73</v>
      </c>
      <c r="N638" s="34">
        <v>220605.9</v>
      </c>
      <c r="O638" s="34">
        <v>43584.82</v>
      </c>
      <c r="P638" s="34">
        <v>9660.0400000000009</v>
      </c>
      <c r="Q638" s="34">
        <v>2124.46</v>
      </c>
      <c r="R638" s="34">
        <v>1645.28</v>
      </c>
      <c r="S638" s="34">
        <v>1645.28</v>
      </c>
      <c r="T638" s="34">
        <v>101.77</v>
      </c>
      <c r="U638" s="34">
        <v>1204.6199999999999</v>
      </c>
      <c r="V638" s="34">
        <v>58.46</v>
      </c>
      <c r="W638" s="34">
        <v>4.9400000000000004</v>
      </c>
      <c r="X638" s="34">
        <v>5.0599999999999996</v>
      </c>
      <c r="Y638" s="35">
        <v>1.3937999999999999</v>
      </c>
      <c r="Z638" s="35">
        <v>8.4483999999999995</v>
      </c>
      <c r="AA638" s="35">
        <v>38.118000000000002</v>
      </c>
    </row>
    <row r="639" spans="1:27" ht="15.75" hidden="1" customHeight="1" x14ac:dyDescent="0.2">
      <c r="A639" s="2"/>
      <c r="B639" s="31">
        <v>634</v>
      </c>
      <c r="C639" s="36" t="s">
        <v>1462</v>
      </c>
      <c r="D639" s="36" t="s">
        <v>1463</v>
      </c>
      <c r="E639" s="36" t="s">
        <v>1464</v>
      </c>
      <c r="F639" s="36" t="s">
        <v>1525</v>
      </c>
      <c r="G639" s="36" t="s">
        <v>1526</v>
      </c>
      <c r="H639" s="37" t="s">
        <v>80</v>
      </c>
      <c r="I639" s="37" t="s">
        <v>81</v>
      </c>
      <c r="J639" s="37" t="s">
        <v>82</v>
      </c>
      <c r="K639" s="37" t="s">
        <v>104</v>
      </c>
      <c r="L639" s="36" t="s">
        <v>90</v>
      </c>
      <c r="M639" s="34">
        <v>400567.35</v>
      </c>
      <c r="N639" s="34">
        <v>99455.2</v>
      </c>
      <c r="O639" s="34">
        <v>47823.03</v>
      </c>
      <c r="P639" s="34">
        <v>9607.02</v>
      </c>
      <c r="Q639" s="34">
        <v>4829.3100000000004</v>
      </c>
      <c r="R639" s="34">
        <v>3741.23</v>
      </c>
      <c r="S639" s="34">
        <v>3741.23</v>
      </c>
      <c r="T639" s="34">
        <v>159.38999999999999</v>
      </c>
      <c r="U639" s="34">
        <v>1047.19</v>
      </c>
      <c r="V639" s="34">
        <v>16.25</v>
      </c>
      <c r="W639" s="34">
        <v>2.4700000000000002</v>
      </c>
      <c r="X639" s="34">
        <v>2.08</v>
      </c>
      <c r="Y639" s="35">
        <v>1.8354999999999999</v>
      </c>
      <c r="Z639" s="35">
        <v>15.374599999999999</v>
      </c>
      <c r="AA639" s="35">
        <v>76.5334</v>
      </c>
    </row>
    <row r="640" spans="1:27" ht="15.75" hidden="1" customHeight="1" x14ac:dyDescent="0.2">
      <c r="A640" s="2"/>
      <c r="B640" s="31">
        <v>635</v>
      </c>
      <c r="C640" s="36" t="s">
        <v>1462</v>
      </c>
      <c r="D640" s="36" t="s">
        <v>1463</v>
      </c>
      <c r="E640" s="36" t="s">
        <v>1464</v>
      </c>
      <c r="F640" s="36" t="s">
        <v>1527</v>
      </c>
      <c r="G640" s="36" t="s">
        <v>1528</v>
      </c>
      <c r="H640" s="37" t="s">
        <v>95</v>
      </c>
      <c r="I640" s="37" t="s">
        <v>81</v>
      </c>
      <c r="J640" s="37" t="s">
        <v>82</v>
      </c>
      <c r="K640" s="37" t="s">
        <v>87</v>
      </c>
      <c r="L640" s="36" t="s">
        <v>84</v>
      </c>
      <c r="M640" s="34">
        <v>49516.94</v>
      </c>
      <c r="N640" s="34">
        <v>36315.72</v>
      </c>
      <c r="O640" s="34">
        <v>8913.1</v>
      </c>
      <c r="P640" s="34">
        <v>1664.54</v>
      </c>
      <c r="Q640" s="34">
        <v>212.96</v>
      </c>
      <c r="R640" s="34">
        <v>170.11</v>
      </c>
      <c r="S640" s="34">
        <v>139.79</v>
      </c>
      <c r="T640" s="34">
        <v>13.85</v>
      </c>
      <c r="U640" s="34">
        <v>456.66</v>
      </c>
      <c r="V640" s="34">
        <v>64.239999999999995</v>
      </c>
      <c r="W640" s="34">
        <v>1.95</v>
      </c>
      <c r="X640" s="34">
        <v>4.07</v>
      </c>
      <c r="Y640" s="35">
        <v>0.55159999999999998</v>
      </c>
      <c r="Z640" s="35">
        <v>3.0642</v>
      </c>
      <c r="AA640" s="35">
        <v>16.408100000000001</v>
      </c>
    </row>
    <row r="641" spans="1:27" ht="15.75" hidden="1" customHeight="1" x14ac:dyDescent="0.2">
      <c r="A641" s="2"/>
      <c r="B641" s="31">
        <v>636</v>
      </c>
      <c r="C641" s="36" t="s">
        <v>1462</v>
      </c>
      <c r="D641" s="36" t="s">
        <v>1463</v>
      </c>
      <c r="E641" s="36" t="s">
        <v>1464</v>
      </c>
      <c r="F641" s="36" t="s">
        <v>1529</v>
      </c>
      <c r="G641" s="36" t="s">
        <v>1530</v>
      </c>
      <c r="H641" s="37" t="s">
        <v>95</v>
      </c>
      <c r="I641" s="37" t="s">
        <v>81</v>
      </c>
      <c r="J641" s="37" t="s">
        <v>82</v>
      </c>
      <c r="K641" s="37" t="s">
        <v>87</v>
      </c>
      <c r="L641" s="36" t="s">
        <v>84</v>
      </c>
      <c r="M641" s="34">
        <v>6849.01</v>
      </c>
      <c r="N641" s="34">
        <v>3358.45</v>
      </c>
      <c r="O641" s="34">
        <v>3490.56</v>
      </c>
      <c r="P641" s="34">
        <v>217.35</v>
      </c>
      <c r="Q641" s="34">
        <v>42.56</v>
      </c>
      <c r="R641" s="34">
        <v>33.19</v>
      </c>
      <c r="S641" s="34">
        <v>33.19</v>
      </c>
      <c r="T641" s="34">
        <v>20.9</v>
      </c>
      <c r="U641" s="34">
        <v>955.8</v>
      </c>
      <c r="V641" s="34">
        <v>62.93</v>
      </c>
      <c r="W641" s="34">
        <v>1.38</v>
      </c>
      <c r="X641" s="34">
        <v>0.96</v>
      </c>
      <c r="Y641" s="35">
        <v>1.1254999999999999</v>
      </c>
      <c r="Z641" s="35">
        <v>2.2084000000000001</v>
      </c>
      <c r="AA641" s="35">
        <v>35.466099999999997</v>
      </c>
    </row>
    <row r="642" spans="1:27" ht="15.75" hidden="1" customHeight="1" x14ac:dyDescent="0.2">
      <c r="A642" s="2"/>
      <c r="B642" s="31">
        <v>637</v>
      </c>
      <c r="C642" s="36" t="s">
        <v>1462</v>
      </c>
      <c r="D642" s="36" t="s">
        <v>1463</v>
      </c>
      <c r="E642" s="36" t="s">
        <v>1464</v>
      </c>
      <c r="F642" s="36" t="s">
        <v>1531</v>
      </c>
      <c r="G642" s="36" t="s">
        <v>1532</v>
      </c>
      <c r="H642" s="37" t="s">
        <v>95</v>
      </c>
      <c r="I642" s="37" t="s">
        <v>81</v>
      </c>
      <c r="J642" s="37" t="s">
        <v>82</v>
      </c>
      <c r="K642" s="37" t="s">
        <v>87</v>
      </c>
      <c r="L642" s="36" t="s">
        <v>84</v>
      </c>
      <c r="M642" s="34">
        <v>234353.28</v>
      </c>
      <c r="N642" s="34">
        <v>169940.3</v>
      </c>
      <c r="O642" s="34">
        <v>55108.11</v>
      </c>
      <c r="P642" s="34">
        <v>13408.9</v>
      </c>
      <c r="Q642" s="34">
        <v>1581.1</v>
      </c>
      <c r="R642" s="34">
        <v>1236.6500000000001</v>
      </c>
      <c r="S642" s="34">
        <v>1000.1</v>
      </c>
      <c r="T642" s="34">
        <v>241.72</v>
      </c>
      <c r="U642" s="34">
        <v>5230.3599999999997</v>
      </c>
      <c r="V642" s="34">
        <v>8.44</v>
      </c>
      <c r="W642" s="34">
        <v>0.39</v>
      </c>
      <c r="X642" s="34">
        <v>3.08</v>
      </c>
      <c r="Y642" s="35">
        <v>1.0976999999999999</v>
      </c>
      <c r="Z642" s="35">
        <v>4.6683000000000003</v>
      </c>
      <c r="AA642" s="35">
        <v>19.185600000000001</v>
      </c>
    </row>
    <row r="643" spans="1:27" ht="15.75" hidden="1" customHeight="1" x14ac:dyDescent="0.2">
      <c r="A643" s="2"/>
      <c r="B643" s="31">
        <v>638</v>
      </c>
      <c r="C643" s="36" t="s">
        <v>1462</v>
      </c>
      <c r="D643" s="36" t="s">
        <v>1463</v>
      </c>
      <c r="E643" s="36" t="s">
        <v>1464</v>
      </c>
      <c r="F643" s="36" t="s">
        <v>1533</v>
      </c>
      <c r="G643" s="36" t="s">
        <v>1534</v>
      </c>
      <c r="H643" s="37" t="s">
        <v>80</v>
      </c>
      <c r="I643" s="37" t="s">
        <v>81</v>
      </c>
      <c r="J643" s="37" t="s">
        <v>82</v>
      </c>
      <c r="K643" s="37" t="s">
        <v>87</v>
      </c>
      <c r="L643" s="36" t="s">
        <v>84</v>
      </c>
      <c r="M643" s="34">
        <v>21658.91</v>
      </c>
      <c r="N643" s="34">
        <v>2658.78</v>
      </c>
      <c r="O643" s="34">
        <v>9695.25</v>
      </c>
      <c r="P643" s="34">
        <v>2359.27</v>
      </c>
      <c r="Q643" s="34">
        <v>821.22</v>
      </c>
      <c r="R643" s="34">
        <v>643.85</v>
      </c>
      <c r="S643" s="34">
        <v>643.83000000000004</v>
      </c>
      <c r="T643" s="34">
        <v>149.66999999999999</v>
      </c>
      <c r="U643" s="34">
        <v>1258.52</v>
      </c>
      <c r="V643" s="34">
        <v>9.02</v>
      </c>
      <c r="W643" s="34">
        <v>1.07</v>
      </c>
      <c r="X643" s="34">
        <v>0.27</v>
      </c>
      <c r="Y643" s="35">
        <v>5.3234000000000004</v>
      </c>
      <c r="Z643" s="35">
        <v>11.892300000000001</v>
      </c>
      <c r="AA643" s="35">
        <v>48.870600000000003</v>
      </c>
    </row>
    <row r="644" spans="1:27" ht="15.75" hidden="1" customHeight="1" x14ac:dyDescent="0.2">
      <c r="A644" s="2"/>
      <c r="B644" s="31">
        <v>639</v>
      </c>
      <c r="C644" s="36" t="s">
        <v>1462</v>
      </c>
      <c r="D644" s="36" t="s">
        <v>1463</v>
      </c>
      <c r="E644" s="36" t="s">
        <v>1464</v>
      </c>
      <c r="F644" s="36" t="s">
        <v>1535</v>
      </c>
      <c r="G644" s="36" t="s">
        <v>1536</v>
      </c>
      <c r="H644" s="37" t="s">
        <v>95</v>
      </c>
      <c r="I644" s="37" t="s">
        <v>81</v>
      </c>
      <c r="J644" s="37" t="s">
        <v>82</v>
      </c>
      <c r="K644" s="37" t="s">
        <v>87</v>
      </c>
      <c r="L644" s="36" t="s">
        <v>84</v>
      </c>
      <c r="M644" s="34">
        <v>33014.25</v>
      </c>
      <c r="N644" s="34">
        <v>28659.01</v>
      </c>
      <c r="O644" s="34">
        <v>4355.2299999999996</v>
      </c>
      <c r="P644" s="34">
        <v>1131.29</v>
      </c>
      <c r="Q644" s="34">
        <v>161.88</v>
      </c>
      <c r="R644" s="34">
        <v>125.58</v>
      </c>
      <c r="S644" s="34">
        <v>125.58</v>
      </c>
      <c r="T644" s="34">
        <v>9.2100000000000009</v>
      </c>
      <c r="U644" s="34">
        <v>236.5</v>
      </c>
      <c r="V644" s="34">
        <v>12.06</v>
      </c>
      <c r="W644" s="34">
        <v>0.47</v>
      </c>
      <c r="X644" s="34">
        <v>6.58</v>
      </c>
      <c r="Y644" s="35">
        <v>0.51349999999999996</v>
      </c>
      <c r="Z644" s="35">
        <v>3.8927</v>
      </c>
      <c r="AA644" s="35">
        <v>14.9861</v>
      </c>
    </row>
    <row r="645" spans="1:27" ht="15.75" hidden="1" customHeight="1" x14ac:dyDescent="0.2">
      <c r="A645" s="2"/>
      <c r="B645" s="31">
        <v>640</v>
      </c>
      <c r="C645" s="36" t="s">
        <v>1462</v>
      </c>
      <c r="D645" s="36" t="s">
        <v>1463</v>
      </c>
      <c r="E645" s="36" t="s">
        <v>1464</v>
      </c>
      <c r="F645" s="36" t="s">
        <v>1537</v>
      </c>
      <c r="G645" s="36" t="s">
        <v>1538</v>
      </c>
      <c r="H645" s="37" t="s">
        <v>95</v>
      </c>
      <c r="I645" s="37" t="s">
        <v>81</v>
      </c>
      <c r="J645" s="37" t="s">
        <v>82</v>
      </c>
      <c r="K645" s="37" t="s">
        <v>87</v>
      </c>
      <c r="L645" s="36" t="s">
        <v>84</v>
      </c>
      <c r="M645" s="34">
        <v>12319.81</v>
      </c>
      <c r="N645" s="34">
        <v>8623.9500000000007</v>
      </c>
      <c r="O645" s="34">
        <v>3695.85</v>
      </c>
      <c r="P645" s="34">
        <v>567.03</v>
      </c>
      <c r="Q645" s="34">
        <v>78.14</v>
      </c>
      <c r="R645" s="34">
        <v>60.64</v>
      </c>
      <c r="S645" s="34">
        <v>60.64</v>
      </c>
      <c r="T645" s="34">
        <v>5.48</v>
      </c>
      <c r="U645" s="34">
        <v>219.11</v>
      </c>
      <c r="V645" s="34">
        <v>21.9</v>
      </c>
      <c r="W645" s="34">
        <v>0.55000000000000004</v>
      </c>
      <c r="X645" s="34">
        <v>2.33</v>
      </c>
      <c r="Y645" s="35">
        <v>0.75780000000000003</v>
      </c>
      <c r="Z645" s="35">
        <v>2.5259999999999998</v>
      </c>
      <c r="AA645" s="35">
        <v>16.464099999999998</v>
      </c>
    </row>
    <row r="646" spans="1:27" ht="15.75" hidden="1" customHeight="1" x14ac:dyDescent="0.2">
      <c r="A646" s="2"/>
      <c r="B646" s="31">
        <v>641</v>
      </c>
      <c r="C646" s="36" t="s">
        <v>1462</v>
      </c>
      <c r="D646" s="36" t="s">
        <v>1463</v>
      </c>
      <c r="E646" s="36" t="s">
        <v>1464</v>
      </c>
      <c r="F646" s="36" t="s">
        <v>1539</v>
      </c>
      <c r="G646" s="36" t="s">
        <v>1540</v>
      </c>
      <c r="H646" s="37" t="s">
        <v>95</v>
      </c>
      <c r="I646" s="37" t="s">
        <v>81</v>
      </c>
      <c r="J646" s="37" t="s">
        <v>82</v>
      </c>
      <c r="K646" s="37" t="s">
        <v>87</v>
      </c>
      <c r="L646" s="36" t="s">
        <v>84</v>
      </c>
      <c r="M646" s="34">
        <v>30168.06</v>
      </c>
      <c r="N646" s="34">
        <v>25770.55</v>
      </c>
      <c r="O646" s="34">
        <v>4397.51</v>
      </c>
      <c r="P646" s="34">
        <v>834.55</v>
      </c>
      <c r="Q646" s="34">
        <v>59.97</v>
      </c>
      <c r="R646" s="34">
        <v>50.59</v>
      </c>
      <c r="S646" s="34">
        <v>50.59</v>
      </c>
      <c r="T646" s="34">
        <v>6.55</v>
      </c>
      <c r="U646" s="34">
        <v>219.64</v>
      </c>
      <c r="V646" s="34">
        <v>24.72</v>
      </c>
      <c r="W646" s="34">
        <v>0.74</v>
      </c>
      <c r="X646" s="34">
        <v>5.86</v>
      </c>
      <c r="Y646" s="35">
        <v>0.43940000000000001</v>
      </c>
      <c r="Z646" s="35">
        <v>3.0143</v>
      </c>
      <c r="AA646" s="35">
        <v>15.8832</v>
      </c>
    </row>
    <row r="647" spans="1:27" ht="15.75" hidden="1" customHeight="1" x14ac:dyDescent="0.2">
      <c r="A647" s="2"/>
      <c r="B647" s="31">
        <v>642</v>
      </c>
      <c r="C647" s="36" t="s">
        <v>1462</v>
      </c>
      <c r="D647" s="36" t="s">
        <v>1463</v>
      </c>
      <c r="E647" s="36" t="s">
        <v>1464</v>
      </c>
      <c r="F647" s="36" t="s">
        <v>1541</v>
      </c>
      <c r="G647" s="36" t="s">
        <v>1542</v>
      </c>
      <c r="H647" s="37" t="s">
        <v>95</v>
      </c>
      <c r="I647" s="37" t="s">
        <v>81</v>
      </c>
      <c r="J647" s="37" t="s">
        <v>82</v>
      </c>
      <c r="K647" s="37" t="s">
        <v>87</v>
      </c>
      <c r="L647" s="36" t="s">
        <v>84</v>
      </c>
      <c r="M647" s="34">
        <v>30824.22</v>
      </c>
      <c r="N647" s="34">
        <v>26817.97</v>
      </c>
      <c r="O647" s="34">
        <v>4006.25</v>
      </c>
      <c r="P647" s="34">
        <v>955.05</v>
      </c>
      <c r="Q647" s="34">
        <v>128.05000000000001</v>
      </c>
      <c r="R647" s="34">
        <v>99.88</v>
      </c>
      <c r="S647" s="34">
        <v>99.88</v>
      </c>
      <c r="T647" s="34">
        <v>150.57</v>
      </c>
      <c r="U647" s="34">
        <v>2886.9</v>
      </c>
      <c r="V647" s="34">
        <v>21.32</v>
      </c>
      <c r="W647" s="34">
        <v>1.1100000000000001</v>
      </c>
      <c r="X647" s="34">
        <v>6.69</v>
      </c>
      <c r="Y647" s="35">
        <v>0.68469999999999998</v>
      </c>
      <c r="Z647" s="35">
        <v>5.2682000000000002</v>
      </c>
      <c r="AA647" s="35">
        <v>22.099299999999999</v>
      </c>
    </row>
    <row r="648" spans="1:27" ht="15.75" hidden="1" customHeight="1" x14ac:dyDescent="0.2">
      <c r="A648" s="2"/>
      <c r="B648" s="31">
        <v>643</v>
      </c>
      <c r="C648" s="36" t="s">
        <v>1462</v>
      </c>
      <c r="D648" s="36" t="s">
        <v>1463</v>
      </c>
      <c r="E648" s="36" t="s">
        <v>1464</v>
      </c>
      <c r="F648" s="36" t="s">
        <v>1543</v>
      </c>
      <c r="G648" s="36" t="s">
        <v>1544</v>
      </c>
      <c r="H648" s="37" t="s">
        <v>95</v>
      </c>
      <c r="I648" s="37" t="s">
        <v>81</v>
      </c>
      <c r="J648" s="37" t="s">
        <v>82</v>
      </c>
      <c r="K648" s="37" t="s">
        <v>87</v>
      </c>
      <c r="L648" s="36" t="s">
        <v>84</v>
      </c>
      <c r="M648" s="34">
        <v>150134.64000000001</v>
      </c>
      <c r="N648" s="34">
        <v>133142.85</v>
      </c>
      <c r="O648" s="34">
        <v>16991.79</v>
      </c>
      <c r="P648" s="34">
        <v>6412.46</v>
      </c>
      <c r="Q648" s="34">
        <v>28.82</v>
      </c>
      <c r="R648" s="34">
        <v>23.7</v>
      </c>
      <c r="S648" s="34">
        <v>23.7</v>
      </c>
      <c r="T648" s="34">
        <v>0.95</v>
      </c>
      <c r="U648" s="34">
        <v>655.9</v>
      </c>
      <c r="V648" s="34">
        <v>292.63</v>
      </c>
      <c r="W648" s="34">
        <v>0.42</v>
      </c>
      <c r="X648" s="34">
        <v>7.84</v>
      </c>
      <c r="Y648" s="35">
        <v>1.66E-2</v>
      </c>
      <c r="Z648" s="35">
        <v>0.14630000000000001</v>
      </c>
      <c r="AA648" s="35">
        <v>0.38769999999999999</v>
      </c>
    </row>
    <row r="649" spans="1:27" ht="15.75" hidden="1" customHeight="1" x14ac:dyDescent="0.2">
      <c r="A649" s="2"/>
      <c r="B649" s="31">
        <v>644</v>
      </c>
      <c r="C649" s="36" t="s">
        <v>1462</v>
      </c>
      <c r="D649" s="36" t="s">
        <v>1463</v>
      </c>
      <c r="E649" s="36" t="s">
        <v>1464</v>
      </c>
      <c r="F649" s="36" t="s">
        <v>1545</v>
      </c>
      <c r="G649" s="36" t="s">
        <v>1546</v>
      </c>
      <c r="H649" s="37" t="s">
        <v>95</v>
      </c>
      <c r="I649" s="37" t="s">
        <v>81</v>
      </c>
      <c r="J649" s="37" t="s">
        <v>82</v>
      </c>
      <c r="K649" s="37" t="s">
        <v>87</v>
      </c>
      <c r="L649" s="36" t="s">
        <v>84</v>
      </c>
      <c r="M649" s="34">
        <v>33412</v>
      </c>
      <c r="N649" s="34">
        <v>26399.93</v>
      </c>
      <c r="O649" s="34">
        <v>7012.07</v>
      </c>
      <c r="P649" s="34">
        <v>1144.6199999999999</v>
      </c>
      <c r="Q649" s="34">
        <v>201.46</v>
      </c>
      <c r="R649" s="34">
        <v>157.13999999999999</v>
      </c>
      <c r="S649" s="34">
        <v>157.13999999999999</v>
      </c>
      <c r="T649" s="34">
        <v>8.0299999999999994</v>
      </c>
      <c r="U649" s="34">
        <v>186.79</v>
      </c>
      <c r="V649" s="34">
        <v>9.7100000000000009</v>
      </c>
      <c r="W649" s="34">
        <v>0.42</v>
      </c>
      <c r="X649" s="34">
        <v>3.76</v>
      </c>
      <c r="Y649" s="35">
        <v>0.9113</v>
      </c>
      <c r="Z649" s="35">
        <v>4.3422000000000001</v>
      </c>
      <c r="AA649" s="35">
        <v>26.6005</v>
      </c>
    </row>
    <row r="650" spans="1:27" ht="15.75" hidden="1" customHeight="1" x14ac:dyDescent="0.2">
      <c r="A650" s="2"/>
      <c r="B650" s="31">
        <v>645</v>
      </c>
      <c r="C650" s="36" t="s">
        <v>1462</v>
      </c>
      <c r="D650" s="36" t="s">
        <v>1463</v>
      </c>
      <c r="E650" s="36" t="s">
        <v>1464</v>
      </c>
      <c r="F650" s="36" t="s">
        <v>1547</v>
      </c>
      <c r="G650" s="36" t="s">
        <v>1548</v>
      </c>
      <c r="H650" s="37" t="s">
        <v>95</v>
      </c>
      <c r="I650" s="37" t="s">
        <v>81</v>
      </c>
      <c r="J650" s="37" t="s">
        <v>82</v>
      </c>
      <c r="K650" s="37" t="s">
        <v>87</v>
      </c>
      <c r="L650" s="36" t="s">
        <v>84</v>
      </c>
      <c r="M650" s="34">
        <v>129686.85</v>
      </c>
      <c r="N650" s="34">
        <v>107411.53</v>
      </c>
      <c r="O650" s="34">
        <v>22275.32</v>
      </c>
      <c r="P650" s="34">
        <v>6023.31</v>
      </c>
      <c r="Q650" s="34">
        <v>1687.29</v>
      </c>
      <c r="R650" s="34">
        <v>1361.76</v>
      </c>
      <c r="S650" s="34">
        <v>1361.76</v>
      </c>
      <c r="T650" s="34">
        <v>235.41</v>
      </c>
      <c r="U650" s="34">
        <v>1916.4</v>
      </c>
      <c r="V650" s="34">
        <v>13.89</v>
      </c>
      <c r="W650" s="34">
        <v>1.71</v>
      </c>
      <c r="X650" s="34">
        <v>4.82</v>
      </c>
      <c r="Y650" s="35">
        <v>2.1313</v>
      </c>
      <c r="Z650" s="35">
        <v>12.408200000000001</v>
      </c>
      <c r="AA650" s="35">
        <v>45.887700000000002</v>
      </c>
    </row>
    <row r="651" spans="1:27" ht="15.75" hidden="1" customHeight="1" x14ac:dyDescent="0.2">
      <c r="A651" s="2"/>
      <c r="B651" s="31">
        <v>646</v>
      </c>
      <c r="C651" s="36" t="s">
        <v>1462</v>
      </c>
      <c r="D651" s="36" t="s">
        <v>1463</v>
      </c>
      <c r="E651" s="36" t="s">
        <v>1464</v>
      </c>
      <c r="F651" s="36" t="s">
        <v>1549</v>
      </c>
      <c r="G651" s="36" t="s">
        <v>1550</v>
      </c>
      <c r="H651" s="37" t="s">
        <v>95</v>
      </c>
      <c r="I651" s="37" t="s">
        <v>81</v>
      </c>
      <c r="J651" s="37" t="s">
        <v>82</v>
      </c>
      <c r="K651" s="37" t="s">
        <v>87</v>
      </c>
      <c r="L651" s="36" t="s">
        <v>84</v>
      </c>
      <c r="M651" s="34">
        <v>295971.83</v>
      </c>
      <c r="N651" s="34">
        <v>254889</v>
      </c>
      <c r="O651" s="34">
        <v>41082.83</v>
      </c>
      <c r="P651" s="34">
        <v>10409.39</v>
      </c>
      <c r="Q651" s="34">
        <v>3242.71</v>
      </c>
      <c r="R651" s="34">
        <v>2566.13</v>
      </c>
      <c r="S651" s="34">
        <v>2566.12</v>
      </c>
      <c r="T651" s="34">
        <v>219.74</v>
      </c>
      <c r="U651" s="34">
        <v>1790.47</v>
      </c>
      <c r="V651" s="34">
        <v>6.17</v>
      </c>
      <c r="W651" s="34">
        <v>0.76</v>
      </c>
      <c r="X651" s="34">
        <v>6.2</v>
      </c>
      <c r="Y651" s="35">
        <v>1.7035</v>
      </c>
      <c r="Z651" s="35">
        <v>12.272600000000001</v>
      </c>
      <c r="AA651" s="35">
        <v>48.436500000000002</v>
      </c>
    </row>
    <row r="652" spans="1:27" ht="15.75" hidden="1" customHeight="1" x14ac:dyDescent="0.2">
      <c r="A652" s="2"/>
      <c r="B652" s="31">
        <v>647</v>
      </c>
      <c r="C652" s="36" t="s">
        <v>1462</v>
      </c>
      <c r="D652" s="36" t="s">
        <v>1463</v>
      </c>
      <c r="E652" s="36" t="s">
        <v>1464</v>
      </c>
      <c r="F652" s="36" t="s">
        <v>1551</v>
      </c>
      <c r="G652" s="36" t="s">
        <v>1552</v>
      </c>
      <c r="H652" s="37" t="s">
        <v>95</v>
      </c>
      <c r="I652" s="37" t="s">
        <v>81</v>
      </c>
      <c r="J652" s="37" t="s">
        <v>82</v>
      </c>
      <c r="K652" s="37" t="s">
        <v>87</v>
      </c>
      <c r="L652" s="36" t="s">
        <v>84</v>
      </c>
      <c r="M652" s="34">
        <v>36157.75</v>
      </c>
      <c r="N652" s="34">
        <v>32257.279999999999</v>
      </c>
      <c r="O652" s="34">
        <v>3900.46</v>
      </c>
      <c r="P652" s="34">
        <v>1447.27</v>
      </c>
      <c r="Q652" s="34">
        <v>298.87</v>
      </c>
      <c r="R652" s="34">
        <v>233.24</v>
      </c>
      <c r="S652" s="34">
        <v>233.24</v>
      </c>
      <c r="T652" s="34">
        <v>58.1</v>
      </c>
      <c r="U652" s="34">
        <v>526.83000000000004</v>
      </c>
      <c r="V652" s="34">
        <v>9.5500000000000007</v>
      </c>
      <c r="W652" s="34">
        <v>1.05</v>
      </c>
      <c r="X652" s="34">
        <v>8.27</v>
      </c>
      <c r="Y652" s="35">
        <v>1.2016</v>
      </c>
      <c r="Z652" s="35">
        <v>11.1394</v>
      </c>
      <c r="AA652" s="35">
        <v>30.0213</v>
      </c>
    </row>
    <row r="653" spans="1:27" ht="15.75" hidden="1" customHeight="1" x14ac:dyDescent="0.2">
      <c r="A653" s="2"/>
      <c r="B653" s="31">
        <v>648</v>
      </c>
      <c r="C653" s="36" t="s">
        <v>1462</v>
      </c>
      <c r="D653" s="36" t="s">
        <v>1463</v>
      </c>
      <c r="E653" s="36" t="s">
        <v>1464</v>
      </c>
      <c r="F653" s="36" t="s">
        <v>1553</v>
      </c>
      <c r="G653" s="36" t="s">
        <v>1554</v>
      </c>
      <c r="H653" s="37" t="s">
        <v>95</v>
      </c>
      <c r="I653" s="37" t="s">
        <v>81</v>
      </c>
      <c r="J653" s="37" t="s">
        <v>82</v>
      </c>
      <c r="K653" s="37" t="s">
        <v>87</v>
      </c>
      <c r="L653" s="36" t="s">
        <v>84</v>
      </c>
      <c r="M653" s="34">
        <v>228047.19</v>
      </c>
      <c r="N653" s="34">
        <v>157936.57999999999</v>
      </c>
      <c r="O653" s="34">
        <v>56800.18</v>
      </c>
      <c r="P653" s="34">
        <v>7897.49</v>
      </c>
      <c r="Q653" s="34">
        <v>1809.79</v>
      </c>
      <c r="R653" s="34">
        <v>1424.2</v>
      </c>
      <c r="S653" s="34">
        <v>1380.35</v>
      </c>
      <c r="T653" s="34">
        <v>118.04</v>
      </c>
      <c r="U653" s="34">
        <v>2382.79</v>
      </c>
      <c r="V653" s="34">
        <v>9.15</v>
      </c>
      <c r="W653" s="34">
        <v>0.45</v>
      </c>
      <c r="X653" s="34">
        <v>2.78</v>
      </c>
      <c r="Y653" s="35">
        <v>1.2464</v>
      </c>
      <c r="Z653" s="35">
        <v>5.0039999999999996</v>
      </c>
      <c r="AA653" s="35">
        <v>35.989600000000003</v>
      </c>
    </row>
    <row r="654" spans="1:27" ht="15.75" hidden="1" customHeight="1" x14ac:dyDescent="0.2">
      <c r="A654" s="2"/>
      <c r="B654" s="31">
        <v>649</v>
      </c>
      <c r="C654" s="36" t="s">
        <v>1462</v>
      </c>
      <c r="D654" s="36" t="s">
        <v>1463</v>
      </c>
      <c r="E654" s="36" t="s">
        <v>1464</v>
      </c>
      <c r="F654" s="36" t="s">
        <v>1555</v>
      </c>
      <c r="G654" s="36" t="s">
        <v>1556</v>
      </c>
      <c r="H654" s="37" t="s">
        <v>80</v>
      </c>
      <c r="I654" s="37" t="s">
        <v>81</v>
      </c>
      <c r="J654" s="37" t="s">
        <v>82</v>
      </c>
      <c r="K654" s="37" t="s">
        <v>87</v>
      </c>
      <c r="L654" s="36" t="s">
        <v>84</v>
      </c>
      <c r="M654" s="34">
        <v>18161.82</v>
      </c>
      <c r="N654" s="34">
        <v>1452.62</v>
      </c>
      <c r="O654" s="34">
        <v>2898.77</v>
      </c>
      <c r="P654" s="34">
        <v>189.32</v>
      </c>
      <c r="Q654" s="34">
        <v>26.14</v>
      </c>
      <c r="R654" s="34">
        <v>26.14</v>
      </c>
      <c r="S654" s="34">
        <v>26.14</v>
      </c>
      <c r="T654" s="34">
        <v>0.79</v>
      </c>
      <c r="U654" s="34">
        <v>74.680000000000007</v>
      </c>
      <c r="V654" s="34">
        <v>65.599999999999994</v>
      </c>
      <c r="W654" s="34">
        <v>0.7</v>
      </c>
      <c r="X654" s="34">
        <v>0.5</v>
      </c>
      <c r="Y654" s="35">
        <v>0.1694</v>
      </c>
      <c r="Z654" s="35">
        <v>1.0613999999999999</v>
      </c>
      <c r="AA654" s="35">
        <v>16.251200000000001</v>
      </c>
    </row>
    <row r="655" spans="1:27" ht="15.75" hidden="1" customHeight="1" x14ac:dyDescent="0.2">
      <c r="A655" s="2"/>
      <c r="B655" s="31">
        <v>650</v>
      </c>
      <c r="C655" s="36" t="s">
        <v>1462</v>
      </c>
      <c r="D655" s="36" t="s">
        <v>1463</v>
      </c>
      <c r="E655" s="36" t="s">
        <v>1464</v>
      </c>
      <c r="F655" s="36" t="s">
        <v>1557</v>
      </c>
      <c r="G655" s="36" t="s">
        <v>1558</v>
      </c>
      <c r="H655" s="37" t="s">
        <v>95</v>
      </c>
      <c r="I655" s="37" t="s">
        <v>81</v>
      </c>
      <c r="J655" s="37" t="s">
        <v>82</v>
      </c>
      <c r="K655" s="37" t="s">
        <v>87</v>
      </c>
      <c r="L655" s="36" t="s">
        <v>84</v>
      </c>
      <c r="M655" s="34">
        <v>58280.33</v>
      </c>
      <c r="N655" s="34">
        <v>44505.31</v>
      </c>
      <c r="O655" s="34">
        <v>13775.02</v>
      </c>
      <c r="P655" s="34">
        <v>1985.76</v>
      </c>
      <c r="Q655" s="34">
        <v>110.39</v>
      </c>
      <c r="R655" s="34">
        <v>82.67</v>
      </c>
      <c r="S655" s="34">
        <v>82.67</v>
      </c>
      <c r="T655" s="34">
        <v>18.37</v>
      </c>
      <c r="U655" s="34">
        <v>947.04</v>
      </c>
      <c r="V655" s="34">
        <v>15.46</v>
      </c>
      <c r="W655" s="34">
        <v>0.3</v>
      </c>
      <c r="X655" s="34">
        <v>3.23</v>
      </c>
      <c r="Y655" s="35">
        <v>0.4632</v>
      </c>
      <c r="Z655" s="35">
        <v>1.9596</v>
      </c>
      <c r="AA655" s="35">
        <v>13.593299999999999</v>
      </c>
    </row>
    <row r="656" spans="1:27" ht="15.75" hidden="1" customHeight="1" x14ac:dyDescent="0.2">
      <c r="A656" s="2"/>
      <c r="B656" s="31">
        <v>651</v>
      </c>
      <c r="C656" s="36" t="s">
        <v>1462</v>
      </c>
      <c r="D656" s="36" t="s">
        <v>1559</v>
      </c>
      <c r="E656" s="36" t="s">
        <v>1560</v>
      </c>
      <c r="F656" s="36" t="s">
        <v>1561</v>
      </c>
      <c r="G656" s="36" t="s">
        <v>1562</v>
      </c>
      <c r="H656" s="37" t="s">
        <v>95</v>
      </c>
      <c r="I656" s="37" t="s">
        <v>81</v>
      </c>
      <c r="J656" s="37" t="s">
        <v>82</v>
      </c>
      <c r="K656" s="37" t="s">
        <v>87</v>
      </c>
      <c r="L656" s="36" t="s">
        <v>84</v>
      </c>
      <c r="M656" s="34">
        <v>31248.11</v>
      </c>
      <c r="N656" s="34">
        <v>19817.46</v>
      </c>
      <c r="O656" s="34">
        <v>11430.64</v>
      </c>
      <c r="P656" s="34">
        <v>3873.63</v>
      </c>
      <c r="Q656" s="34">
        <v>758.57</v>
      </c>
      <c r="R656" s="34">
        <v>601.65</v>
      </c>
      <c r="S656" s="34">
        <v>601.65</v>
      </c>
      <c r="T656" s="34">
        <v>1243.1400000000001</v>
      </c>
      <c r="U656" s="34">
        <v>11430.64</v>
      </c>
      <c r="V656" s="34">
        <v>7.18</v>
      </c>
      <c r="W656" s="34">
        <v>0.78</v>
      </c>
      <c r="X656" s="34">
        <v>1.73</v>
      </c>
      <c r="Y656" s="35">
        <v>3.9782999999999999</v>
      </c>
      <c r="Z656" s="35">
        <v>10.875500000000001</v>
      </c>
      <c r="AA656" s="35">
        <v>32.092300000000002</v>
      </c>
    </row>
    <row r="657" spans="1:27" ht="15.75" hidden="1" customHeight="1" x14ac:dyDescent="0.2">
      <c r="A657" s="2"/>
      <c r="B657" s="31">
        <v>652</v>
      </c>
      <c r="C657" s="36" t="s">
        <v>1462</v>
      </c>
      <c r="D657" s="36" t="s">
        <v>1559</v>
      </c>
      <c r="E657" s="36" t="s">
        <v>1560</v>
      </c>
      <c r="F657" s="36" t="s">
        <v>1563</v>
      </c>
      <c r="G657" s="36" t="s">
        <v>1564</v>
      </c>
      <c r="H657" s="37" t="s">
        <v>95</v>
      </c>
      <c r="I657" s="37" t="s">
        <v>81</v>
      </c>
      <c r="J657" s="37" t="s">
        <v>82</v>
      </c>
      <c r="K657" s="37" t="s">
        <v>87</v>
      </c>
      <c r="L657" s="36" t="s">
        <v>84</v>
      </c>
      <c r="M657" s="34">
        <v>7062.36</v>
      </c>
      <c r="N657" s="34">
        <v>5644.7</v>
      </c>
      <c r="O657" s="34">
        <v>1417.67</v>
      </c>
      <c r="P657" s="34">
        <v>401.5</v>
      </c>
      <c r="Q657" s="34">
        <v>17.920000000000002</v>
      </c>
      <c r="R657" s="34">
        <v>13.79</v>
      </c>
      <c r="S657" s="34">
        <v>13.79</v>
      </c>
      <c r="T657" s="34">
        <v>30.32</v>
      </c>
      <c r="U657" s="34">
        <v>852.77</v>
      </c>
      <c r="V657" s="34">
        <v>29.52</v>
      </c>
      <c r="W657" s="34">
        <v>1.05</v>
      </c>
      <c r="X657" s="34">
        <v>3.98</v>
      </c>
      <c r="Y657" s="35">
        <v>0.70650000000000002</v>
      </c>
      <c r="Z657" s="35">
        <v>3.5196999999999998</v>
      </c>
      <c r="AA657" s="35">
        <v>12.427899999999999</v>
      </c>
    </row>
    <row r="658" spans="1:27" ht="15.75" hidden="1" customHeight="1" x14ac:dyDescent="0.2">
      <c r="A658" s="2"/>
      <c r="B658" s="31">
        <v>653</v>
      </c>
      <c r="C658" s="36" t="s">
        <v>1462</v>
      </c>
      <c r="D658" s="36" t="s">
        <v>1559</v>
      </c>
      <c r="E658" s="36" t="s">
        <v>1560</v>
      </c>
      <c r="F658" s="36" t="s">
        <v>1565</v>
      </c>
      <c r="G658" s="36" t="s">
        <v>1566</v>
      </c>
      <c r="H658" s="37" t="s">
        <v>95</v>
      </c>
      <c r="I658" s="37" t="s">
        <v>81</v>
      </c>
      <c r="J658" s="37" t="s">
        <v>82</v>
      </c>
      <c r="K658" s="37" t="s">
        <v>87</v>
      </c>
      <c r="L658" s="36" t="s">
        <v>84</v>
      </c>
      <c r="M658" s="34">
        <v>25336.99</v>
      </c>
      <c r="N658" s="34">
        <v>14820.63</v>
      </c>
      <c r="O658" s="34">
        <v>10516.36</v>
      </c>
      <c r="P658" s="34">
        <v>2764.7</v>
      </c>
      <c r="Q658" s="34">
        <v>940.98</v>
      </c>
      <c r="R658" s="34">
        <v>762.22</v>
      </c>
      <c r="S658" s="34">
        <v>762.29</v>
      </c>
      <c r="T658" s="34">
        <v>109.13</v>
      </c>
      <c r="U658" s="34">
        <v>699.25</v>
      </c>
      <c r="V658" s="34">
        <v>7.01</v>
      </c>
      <c r="W658" s="34">
        <v>1.0900000000000001</v>
      </c>
      <c r="X658" s="34">
        <v>1.41</v>
      </c>
      <c r="Y658" s="35">
        <v>6.4776999999999996</v>
      </c>
      <c r="Z658" s="35">
        <v>15.6067</v>
      </c>
      <c r="AA658" s="35">
        <v>59.364699999999999</v>
      </c>
    </row>
    <row r="659" spans="1:27" ht="15.75" hidden="1" customHeight="1" x14ac:dyDescent="0.2">
      <c r="A659" s="2"/>
      <c r="B659" s="31">
        <v>654</v>
      </c>
      <c r="C659" s="36" t="s">
        <v>1462</v>
      </c>
      <c r="D659" s="36" t="s">
        <v>1559</v>
      </c>
      <c r="E659" s="36" t="s">
        <v>1560</v>
      </c>
      <c r="F659" s="36" t="s">
        <v>1567</v>
      </c>
      <c r="G659" s="36" t="s">
        <v>1568</v>
      </c>
      <c r="H659" s="37" t="s">
        <v>95</v>
      </c>
      <c r="I659" s="37" t="s">
        <v>81</v>
      </c>
      <c r="J659" s="37" t="s">
        <v>82</v>
      </c>
      <c r="K659" s="37" t="s">
        <v>87</v>
      </c>
      <c r="L659" s="36" t="s">
        <v>90</v>
      </c>
      <c r="M659" s="34">
        <v>2148.0500000000002</v>
      </c>
      <c r="N659" s="34">
        <v>988.81</v>
      </c>
      <c r="O659" s="34">
        <v>1159.24</v>
      </c>
      <c r="P659" s="34">
        <v>154.36000000000001</v>
      </c>
      <c r="Q659" s="34">
        <v>45.73</v>
      </c>
      <c r="R659" s="34">
        <v>36.17</v>
      </c>
      <c r="S659" s="34">
        <v>36.17</v>
      </c>
      <c r="T659" s="34">
        <v>31.1</v>
      </c>
      <c r="U659" s="34">
        <v>433.52</v>
      </c>
      <c r="V659" s="34">
        <v>10.29</v>
      </c>
      <c r="W659" s="34">
        <v>0.74</v>
      </c>
      <c r="X659" s="34">
        <v>0.85</v>
      </c>
      <c r="Y659" s="35">
        <v>3.8715999999999999</v>
      </c>
      <c r="Z659" s="35">
        <v>7.1738999999999997</v>
      </c>
      <c r="AA659" s="35">
        <v>53.875399999999999</v>
      </c>
    </row>
    <row r="660" spans="1:27" ht="15.75" hidden="1" customHeight="1" x14ac:dyDescent="0.2">
      <c r="A660" s="2"/>
      <c r="B660" s="31">
        <v>655</v>
      </c>
      <c r="C660" s="36" t="s">
        <v>1462</v>
      </c>
      <c r="D660" s="36" t="s">
        <v>1559</v>
      </c>
      <c r="E660" s="36" t="s">
        <v>1560</v>
      </c>
      <c r="F660" s="36" t="s">
        <v>1569</v>
      </c>
      <c r="G660" s="36" t="s">
        <v>1570</v>
      </c>
      <c r="H660" s="37" t="s">
        <v>95</v>
      </c>
      <c r="I660" s="37" t="s">
        <v>81</v>
      </c>
      <c r="J660" s="37" t="s">
        <v>82</v>
      </c>
      <c r="K660" s="37" t="s">
        <v>87</v>
      </c>
      <c r="L660" s="36" t="s">
        <v>84</v>
      </c>
      <c r="M660" s="34">
        <v>9867.26</v>
      </c>
      <c r="N660" s="34">
        <v>4221.07</v>
      </c>
      <c r="O660" s="34">
        <v>5646.18</v>
      </c>
      <c r="P660" s="34">
        <v>668.07</v>
      </c>
      <c r="Q660" s="34">
        <v>99.18</v>
      </c>
      <c r="R660" s="34">
        <v>80.53</v>
      </c>
      <c r="S660" s="34">
        <v>80.53</v>
      </c>
      <c r="T660" s="34">
        <v>41.94</v>
      </c>
      <c r="U660" s="34">
        <v>1417.03</v>
      </c>
      <c r="V660" s="34">
        <v>7.44</v>
      </c>
      <c r="W660" s="34">
        <v>0.22</v>
      </c>
      <c r="X660" s="34">
        <v>0.75</v>
      </c>
      <c r="Y660" s="35">
        <v>1.6937</v>
      </c>
      <c r="Z660" s="35">
        <v>2.9599000000000002</v>
      </c>
      <c r="AA660" s="35">
        <v>25.015499999999999</v>
      </c>
    </row>
    <row r="661" spans="1:27" ht="15.75" hidden="1" customHeight="1" x14ac:dyDescent="0.2">
      <c r="A661" s="2"/>
      <c r="B661" s="31">
        <v>656</v>
      </c>
      <c r="C661" s="36" t="s">
        <v>1462</v>
      </c>
      <c r="D661" s="36" t="s">
        <v>1559</v>
      </c>
      <c r="E661" s="36" t="s">
        <v>1560</v>
      </c>
      <c r="F661" s="36" t="s">
        <v>1571</v>
      </c>
      <c r="G661" s="36" t="s">
        <v>1572</v>
      </c>
      <c r="H661" s="37" t="s">
        <v>95</v>
      </c>
      <c r="I661" s="37" t="s">
        <v>81</v>
      </c>
      <c r="J661" s="37" t="s">
        <v>82</v>
      </c>
      <c r="K661" s="37" t="s">
        <v>87</v>
      </c>
      <c r="L661" s="36" t="s">
        <v>84</v>
      </c>
      <c r="M661" s="34">
        <v>180.11</v>
      </c>
      <c r="N661" s="34">
        <v>3.27</v>
      </c>
      <c r="O661" s="34">
        <v>176.85</v>
      </c>
      <c r="P661" s="34">
        <v>8.43</v>
      </c>
      <c r="Q661" s="34">
        <v>4.87</v>
      </c>
      <c r="R661" s="34">
        <v>4.28</v>
      </c>
      <c r="S661" s="34">
        <v>4.28</v>
      </c>
      <c r="T661" s="34">
        <v>5.62</v>
      </c>
      <c r="U661" s="34">
        <v>136.04</v>
      </c>
      <c r="V661" s="34">
        <v>124.62</v>
      </c>
      <c r="W661" s="34">
        <v>5.15</v>
      </c>
      <c r="X661" s="34">
        <v>0.02</v>
      </c>
      <c r="Y661" s="35">
        <v>4.0541</v>
      </c>
      <c r="Z661" s="35">
        <v>4.1289999999999996</v>
      </c>
      <c r="AA661" s="35">
        <v>86.584000000000003</v>
      </c>
    </row>
    <row r="662" spans="1:27" ht="15.75" hidden="1" customHeight="1" x14ac:dyDescent="0.2">
      <c r="A662" s="2"/>
      <c r="B662" s="31">
        <v>657</v>
      </c>
      <c r="C662" s="36" t="s">
        <v>1462</v>
      </c>
      <c r="D662" s="36" t="s">
        <v>1559</v>
      </c>
      <c r="E662" s="36" t="s">
        <v>1560</v>
      </c>
      <c r="F662" s="36" t="s">
        <v>1573</v>
      </c>
      <c r="G662" s="36" t="s">
        <v>1574</v>
      </c>
      <c r="H662" s="37" t="s">
        <v>95</v>
      </c>
      <c r="I662" s="37" t="s">
        <v>375</v>
      </c>
      <c r="J662" s="37" t="s">
        <v>82</v>
      </c>
      <c r="K662" s="37" t="s">
        <v>87</v>
      </c>
      <c r="L662" s="36" t="s">
        <v>84</v>
      </c>
      <c r="M662" s="34">
        <v>3385.72</v>
      </c>
      <c r="N662" s="34">
        <v>2809.26</v>
      </c>
      <c r="O662" s="34">
        <v>576.46</v>
      </c>
      <c r="P662" s="34">
        <v>90.87</v>
      </c>
      <c r="Q662" s="34">
        <v>2.93</v>
      </c>
      <c r="R662" s="34">
        <v>3.71</v>
      </c>
      <c r="S662" s="34">
        <v>3.71</v>
      </c>
      <c r="T662" s="34">
        <v>-6.77</v>
      </c>
      <c r="U662" s="34">
        <v>88.11</v>
      </c>
      <c r="V662" s="34">
        <v>-21.28</v>
      </c>
      <c r="W662" s="34">
        <v>1.63</v>
      </c>
      <c r="X662" s="34">
        <v>4.87</v>
      </c>
      <c r="Y662" s="35">
        <v>-1.3076000000000001</v>
      </c>
      <c r="Z662" s="35">
        <v>-7.6801000000000004</v>
      </c>
      <c r="AA662" s="35">
        <v>-48.721200000000003</v>
      </c>
    </row>
    <row r="663" spans="1:27" ht="15.75" hidden="1" customHeight="1" x14ac:dyDescent="0.2">
      <c r="A663" s="2"/>
      <c r="B663" s="31">
        <v>658</v>
      </c>
      <c r="C663" s="36" t="s">
        <v>1462</v>
      </c>
      <c r="D663" s="36" t="s">
        <v>1559</v>
      </c>
      <c r="E663" s="36" t="s">
        <v>1560</v>
      </c>
      <c r="F663" s="36" t="s">
        <v>1575</v>
      </c>
      <c r="G663" s="36" t="s">
        <v>1576</v>
      </c>
      <c r="H663" s="37" t="s">
        <v>95</v>
      </c>
      <c r="I663" s="37" t="s">
        <v>81</v>
      </c>
      <c r="J663" s="37" t="s">
        <v>82</v>
      </c>
      <c r="K663" s="37" t="s">
        <v>87</v>
      </c>
      <c r="L663" s="36" t="s">
        <v>84</v>
      </c>
      <c r="M663" s="34">
        <v>6934.11</v>
      </c>
      <c r="N663" s="34">
        <v>3126.76</v>
      </c>
      <c r="O663" s="34">
        <v>3807.35</v>
      </c>
      <c r="P663" s="34">
        <v>1223.17</v>
      </c>
      <c r="Q663" s="34">
        <v>286.20999999999998</v>
      </c>
      <c r="R663" s="34">
        <v>223.44</v>
      </c>
      <c r="S663" s="34">
        <v>223.44</v>
      </c>
      <c r="T663" s="34">
        <v>105.15</v>
      </c>
      <c r="U663" s="34">
        <v>761.47</v>
      </c>
      <c r="V663" s="34">
        <v>8.4600000000000009</v>
      </c>
      <c r="W663" s="34">
        <v>1.17</v>
      </c>
      <c r="X663" s="34">
        <v>0.82</v>
      </c>
      <c r="Y663" s="35">
        <v>7.5819999999999999</v>
      </c>
      <c r="Z663" s="35">
        <v>13.8086</v>
      </c>
      <c r="AA663" s="35">
        <v>42.981900000000003</v>
      </c>
    </row>
    <row r="664" spans="1:27" ht="15.75" hidden="1" customHeight="1" x14ac:dyDescent="0.2">
      <c r="A664" s="2"/>
      <c r="B664" s="31">
        <v>659</v>
      </c>
      <c r="C664" s="36" t="s">
        <v>1462</v>
      </c>
      <c r="D664" s="36" t="s">
        <v>1559</v>
      </c>
      <c r="E664" s="36" t="s">
        <v>1560</v>
      </c>
      <c r="F664" s="36" t="s">
        <v>1577</v>
      </c>
      <c r="G664" s="36" t="s">
        <v>1578</v>
      </c>
      <c r="H664" s="37" t="s">
        <v>95</v>
      </c>
      <c r="I664" s="37" t="s">
        <v>81</v>
      </c>
      <c r="J664" s="37" t="s">
        <v>82</v>
      </c>
      <c r="K664" s="37" t="s">
        <v>87</v>
      </c>
      <c r="L664" s="36" t="s">
        <v>84</v>
      </c>
      <c r="M664" s="34">
        <v>213.77</v>
      </c>
      <c r="N664" s="34">
        <v>7.09</v>
      </c>
      <c r="O664" s="34">
        <v>206.69</v>
      </c>
      <c r="P664" s="34">
        <v>10.53</v>
      </c>
      <c r="Q664" s="34">
        <v>-1.88</v>
      </c>
      <c r="R664" s="34">
        <v>-1.1399999999999999</v>
      </c>
      <c r="S664" s="34">
        <v>-1.1399999999999999</v>
      </c>
      <c r="T664" s="34">
        <v>-8.18</v>
      </c>
      <c r="U664" s="34">
        <v>61.68</v>
      </c>
      <c r="V664" s="34">
        <v>-5.99</v>
      </c>
      <c r="W664" s="34">
        <v>0.79</v>
      </c>
      <c r="X664" s="34">
        <v>0.03</v>
      </c>
      <c r="Y664" s="35">
        <v>-12.8293</v>
      </c>
      <c r="Z664" s="35">
        <v>-13.2692</v>
      </c>
      <c r="AA664" s="35">
        <v>-260.53730000000002</v>
      </c>
    </row>
    <row r="665" spans="1:27" ht="15.75" hidden="1" customHeight="1" x14ac:dyDescent="0.2">
      <c r="A665" s="2"/>
      <c r="B665" s="31">
        <v>660</v>
      </c>
      <c r="C665" s="36" t="s">
        <v>1462</v>
      </c>
      <c r="D665" s="36" t="s">
        <v>1559</v>
      </c>
      <c r="E665" s="36" t="s">
        <v>1560</v>
      </c>
      <c r="F665" s="36" t="s">
        <v>1579</v>
      </c>
      <c r="G665" s="36" t="s">
        <v>1580</v>
      </c>
      <c r="H665" s="37" t="s">
        <v>95</v>
      </c>
      <c r="I665" s="37" t="s">
        <v>81</v>
      </c>
      <c r="J665" s="37" t="s">
        <v>82</v>
      </c>
      <c r="K665" s="37" t="s">
        <v>87</v>
      </c>
      <c r="L665" s="36" t="s">
        <v>84</v>
      </c>
      <c r="M665" s="34">
        <v>1756.32</v>
      </c>
      <c r="N665" s="34">
        <v>584.71</v>
      </c>
      <c r="O665" s="34">
        <v>1171.6099999999999</v>
      </c>
      <c r="P665" s="34">
        <v>87.83</v>
      </c>
      <c r="Q665" s="34">
        <v>27.16</v>
      </c>
      <c r="R665" s="34">
        <v>20.04</v>
      </c>
      <c r="S665" s="34">
        <v>20.04</v>
      </c>
      <c r="T665" s="34">
        <v>15.08</v>
      </c>
      <c r="U665" s="34">
        <v>329.82</v>
      </c>
      <c r="V665" s="34">
        <v>28.9</v>
      </c>
      <c r="W665" s="34">
        <v>1.32</v>
      </c>
      <c r="X665" s="34">
        <v>0.5</v>
      </c>
      <c r="Y665" s="35">
        <v>3.0510000000000002</v>
      </c>
      <c r="Z665" s="35">
        <v>4.5735999999999999</v>
      </c>
      <c r="AA665" s="35">
        <v>61.011299999999999</v>
      </c>
    </row>
    <row r="666" spans="1:27" ht="15.75" hidden="1" customHeight="1" x14ac:dyDescent="0.2">
      <c r="A666" s="2"/>
      <c r="B666" s="31">
        <v>661</v>
      </c>
      <c r="C666" s="36" t="s">
        <v>1462</v>
      </c>
      <c r="D666" s="36" t="s">
        <v>1559</v>
      </c>
      <c r="E666" s="36" t="s">
        <v>1560</v>
      </c>
      <c r="F666" s="36" t="s">
        <v>1581</v>
      </c>
      <c r="G666" s="36" t="s">
        <v>1582</v>
      </c>
      <c r="H666" s="37" t="s">
        <v>95</v>
      </c>
      <c r="I666" s="37" t="s">
        <v>81</v>
      </c>
      <c r="J666" s="37" t="s">
        <v>82</v>
      </c>
      <c r="K666" s="37" t="s">
        <v>87</v>
      </c>
      <c r="L666" s="36" t="s">
        <v>84</v>
      </c>
      <c r="M666" s="34">
        <v>446.14</v>
      </c>
      <c r="N666" s="34">
        <v>33.4</v>
      </c>
      <c r="O666" s="34">
        <v>412.74</v>
      </c>
      <c r="P666" s="34">
        <v>21.57</v>
      </c>
      <c r="Q666" s="34">
        <v>9.0399999999999991</v>
      </c>
      <c r="R666" s="34">
        <v>7.74</v>
      </c>
      <c r="S666" s="34">
        <v>7.74</v>
      </c>
      <c r="T666" s="34">
        <v>29.01</v>
      </c>
      <c r="U666" s="34">
        <v>515.92999999999995</v>
      </c>
      <c r="V666" s="34">
        <v>14.96</v>
      </c>
      <c r="W666" s="34">
        <v>0.84</v>
      </c>
      <c r="X666" s="34">
        <v>0.08</v>
      </c>
      <c r="Y666" s="35">
        <v>5.2011000000000003</v>
      </c>
      <c r="Z666" s="35">
        <v>5.6219999999999999</v>
      </c>
      <c r="AA666" s="35">
        <v>107.56140000000001</v>
      </c>
    </row>
    <row r="667" spans="1:27" ht="15.75" hidden="1" customHeight="1" x14ac:dyDescent="0.2">
      <c r="A667" s="2"/>
      <c r="B667" s="31">
        <v>662</v>
      </c>
      <c r="C667" s="36" t="s">
        <v>1462</v>
      </c>
      <c r="D667" s="36" t="s">
        <v>1559</v>
      </c>
      <c r="E667" s="36" t="s">
        <v>1560</v>
      </c>
      <c r="F667" s="36" t="s">
        <v>1583</v>
      </c>
      <c r="G667" s="36" t="s">
        <v>1584</v>
      </c>
      <c r="H667" s="37" t="s">
        <v>95</v>
      </c>
      <c r="I667" s="37" t="s">
        <v>81</v>
      </c>
      <c r="J667" s="37" t="s">
        <v>82</v>
      </c>
      <c r="K667" s="37" t="s">
        <v>87</v>
      </c>
      <c r="L667" s="36" t="s">
        <v>84</v>
      </c>
      <c r="M667" s="34">
        <v>3077.44</v>
      </c>
      <c r="N667" s="34">
        <v>2341.59</v>
      </c>
      <c r="O667" s="34">
        <v>735.85</v>
      </c>
      <c r="P667" s="34">
        <v>189.94</v>
      </c>
      <c r="Q667" s="34">
        <v>-6.01</v>
      </c>
      <c r="R667" s="34">
        <v>-7.69</v>
      </c>
      <c r="S667" s="34">
        <v>-7.69</v>
      </c>
      <c r="T667" s="34">
        <v>-4.5199999999999996</v>
      </c>
      <c r="U667" s="34">
        <v>129.38</v>
      </c>
      <c r="V667" s="34">
        <v>-19.68</v>
      </c>
      <c r="W667" s="34">
        <v>0.69</v>
      </c>
      <c r="X667" s="34">
        <v>3.18</v>
      </c>
      <c r="Y667" s="35">
        <v>-0.83560000000000001</v>
      </c>
      <c r="Z667" s="35">
        <v>-3.4944999999999999</v>
      </c>
      <c r="AA667" s="35">
        <v>-13.5382</v>
      </c>
    </row>
    <row r="668" spans="1:27" ht="15.75" hidden="1" customHeight="1" x14ac:dyDescent="0.2">
      <c r="A668" s="2"/>
      <c r="B668" s="31">
        <v>663</v>
      </c>
      <c r="C668" s="36" t="s">
        <v>1462</v>
      </c>
      <c r="D668" s="36" t="s">
        <v>1559</v>
      </c>
      <c r="E668" s="36" t="s">
        <v>1560</v>
      </c>
      <c r="F668" s="36" t="s">
        <v>1585</v>
      </c>
      <c r="G668" s="36" t="s">
        <v>1586</v>
      </c>
      <c r="H668" s="37" t="s">
        <v>95</v>
      </c>
      <c r="I668" s="37" t="s">
        <v>81</v>
      </c>
      <c r="J668" s="37" t="s">
        <v>82</v>
      </c>
      <c r="K668" s="37" t="s">
        <v>87</v>
      </c>
      <c r="L668" s="36" t="s">
        <v>84</v>
      </c>
      <c r="M668" s="34">
        <v>1295.1199999999999</v>
      </c>
      <c r="N668" s="34">
        <v>870.98</v>
      </c>
      <c r="O668" s="34">
        <v>424.14</v>
      </c>
      <c r="P668" s="34">
        <v>104.01</v>
      </c>
      <c r="Q668" s="34">
        <v>9.41</v>
      </c>
      <c r="R668" s="34">
        <v>7.34</v>
      </c>
      <c r="S668" s="34">
        <v>7.4</v>
      </c>
      <c r="T668" s="34">
        <v>2.27</v>
      </c>
      <c r="U668" s="34">
        <v>67.7</v>
      </c>
      <c r="V668" s="34">
        <v>42.7</v>
      </c>
      <c r="W668" s="34">
        <v>1.43</v>
      </c>
      <c r="X668" s="34">
        <v>2.0499999999999998</v>
      </c>
      <c r="Y668" s="35">
        <v>1.099</v>
      </c>
      <c r="Z668" s="35">
        <v>3.3559000000000001</v>
      </c>
      <c r="AA668" s="35">
        <v>13.684699999999999</v>
      </c>
    </row>
    <row r="669" spans="1:27" ht="15.75" hidden="1" customHeight="1" x14ac:dyDescent="0.2">
      <c r="A669" s="2"/>
      <c r="B669" s="31">
        <v>664</v>
      </c>
      <c r="C669" s="36" t="s">
        <v>1462</v>
      </c>
      <c r="D669" s="36" t="s">
        <v>1559</v>
      </c>
      <c r="E669" s="36" t="s">
        <v>1560</v>
      </c>
      <c r="F669" s="36" t="s">
        <v>1587</v>
      </c>
      <c r="G669" s="36" t="s">
        <v>1588</v>
      </c>
      <c r="H669" s="37" t="s">
        <v>95</v>
      </c>
      <c r="I669" s="37" t="s">
        <v>81</v>
      </c>
      <c r="J669" s="37" t="s">
        <v>82</v>
      </c>
      <c r="K669" s="37" t="s">
        <v>83</v>
      </c>
      <c r="L669" s="36" t="s">
        <v>84</v>
      </c>
      <c r="M669" s="34">
        <v>8551.94</v>
      </c>
      <c r="N669" s="34">
        <v>6653.94</v>
      </c>
      <c r="O669" s="34">
        <v>1898</v>
      </c>
      <c r="P669" s="34">
        <v>907.25</v>
      </c>
      <c r="Q669" s="34">
        <v>105.28</v>
      </c>
      <c r="R669" s="34">
        <v>84.77</v>
      </c>
      <c r="S669" s="34">
        <v>84.77</v>
      </c>
      <c r="T669" s="34">
        <v>71.930000000000007</v>
      </c>
      <c r="U669" s="34">
        <v>545.16999999999996</v>
      </c>
      <c r="V669" s="34">
        <v>4.7300000000000004</v>
      </c>
      <c r="W669" s="34">
        <v>0.62</v>
      </c>
      <c r="X669" s="34">
        <v>3.51</v>
      </c>
      <c r="Y669" s="35">
        <v>2.9281000000000001</v>
      </c>
      <c r="Z669" s="35">
        <v>13.193300000000001</v>
      </c>
      <c r="AA669" s="35">
        <v>27.600999999999999</v>
      </c>
    </row>
    <row r="670" spans="1:27" ht="15.75" hidden="1" customHeight="1" x14ac:dyDescent="0.2">
      <c r="A670" s="2"/>
      <c r="B670" s="31">
        <v>665</v>
      </c>
      <c r="C670" s="36" t="s">
        <v>1462</v>
      </c>
      <c r="D670" s="36" t="s">
        <v>1589</v>
      </c>
      <c r="E670" s="36" t="s">
        <v>1590</v>
      </c>
      <c r="F670" s="36" t="s">
        <v>1591</v>
      </c>
      <c r="G670" s="36" t="s">
        <v>1592</v>
      </c>
      <c r="H670" s="37" t="s">
        <v>95</v>
      </c>
      <c r="I670" s="37" t="s">
        <v>81</v>
      </c>
      <c r="J670" s="37" t="s">
        <v>140</v>
      </c>
      <c r="K670" s="37" t="s">
        <v>104</v>
      </c>
      <c r="L670" s="36" t="s">
        <v>90</v>
      </c>
      <c r="M670" s="34">
        <v>390.5</v>
      </c>
      <c r="N670" s="34">
        <v>109.03</v>
      </c>
      <c r="O670" s="34">
        <v>281.47000000000003</v>
      </c>
      <c r="P670" s="34">
        <v>265.55</v>
      </c>
      <c r="Q670" s="34">
        <v>89.18</v>
      </c>
      <c r="R670" s="34">
        <v>72.39</v>
      </c>
      <c r="S670" s="34">
        <v>72.39</v>
      </c>
      <c r="T670" s="34">
        <v>32.58</v>
      </c>
      <c r="U670" s="34">
        <v>126.66</v>
      </c>
      <c r="V670" s="34">
        <v>13.94</v>
      </c>
      <c r="W670" s="34">
        <v>3.58</v>
      </c>
      <c r="X670" s="34">
        <v>0.39</v>
      </c>
      <c r="Y670" s="35">
        <v>18.538799999999998</v>
      </c>
      <c r="Z670" s="35">
        <v>25.719899999999999</v>
      </c>
      <c r="AA670" s="35">
        <v>27.261199999999999</v>
      </c>
    </row>
    <row r="671" spans="1:27" ht="15.75" hidden="1" customHeight="1" x14ac:dyDescent="0.2">
      <c r="A671" s="2"/>
      <c r="B671" s="31">
        <v>666</v>
      </c>
      <c r="C671" s="36" t="s">
        <v>1462</v>
      </c>
      <c r="D671" s="36" t="s">
        <v>1593</v>
      </c>
      <c r="E671" s="36" t="s">
        <v>1594</v>
      </c>
      <c r="F671" s="36" t="s">
        <v>1595</v>
      </c>
      <c r="G671" s="36" t="s">
        <v>1596</v>
      </c>
      <c r="H671" s="37" t="s">
        <v>95</v>
      </c>
      <c r="I671" s="37" t="s">
        <v>81</v>
      </c>
      <c r="J671" s="37" t="s">
        <v>82</v>
      </c>
      <c r="K671" s="37" t="s">
        <v>87</v>
      </c>
      <c r="L671" s="36" t="s">
        <v>84</v>
      </c>
      <c r="M671" s="34">
        <v>217.1</v>
      </c>
      <c r="N671" s="34">
        <v>58.6</v>
      </c>
      <c r="O671" s="34">
        <v>158.5</v>
      </c>
      <c r="P671" s="34">
        <v>12.18</v>
      </c>
      <c r="Q671" s="34">
        <v>2.89</v>
      </c>
      <c r="R671" s="34">
        <v>3</v>
      </c>
      <c r="S671" s="34">
        <v>3</v>
      </c>
      <c r="T671" s="34">
        <v>1.78</v>
      </c>
      <c r="U671" s="34">
        <v>14.02</v>
      </c>
      <c r="V671" s="34">
        <v>41.49</v>
      </c>
      <c r="W671" s="34">
        <v>5.28</v>
      </c>
      <c r="X671" s="34">
        <v>0.37</v>
      </c>
      <c r="Y671" s="35">
        <v>9.2896999999999998</v>
      </c>
      <c r="Z671" s="35">
        <v>12.7241</v>
      </c>
      <c r="AA671" s="35">
        <v>165.5352</v>
      </c>
    </row>
    <row r="672" spans="1:27" ht="15.75" hidden="1" customHeight="1" x14ac:dyDescent="0.2">
      <c r="A672" s="2"/>
      <c r="B672" s="31">
        <v>667</v>
      </c>
      <c r="C672" s="36" t="s">
        <v>1462</v>
      </c>
      <c r="D672" s="36" t="s">
        <v>1593</v>
      </c>
      <c r="E672" s="36" t="s">
        <v>1594</v>
      </c>
      <c r="F672" s="36" t="s">
        <v>1597</v>
      </c>
      <c r="G672" s="36" t="s">
        <v>1598</v>
      </c>
      <c r="H672" s="37" t="s">
        <v>95</v>
      </c>
      <c r="I672" s="37" t="s">
        <v>81</v>
      </c>
      <c r="J672" s="37" t="s">
        <v>82</v>
      </c>
      <c r="K672" s="37" t="s">
        <v>87</v>
      </c>
      <c r="L672" s="36" t="s">
        <v>84</v>
      </c>
      <c r="M672" s="34">
        <v>2113.16</v>
      </c>
      <c r="N672" s="34">
        <v>628.70000000000005</v>
      </c>
      <c r="O672" s="34">
        <v>1484.46</v>
      </c>
      <c r="P672" s="34">
        <v>159.12</v>
      </c>
      <c r="Q672" s="34">
        <v>51.72</v>
      </c>
      <c r="R672" s="34">
        <v>37.840000000000003</v>
      </c>
      <c r="S672" s="34">
        <v>36.36</v>
      </c>
      <c r="T672" s="34">
        <v>139.5</v>
      </c>
      <c r="U672" s="34">
        <v>2061.75</v>
      </c>
      <c r="V672" s="34">
        <v>9.93</v>
      </c>
      <c r="W672" s="34">
        <v>0.67</v>
      </c>
      <c r="X672" s="34">
        <v>0.42</v>
      </c>
      <c r="Y672" s="35">
        <v>4.7529000000000003</v>
      </c>
      <c r="Z672" s="35">
        <v>6.7659000000000002</v>
      </c>
      <c r="AA672" s="35">
        <v>63.1218</v>
      </c>
    </row>
    <row r="673" spans="1:27" ht="15.75" hidden="1" customHeight="1" x14ac:dyDescent="0.2">
      <c r="A673" s="2"/>
      <c r="B673" s="31">
        <v>668</v>
      </c>
      <c r="C673" s="36" t="s">
        <v>1462</v>
      </c>
      <c r="D673" s="36" t="s">
        <v>1593</v>
      </c>
      <c r="E673" s="36" t="s">
        <v>1594</v>
      </c>
      <c r="F673" s="36" t="s">
        <v>1599</v>
      </c>
      <c r="G673" s="36" t="s">
        <v>1600</v>
      </c>
      <c r="H673" s="37" t="s">
        <v>95</v>
      </c>
      <c r="I673" s="37" t="s">
        <v>81</v>
      </c>
      <c r="J673" s="37" t="s">
        <v>82</v>
      </c>
      <c r="K673" s="37" t="s">
        <v>87</v>
      </c>
      <c r="L673" s="36" t="s">
        <v>84</v>
      </c>
      <c r="M673" s="34">
        <v>812.23</v>
      </c>
      <c r="N673" s="34">
        <v>185.83</v>
      </c>
      <c r="O673" s="34">
        <v>626.4</v>
      </c>
      <c r="P673" s="34">
        <v>8.11</v>
      </c>
      <c r="Q673" s="34">
        <v>16.88</v>
      </c>
      <c r="R673" s="34">
        <v>16.89</v>
      </c>
      <c r="S673" s="34">
        <v>16.899999999999999</v>
      </c>
      <c r="T673" s="34">
        <v>8.2799999999999994</v>
      </c>
      <c r="U673" s="34">
        <v>348</v>
      </c>
      <c r="V673" s="34">
        <v>78.540000000000006</v>
      </c>
      <c r="W673" s="34">
        <v>1.87</v>
      </c>
      <c r="X673" s="34">
        <v>0.3</v>
      </c>
      <c r="Y673" s="35">
        <v>1.8340000000000001</v>
      </c>
      <c r="Z673" s="35">
        <v>2.3780000000000001</v>
      </c>
      <c r="AA673" s="35">
        <v>183.73570000000001</v>
      </c>
    </row>
    <row r="674" spans="1:27" ht="15.75" hidden="1" customHeight="1" x14ac:dyDescent="0.2">
      <c r="A674" s="2"/>
      <c r="B674" s="31">
        <v>669</v>
      </c>
      <c r="C674" s="36" t="s">
        <v>1462</v>
      </c>
      <c r="D674" s="36" t="s">
        <v>1593</v>
      </c>
      <c r="E674" s="36" t="s">
        <v>1594</v>
      </c>
      <c r="F674" s="36" t="s">
        <v>1601</v>
      </c>
      <c r="G674" s="36" t="s">
        <v>1602</v>
      </c>
      <c r="H674" s="37" t="s">
        <v>95</v>
      </c>
      <c r="I674" s="37" t="s">
        <v>81</v>
      </c>
      <c r="J674" s="37" t="s">
        <v>82</v>
      </c>
      <c r="K674" s="37" t="s">
        <v>87</v>
      </c>
      <c r="L674" s="36" t="s">
        <v>84</v>
      </c>
      <c r="M674" s="34">
        <v>4938.51</v>
      </c>
      <c r="N674" s="34">
        <v>3299.71</v>
      </c>
      <c r="O674" s="34">
        <v>1638.79</v>
      </c>
      <c r="P674" s="34">
        <v>615.99</v>
      </c>
      <c r="Q674" s="34">
        <v>195.16</v>
      </c>
      <c r="R674" s="34">
        <v>158.1</v>
      </c>
      <c r="S674" s="34">
        <v>158.06</v>
      </c>
      <c r="T674" s="34">
        <v>47.05</v>
      </c>
      <c r="U674" s="34">
        <v>230.51</v>
      </c>
      <c r="V674" s="34">
        <v>9.82</v>
      </c>
      <c r="W674" s="34">
        <v>2</v>
      </c>
      <c r="X674" s="34">
        <v>2.0099999999999998</v>
      </c>
      <c r="Y674" s="35">
        <v>6.7729999999999997</v>
      </c>
      <c r="Z674" s="35">
        <v>20.410499999999999</v>
      </c>
      <c r="AA674" s="35">
        <v>54.3005</v>
      </c>
    </row>
    <row r="675" spans="1:27" ht="15.75" hidden="1" customHeight="1" x14ac:dyDescent="0.2">
      <c r="A675" s="2"/>
      <c r="B675" s="31">
        <v>670</v>
      </c>
      <c r="C675" s="36" t="s">
        <v>1462</v>
      </c>
      <c r="D675" s="36" t="s">
        <v>1593</v>
      </c>
      <c r="E675" s="36" t="s">
        <v>1594</v>
      </c>
      <c r="F675" s="36" t="s">
        <v>1603</v>
      </c>
      <c r="G675" s="36" t="s">
        <v>1604</v>
      </c>
      <c r="H675" s="37" t="s">
        <v>95</v>
      </c>
      <c r="I675" s="37" t="s">
        <v>81</v>
      </c>
      <c r="J675" s="37" t="s">
        <v>82</v>
      </c>
      <c r="K675" s="37" t="s">
        <v>87</v>
      </c>
      <c r="L675" s="36" t="s">
        <v>84</v>
      </c>
      <c r="M675" s="34">
        <v>590.32000000000005</v>
      </c>
      <c r="N675" s="34">
        <v>19.25</v>
      </c>
      <c r="O675" s="34">
        <v>571.07000000000005</v>
      </c>
      <c r="P675" s="34">
        <v>20.8</v>
      </c>
      <c r="Q675" s="34">
        <v>10.15</v>
      </c>
      <c r="R675" s="34">
        <v>5.09</v>
      </c>
      <c r="S675" s="34">
        <v>5.09</v>
      </c>
      <c r="T675" s="34">
        <v>33.130000000000003</v>
      </c>
      <c r="U675" s="34">
        <v>319.93</v>
      </c>
      <c r="V675" s="34">
        <v>80.89</v>
      </c>
      <c r="W675" s="34">
        <v>8.3800000000000008</v>
      </c>
      <c r="X675" s="34">
        <v>0.03</v>
      </c>
      <c r="Y675" s="35">
        <v>10.0177</v>
      </c>
      <c r="Z675" s="35">
        <v>10.3553</v>
      </c>
      <c r="AA675" s="35">
        <v>284.25580000000002</v>
      </c>
    </row>
    <row r="676" spans="1:27" ht="15.75" hidden="1" customHeight="1" x14ac:dyDescent="0.2">
      <c r="A676" s="2"/>
      <c r="B676" s="31">
        <v>671</v>
      </c>
      <c r="C676" s="36" t="s">
        <v>1462</v>
      </c>
      <c r="D676" s="36" t="s">
        <v>1605</v>
      </c>
      <c r="E676" s="36" t="s">
        <v>1606</v>
      </c>
      <c r="F676" s="36" t="s">
        <v>1607</v>
      </c>
      <c r="G676" s="36" t="s">
        <v>1608</v>
      </c>
      <c r="H676" s="37" t="s">
        <v>95</v>
      </c>
      <c r="I676" s="37" t="s">
        <v>81</v>
      </c>
      <c r="J676" s="37" t="s">
        <v>82</v>
      </c>
      <c r="K676" s="37" t="s">
        <v>87</v>
      </c>
      <c r="L676" s="36" t="s">
        <v>84</v>
      </c>
      <c r="M676" s="34">
        <v>2801.03</v>
      </c>
      <c r="N676" s="34">
        <v>1172.4100000000001</v>
      </c>
      <c r="O676" s="34">
        <v>1628.63</v>
      </c>
      <c r="P676" s="34">
        <v>587.29</v>
      </c>
      <c r="Q676" s="34">
        <v>57.34</v>
      </c>
      <c r="R676" s="34">
        <v>49.41</v>
      </c>
      <c r="S676" s="34">
        <v>49.41</v>
      </c>
      <c r="T676" s="34">
        <v>145.9</v>
      </c>
      <c r="U676" s="34">
        <v>2623.4</v>
      </c>
      <c r="V676" s="34">
        <v>20.36</v>
      </c>
      <c r="W676" s="34">
        <v>1.1299999999999999</v>
      </c>
      <c r="X676" s="34">
        <v>0.72</v>
      </c>
      <c r="Y676" s="35">
        <v>3.2336999999999998</v>
      </c>
      <c r="Z676" s="35">
        <v>5.5614999999999997</v>
      </c>
      <c r="AA676" s="35">
        <v>15.422599999999999</v>
      </c>
    </row>
    <row r="677" spans="1:27" ht="15.75" hidden="1" customHeight="1" x14ac:dyDescent="0.2">
      <c r="A677" s="2"/>
      <c r="B677" s="31">
        <v>672</v>
      </c>
      <c r="C677" s="36" t="s">
        <v>1462</v>
      </c>
      <c r="D677" s="36" t="s">
        <v>1605</v>
      </c>
      <c r="E677" s="36" t="s">
        <v>1606</v>
      </c>
      <c r="F677" s="36" t="s">
        <v>1609</v>
      </c>
      <c r="G677" s="36" t="s">
        <v>1610</v>
      </c>
      <c r="H677" s="37" t="s">
        <v>95</v>
      </c>
      <c r="I677" s="37" t="s">
        <v>81</v>
      </c>
      <c r="J677" s="37" t="s">
        <v>82</v>
      </c>
      <c r="K677" s="37" t="s">
        <v>87</v>
      </c>
      <c r="L677" s="36" t="s">
        <v>84</v>
      </c>
      <c r="M677" s="34">
        <v>1181.06</v>
      </c>
      <c r="N677" s="34">
        <v>968.67</v>
      </c>
      <c r="O677" s="34">
        <v>212.39</v>
      </c>
      <c r="P677" s="34">
        <v>467.57</v>
      </c>
      <c r="Q677" s="34">
        <v>-11.36</v>
      </c>
      <c r="R677" s="34">
        <v>-11.36</v>
      </c>
      <c r="S677" s="34">
        <v>-11.36</v>
      </c>
      <c r="T677" s="34">
        <v>-0.94</v>
      </c>
      <c r="U677" s="34">
        <v>43.34</v>
      </c>
      <c r="V677" s="34">
        <v>-86.98</v>
      </c>
      <c r="W677" s="34">
        <v>1.89</v>
      </c>
      <c r="X677" s="34">
        <v>4.5599999999999996</v>
      </c>
      <c r="Y677" s="35">
        <v>-0.3911</v>
      </c>
      <c r="Z677" s="35">
        <v>-2.1749999999999998</v>
      </c>
      <c r="AA677" s="35">
        <v>-0.98799999999999999</v>
      </c>
    </row>
    <row r="678" spans="1:27" ht="15.75" hidden="1" customHeight="1" x14ac:dyDescent="0.2">
      <c r="A678" s="2"/>
      <c r="B678" s="31">
        <v>673</v>
      </c>
      <c r="C678" s="36" t="s">
        <v>1462</v>
      </c>
      <c r="D678" s="36" t="s">
        <v>1605</v>
      </c>
      <c r="E678" s="36" t="s">
        <v>1606</v>
      </c>
      <c r="F678" s="36" t="s">
        <v>1611</v>
      </c>
      <c r="G678" s="36" t="s">
        <v>1612</v>
      </c>
      <c r="H678" s="37" t="s">
        <v>95</v>
      </c>
      <c r="I678" s="37" t="s">
        <v>81</v>
      </c>
      <c r="J678" s="37" t="s">
        <v>82</v>
      </c>
      <c r="K678" s="37" t="s">
        <v>87</v>
      </c>
      <c r="L678" s="36" t="s">
        <v>90</v>
      </c>
      <c r="M678" s="34">
        <v>5141.74</v>
      </c>
      <c r="N678" s="34">
        <v>3344.99</v>
      </c>
      <c r="O678" s="34">
        <v>1796.75</v>
      </c>
      <c r="P678" s="34">
        <v>1382.16</v>
      </c>
      <c r="Q678" s="34">
        <v>78.510000000000005</v>
      </c>
      <c r="R678" s="34">
        <v>72.81</v>
      </c>
      <c r="S678" s="34">
        <v>72.81</v>
      </c>
      <c r="T678" s="34">
        <v>36.4</v>
      </c>
      <c r="U678" s="34">
        <v>359.24</v>
      </c>
      <c r="V678" s="34">
        <v>9.89</v>
      </c>
      <c r="W678" s="34">
        <v>1</v>
      </c>
      <c r="X678" s="34">
        <v>1.86</v>
      </c>
      <c r="Y678" s="35">
        <v>3.5404</v>
      </c>
      <c r="Z678" s="35">
        <v>10.131500000000001</v>
      </c>
      <c r="AA678" s="35">
        <v>13.1706</v>
      </c>
    </row>
    <row r="679" spans="1:27" ht="15.75" hidden="1" customHeight="1" x14ac:dyDescent="0.2">
      <c r="A679" s="2"/>
      <c r="B679" s="31">
        <v>674</v>
      </c>
      <c r="C679" s="36" t="s">
        <v>1462</v>
      </c>
      <c r="D679" s="36" t="s">
        <v>1605</v>
      </c>
      <c r="E679" s="36" t="s">
        <v>1606</v>
      </c>
      <c r="F679" s="36" t="s">
        <v>1613</v>
      </c>
      <c r="G679" s="36" t="s">
        <v>1614</v>
      </c>
      <c r="H679" s="37" t="s">
        <v>95</v>
      </c>
      <c r="I679" s="37" t="s">
        <v>81</v>
      </c>
      <c r="J679" s="37" t="s">
        <v>82</v>
      </c>
      <c r="K679" s="37" t="s">
        <v>87</v>
      </c>
      <c r="L679" s="36" t="s">
        <v>84</v>
      </c>
      <c r="M679" s="34">
        <v>862.43</v>
      </c>
      <c r="N679" s="34">
        <v>430.86</v>
      </c>
      <c r="O679" s="34">
        <v>431.57</v>
      </c>
      <c r="P679" s="34">
        <v>174.22</v>
      </c>
      <c r="Q679" s="34">
        <v>13.39</v>
      </c>
      <c r="R679" s="34">
        <v>6.51</v>
      </c>
      <c r="S679" s="34">
        <v>6.5</v>
      </c>
      <c r="T679" s="34">
        <v>36.200000000000003</v>
      </c>
      <c r="U679" s="34">
        <v>1238.76</v>
      </c>
      <c r="V679" s="34">
        <v>12.21</v>
      </c>
      <c r="W679" s="34">
        <v>0.36</v>
      </c>
      <c r="X679" s="34">
        <v>1</v>
      </c>
      <c r="Y679" s="35">
        <v>1.4624999999999999</v>
      </c>
      <c r="Z679" s="35">
        <v>2.9226000000000001</v>
      </c>
      <c r="AA679" s="35">
        <v>7.2396000000000003</v>
      </c>
    </row>
    <row r="680" spans="1:27" ht="15.75" hidden="1" customHeight="1" x14ac:dyDescent="0.2">
      <c r="A680" s="2"/>
      <c r="B680" s="31">
        <v>675</v>
      </c>
      <c r="C680" s="36" t="s">
        <v>1462</v>
      </c>
      <c r="D680" s="36" t="s">
        <v>1605</v>
      </c>
      <c r="E680" s="36" t="s">
        <v>1606</v>
      </c>
      <c r="F680" s="36" t="s">
        <v>1615</v>
      </c>
      <c r="G680" s="36" t="s">
        <v>1616</v>
      </c>
      <c r="H680" s="37" t="s">
        <v>95</v>
      </c>
      <c r="I680" s="37" t="s">
        <v>81</v>
      </c>
      <c r="J680" s="37" t="s">
        <v>82</v>
      </c>
      <c r="K680" s="37" t="s">
        <v>87</v>
      </c>
      <c r="L680" s="36" t="s">
        <v>84</v>
      </c>
      <c r="M680" s="34">
        <v>1440.95</v>
      </c>
      <c r="N680" s="34">
        <v>1049.76</v>
      </c>
      <c r="O680" s="34">
        <v>391.18</v>
      </c>
      <c r="P680" s="34">
        <v>907.57</v>
      </c>
      <c r="Q680" s="34">
        <v>13.04</v>
      </c>
      <c r="R680" s="34">
        <v>12.07</v>
      </c>
      <c r="S680" s="34">
        <v>12.07</v>
      </c>
      <c r="T680" s="34">
        <v>81.099999999999994</v>
      </c>
      <c r="U680" s="34">
        <v>1008.52</v>
      </c>
      <c r="V680" s="34">
        <v>6.84</v>
      </c>
      <c r="W680" s="34">
        <v>0.55000000000000004</v>
      </c>
      <c r="X680" s="34">
        <v>2.68</v>
      </c>
      <c r="Y680" s="35">
        <v>2.1610999999999998</v>
      </c>
      <c r="Z680" s="35">
        <v>7.9607000000000001</v>
      </c>
      <c r="AA680" s="35">
        <v>3.4312</v>
      </c>
    </row>
    <row r="681" spans="1:27" ht="15.75" hidden="1" customHeight="1" x14ac:dyDescent="0.2">
      <c r="A681" s="2"/>
      <c r="B681" s="31">
        <v>676</v>
      </c>
      <c r="C681" s="36" t="s">
        <v>1462</v>
      </c>
      <c r="D681" s="36" t="s">
        <v>1605</v>
      </c>
      <c r="E681" s="36" t="s">
        <v>1606</v>
      </c>
      <c r="F681" s="36" t="s">
        <v>1617</v>
      </c>
      <c r="G681" s="36" t="s">
        <v>1618</v>
      </c>
      <c r="H681" s="37" t="s">
        <v>95</v>
      </c>
      <c r="I681" s="37" t="s">
        <v>81</v>
      </c>
      <c r="J681" s="37" t="s">
        <v>82</v>
      </c>
      <c r="K681" s="37" t="s">
        <v>87</v>
      </c>
      <c r="L681" s="36" t="s">
        <v>84</v>
      </c>
      <c r="M681" s="34">
        <v>572.27</v>
      </c>
      <c r="N681" s="34">
        <v>255.97</v>
      </c>
      <c r="O681" s="34">
        <v>316.31</v>
      </c>
      <c r="P681" s="34">
        <v>109.55</v>
      </c>
      <c r="Q681" s="34">
        <v>-3.75</v>
      </c>
      <c r="R681" s="34">
        <v>-4.01</v>
      </c>
      <c r="S681" s="34">
        <v>-4.01</v>
      </c>
      <c r="T681" s="34">
        <v>0.41</v>
      </c>
      <c r="U681" s="34">
        <v>225.93</v>
      </c>
      <c r="V681" s="34">
        <v>285.45999999999998</v>
      </c>
      <c r="W681" s="34">
        <v>0.51</v>
      </c>
      <c r="X681" s="34">
        <v>0.81</v>
      </c>
      <c r="Y681" s="35">
        <v>9.9400000000000002E-2</v>
      </c>
      <c r="Z681" s="35">
        <v>0.1799</v>
      </c>
      <c r="AA681" s="35">
        <v>0.51929999999999998</v>
      </c>
    </row>
    <row r="682" spans="1:27" ht="15.75" hidden="1" customHeight="1" x14ac:dyDescent="0.2">
      <c r="A682" s="2"/>
      <c r="B682" s="31">
        <v>677</v>
      </c>
      <c r="C682" s="36" t="s">
        <v>1462</v>
      </c>
      <c r="D682" s="36" t="s">
        <v>1605</v>
      </c>
      <c r="E682" s="36" t="s">
        <v>1606</v>
      </c>
      <c r="F682" s="36" t="s">
        <v>1619</v>
      </c>
      <c r="G682" s="36" t="s">
        <v>1620</v>
      </c>
      <c r="H682" s="37" t="s">
        <v>95</v>
      </c>
      <c r="I682" s="37" t="s">
        <v>81</v>
      </c>
      <c r="J682" s="37" t="s">
        <v>82</v>
      </c>
      <c r="K682" s="37" t="s">
        <v>87</v>
      </c>
      <c r="L682" s="36" t="s">
        <v>84</v>
      </c>
      <c r="M682" s="34">
        <v>1201.5</v>
      </c>
      <c r="N682" s="34">
        <v>806.35</v>
      </c>
      <c r="O682" s="34">
        <v>391.66</v>
      </c>
      <c r="P682" s="34">
        <v>789.61</v>
      </c>
      <c r="Q682" s="34">
        <v>0.62</v>
      </c>
      <c r="R682" s="34">
        <v>0.62</v>
      </c>
      <c r="S682" s="34">
        <v>0.62</v>
      </c>
      <c r="T682" s="34">
        <v>1.66</v>
      </c>
      <c r="U682" s="34">
        <v>43.72</v>
      </c>
      <c r="V682" s="34">
        <v>23.5</v>
      </c>
      <c r="W682" s="34">
        <v>0.89</v>
      </c>
      <c r="X682" s="34">
        <v>2.06</v>
      </c>
      <c r="Y682" s="35">
        <v>1.2376</v>
      </c>
      <c r="Z682" s="35">
        <v>3.7964000000000002</v>
      </c>
      <c r="AA682" s="35">
        <v>1.8831</v>
      </c>
    </row>
    <row r="683" spans="1:27" ht="15.75" hidden="1" customHeight="1" x14ac:dyDescent="0.2">
      <c r="A683" s="2"/>
      <c r="B683" s="31">
        <v>678</v>
      </c>
      <c r="C683" s="36" t="s">
        <v>1462</v>
      </c>
      <c r="D683" s="36" t="s">
        <v>1605</v>
      </c>
      <c r="E683" s="36" t="s">
        <v>1606</v>
      </c>
      <c r="F683" s="36" t="s">
        <v>1621</v>
      </c>
      <c r="G683" s="36" t="s">
        <v>1622</v>
      </c>
      <c r="H683" s="37" t="s">
        <v>95</v>
      </c>
      <c r="I683" s="37" t="s">
        <v>81</v>
      </c>
      <c r="J683" s="37" t="s">
        <v>82</v>
      </c>
      <c r="K683" s="37" t="s">
        <v>87</v>
      </c>
      <c r="L683" s="36" t="s">
        <v>84</v>
      </c>
      <c r="M683" s="34">
        <v>1808.79</v>
      </c>
      <c r="N683" s="34">
        <v>1274.79</v>
      </c>
      <c r="O683" s="34">
        <v>534</v>
      </c>
      <c r="P683" s="34">
        <v>678.35</v>
      </c>
      <c r="Q683" s="34">
        <v>29.47</v>
      </c>
      <c r="R683" s="34">
        <v>26.48</v>
      </c>
      <c r="S683" s="34">
        <v>26.49</v>
      </c>
      <c r="T683" s="34">
        <v>15.62</v>
      </c>
      <c r="U683" s="34">
        <v>438.73</v>
      </c>
      <c r="V683" s="34">
        <v>23.55</v>
      </c>
      <c r="W683" s="34">
        <v>0.84</v>
      </c>
      <c r="X683" s="34">
        <v>2.39</v>
      </c>
      <c r="Y683" s="35">
        <v>1.0512999999999999</v>
      </c>
      <c r="Z683" s="35">
        <v>3.5609999999999999</v>
      </c>
      <c r="AA683" s="35">
        <v>2.8031999999999999</v>
      </c>
    </row>
    <row r="684" spans="1:27" ht="15.75" hidden="1" customHeight="1" x14ac:dyDescent="0.2">
      <c r="A684" s="2"/>
      <c r="B684" s="31">
        <v>679</v>
      </c>
      <c r="C684" s="36" t="s">
        <v>1462</v>
      </c>
      <c r="D684" s="36" t="s">
        <v>1623</v>
      </c>
      <c r="E684" s="36" t="s">
        <v>1624</v>
      </c>
      <c r="F684" s="36" t="s">
        <v>1625</v>
      </c>
      <c r="G684" s="36" t="s">
        <v>1626</v>
      </c>
      <c r="H684" s="37" t="s">
        <v>95</v>
      </c>
      <c r="I684" s="37" t="s">
        <v>81</v>
      </c>
      <c r="J684" s="37" t="s">
        <v>82</v>
      </c>
      <c r="K684" s="37" t="s">
        <v>87</v>
      </c>
      <c r="L684" s="36" t="s">
        <v>84</v>
      </c>
      <c r="M684" s="34">
        <v>1187.43</v>
      </c>
      <c r="N684" s="34">
        <v>604.79999999999995</v>
      </c>
      <c r="O684" s="34">
        <v>582.62</v>
      </c>
      <c r="P684" s="34">
        <v>66</v>
      </c>
      <c r="Q684" s="34">
        <v>0.42</v>
      </c>
      <c r="R684" s="34">
        <v>0.42</v>
      </c>
      <c r="S684" s="34">
        <v>1.06</v>
      </c>
      <c r="T684" s="34">
        <v>-0.56000000000000005</v>
      </c>
      <c r="U684" s="34">
        <v>115.36</v>
      </c>
      <c r="V684" s="34">
        <v>-1576.54</v>
      </c>
      <c r="W684" s="34">
        <v>7.58</v>
      </c>
      <c r="X684" s="34">
        <v>1.04</v>
      </c>
      <c r="Y684" s="35">
        <v>-0.23369999999999999</v>
      </c>
      <c r="Z684" s="35">
        <v>-0.4763</v>
      </c>
      <c r="AA684" s="35">
        <v>-4.2047999999999996</v>
      </c>
    </row>
    <row r="685" spans="1:27" ht="15.75" hidden="1" customHeight="1" x14ac:dyDescent="0.2">
      <c r="A685" s="2"/>
      <c r="B685" s="31">
        <v>680</v>
      </c>
      <c r="C685" s="36" t="s">
        <v>1462</v>
      </c>
      <c r="D685" s="36" t="s">
        <v>1623</v>
      </c>
      <c r="E685" s="36" t="s">
        <v>1624</v>
      </c>
      <c r="F685" s="36" t="s">
        <v>1627</v>
      </c>
      <c r="G685" s="36" t="s">
        <v>1628</v>
      </c>
      <c r="H685" s="37" t="s">
        <v>80</v>
      </c>
      <c r="I685" s="37" t="s">
        <v>81</v>
      </c>
      <c r="J685" s="37" t="s">
        <v>82</v>
      </c>
      <c r="K685" s="37" t="s">
        <v>87</v>
      </c>
      <c r="L685" s="36" t="s">
        <v>84</v>
      </c>
      <c r="M685" s="34">
        <v>441.37</v>
      </c>
      <c r="N685" s="34">
        <v>356.8</v>
      </c>
      <c r="O685" s="34">
        <v>125.9</v>
      </c>
      <c r="P685" s="34">
        <v>41.99</v>
      </c>
      <c r="Q685" s="34">
        <v>3.02</v>
      </c>
      <c r="R685" s="34">
        <v>3.02</v>
      </c>
      <c r="S685" s="34">
        <v>3.02</v>
      </c>
      <c r="T685" s="34">
        <v>3.04</v>
      </c>
      <c r="U685" s="34">
        <v>125.9</v>
      </c>
      <c r="V685" s="34">
        <v>46.78</v>
      </c>
      <c r="W685" s="34">
        <v>1.1299999999999999</v>
      </c>
      <c r="X685" s="34">
        <v>2.83</v>
      </c>
      <c r="Y685" s="35">
        <v>0.68779999999999997</v>
      </c>
      <c r="Z685" s="35">
        <v>2.4112</v>
      </c>
      <c r="AA685" s="35">
        <v>7.2291999999999996</v>
      </c>
    </row>
    <row r="686" spans="1:27" ht="15.75" hidden="1" customHeight="1" x14ac:dyDescent="0.2">
      <c r="A686" s="2"/>
      <c r="B686" s="31">
        <v>681</v>
      </c>
      <c r="C686" s="36" t="s">
        <v>1462</v>
      </c>
      <c r="D686" s="36" t="s">
        <v>1623</v>
      </c>
      <c r="E686" s="36" t="s">
        <v>1624</v>
      </c>
      <c r="F686" s="36" t="s">
        <v>1629</v>
      </c>
      <c r="G686" s="36" t="s">
        <v>1630</v>
      </c>
      <c r="H686" s="37" t="s">
        <v>95</v>
      </c>
      <c r="I686" s="37" t="s">
        <v>81</v>
      </c>
      <c r="J686" s="37" t="s">
        <v>82</v>
      </c>
      <c r="K686" s="37" t="s">
        <v>87</v>
      </c>
      <c r="L686" s="36" t="s">
        <v>84</v>
      </c>
      <c r="M686" s="34">
        <v>15028.66</v>
      </c>
      <c r="N686" s="34">
        <v>6692.59</v>
      </c>
      <c r="O686" s="34">
        <v>8321.23</v>
      </c>
      <c r="P686" s="34">
        <v>1327.84</v>
      </c>
      <c r="Q686" s="34">
        <v>143.31</v>
      </c>
      <c r="R686" s="34">
        <v>107.11</v>
      </c>
      <c r="S686" s="34">
        <v>107.11</v>
      </c>
      <c r="T686" s="34">
        <v>146.47</v>
      </c>
      <c r="U686" s="34">
        <v>3962.49</v>
      </c>
      <c r="V686" s="34">
        <v>63.32</v>
      </c>
      <c r="W686" s="34">
        <v>2.34</v>
      </c>
      <c r="X686" s="34">
        <v>0.8</v>
      </c>
      <c r="Y686" s="35">
        <v>2.0466000000000002</v>
      </c>
      <c r="Z686" s="35">
        <v>3.6962999999999999</v>
      </c>
      <c r="AA686" s="35">
        <v>23.164100000000001</v>
      </c>
    </row>
    <row r="687" spans="1:27" ht="15.75" hidden="1" customHeight="1" x14ac:dyDescent="0.2">
      <c r="A687" s="2"/>
      <c r="B687" s="31">
        <v>682</v>
      </c>
      <c r="C687" s="36" t="s">
        <v>1462</v>
      </c>
      <c r="D687" s="36" t="s">
        <v>1605</v>
      </c>
      <c r="E687" s="36" t="s">
        <v>1606</v>
      </c>
      <c r="F687" s="36" t="s">
        <v>1631</v>
      </c>
      <c r="G687" s="36" t="s">
        <v>1632</v>
      </c>
      <c r="H687" s="37" t="s">
        <v>95</v>
      </c>
      <c r="I687" s="37" t="s">
        <v>81</v>
      </c>
      <c r="J687" s="37" t="s">
        <v>82</v>
      </c>
      <c r="K687" s="37" t="s">
        <v>87</v>
      </c>
      <c r="L687" s="36" t="s">
        <v>84</v>
      </c>
      <c r="M687" s="34">
        <v>2881.52</v>
      </c>
      <c r="N687" s="34">
        <v>1894.72</v>
      </c>
      <c r="O687" s="34">
        <v>986.8</v>
      </c>
      <c r="P687" s="34">
        <v>1752.53</v>
      </c>
      <c r="Q687" s="34">
        <v>118.49</v>
      </c>
      <c r="R687" s="34">
        <v>105.71</v>
      </c>
      <c r="S687" s="34">
        <v>105.71</v>
      </c>
      <c r="T687" s="34">
        <v>46.68</v>
      </c>
      <c r="U687" s="34">
        <v>328.93</v>
      </c>
      <c r="V687" s="34">
        <v>9.85</v>
      </c>
      <c r="W687" s="34">
        <v>1.4</v>
      </c>
      <c r="X687" s="34">
        <v>1.92</v>
      </c>
      <c r="Y687" s="35">
        <v>4.8598999999999997</v>
      </c>
      <c r="Z687" s="35">
        <v>14.1913</v>
      </c>
      <c r="AA687" s="35">
        <v>7.9907000000000004</v>
      </c>
    </row>
    <row r="688" spans="1:27" ht="15.75" hidden="1" customHeight="1" x14ac:dyDescent="0.2">
      <c r="A688" s="2"/>
      <c r="B688" s="31">
        <v>683</v>
      </c>
      <c r="C688" s="36" t="s">
        <v>1462</v>
      </c>
      <c r="D688" s="36" t="s">
        <v>1633</v>
      </c>
      <c r="E688" s="36" t="s">
        <v>1634</v>
      </c>
      <c r="F688" s="36" t="s">
        <v>1635</v>
      </c>
      <c r="G688" s="36" t="s">
        <v>1636</v>
      </c>
      <c r="H688" s="37" t="s">
        <v>95</v>
      </c>
      <c r="I688" s="37" t="s">
        <v>81</v>
      </c>
      <c r="J688" s="37" t="s">
        <v>82</v>
      </c>
      <c r="K688" s="37" t="s">
        <v>87</v>
      </c>
      <c r="L688" s="36" t="s">
        <v>84</v>
      </c>
      <c r="M688" s="34">
        <v>5202.58</v>
      </c>
      <c r="N688" s="34">
        <v>3637.53</v>
      </c>
      <c r="O688" s="34">
        <v>1556.03</v>
      </c>
      <c r="P688" s="34">
        <v>1814.6</v>
      </c>
      <c r="Q688" s="34">
        <v>65.86</v>
      </c>
      <c r="R688" s="34">
        <v>69.599999999999994</v>
      </c>
      <c r="S688" s="34">
        <v>69.599999999999994</v>
      </c>
      <c r="T688" s="34">
        <v>87.27</v>
      </c>
      <c r="U688" s="34">
        <v>3005.12</v>
      </c>
      <c r="V688" s="34">
        <v>10.6</v>
      </c>
      <c r="W688" s="34">
        <v>0.31</v>
      </c>
      <c r="X688" s="34">
        <v>2.34</v>
      </c>
      <c r="Y688" s="35">
        <v>0.86850000000000005</v>
      </c>
      <c r="Z688" s="35">
        <v>2.9039000000000001</v>
      </c>
      <c r="AA688" s="35">
        <v>2.4901</v>
      </c>
    </row>
    <row r="689" spans="1:27" ht="15.75" hidden="1" customHeight="1" x14ac:dyDescent="0.2">
      <c r="A689" s="2"/>
      <c r="B689" s="31">
        <v>684</v>
      </c>
      <c r="C689" s="36" t="s">
        <v>1462</v>
      </c>
      <c r="D689" s="36" t="s">
        <v>1605</v>
      </c>
      <c r="E689" s="36" t="s">
        <v>1606</v>
      </c>
      <c r="F689" s="36" t="s">
        <v>1637</v>
      </c>
      <c r="G689" s="36" t="s">
        <v>1638</v>
      </c>
      <c r="H689" s="37" t="s">
        <v>95</v>
      </c>
      <c r="I689" s="37" t="s">
        <v>81</v>
      </c>
      <c r="J689" s="37" t="s">
        <v>82</v>
      </c>
      <c r="K689" s="37" t="s">
        <v>87</v>
      </c>
      <c r="L689" s="36" t="s">
        <v>84</v>
      </c>
      <c r="M689" s="34">
        <v>2092.9499999999998</v>
      </c>
      <c r="N689" s="34">
        <v>1687.62</v>
      </c>
      <c r="O689" s="34">
        <v>405.33</v>
      </c>
      <c r="P689" s="34">
        <v>870.6</v>
      </c>
      <c r="Q689" s="34">
        <v>49.14</v>
      </c>
      <c r="R689" s="34">
        <v>49.14</v>
      </c>
      <c r="S689" s="34">
        <v>49.14</v>
      </c>
      <c r="T689" s="34">
        <v>30.31</v>
      </c>
      <c r="U689" s="34">
        <v>138.6</v>
      </c>
      <c r="V689" s="34">
        <v>11.61</v>
      </c>
      <c r="W689" s="34">
        <v>2.54</v>
      </c>
      <c r="X689" s="34">
        <v>4.16</v>
      </c>
      <c r="Y689" s="35">
        <v>4.2359</v>
      </c>
      <c r="Z689" s="35">
        <v>21.872299999999999</v>
      </c>
      <c r="AA689" s="35">
        <v>10.183299999999999</v>
      </c>
    </row>
    <row r="690" spans="1:27" ht="15.75" hidden="1" customHeight="1" x14ac:dyDescent="0.2">
      <c r="A690" s="2"/>
      <c r="B690" s="31">
        <v>685</v>
      </c>
      <c r="C690" s="36" t="s">
        <v>1462</v>
      </c>
      <c r="D690" s="36" t="s">
        <v>1605</v>
      </c>
      <c r="E690" s="36" t="s">
        <v>1606</v>
      </c>
      <c r="F690" s="36" t="s">
        <v>1639</v>
      </c>
      <c r="G690" s="36" t="s">
        <v>1640</v>
      </c>
      <c r="H690" s="37" t="s">
        <v>95</v>
      </c>
      <c r="I690" s="37" t="s">
        <v>81</v>
      </c>
      <c r="J690" s="37" t="s">
        <v>82</v>
      </c>
      <c r="K690" s="37" t="s">
        <v>87</v>
      </c>
      <c r="L690" s="36" t="s">
        <v>84</v>
      </c>
      <c r="M690" s="34">
        <v>243176.67</v>
      </c>
      <c r="N690" s="34">
        <v>160775.93</v>
      </c>
      <c r="O690" s="34">
        <v>69020.33</v>
      </c>
      <c r="P690" s="34">
        <v>6629.66</v>
      </c>
      <c r="Q690" s="34">
        <v>1873.09</v>
      </c>
      <c r="R690" s="34">
        <v>1471.24</v>
      </c>
      <c r="S690" s="34">
        <v>320.58</v>
      </c>
      <c r="T690" s="34">
        <v>291.26</v>
      </c>
      <c r="U690" s="34">
        <v>16965.3</v>
      </c>
      <c r="V690" s="34">
        <v>2.75</v>
      </c>
      <c r="W690" s="34">
        <v>0.05</v>
      </c>
      <c r="X690" s="34">
        <v>2.33</v>
      </c>
      <c r="Y690" s="35">
        <v>0.48730000000000001</v>
      </c>
      <c r="Z690" s="35">
        <v>1.7168000000000001</v>
      </c>
      <c r="AA690" s="35">
        <v>17.8736</v>
      </c>
    </row>
    <row r="691" spans="1:27" ht="15.75" hidden="1" customHeight="1" x14ac:dyDescent="0.2">
      <c r="A691" s="2"/>
      <c r="B691" s="31">
        <v>686</v>
      </c>
      <c r="C691" s="36" t="s">
        <v>1462</v>
      </c>
      <c r="D691" s="36" t="s">
        <v>1623</v>
      </c>
      <c r="E691" s="36" t="s">
        <v>1624</v>
      </c>
      <c r="F691" s="36" t="s">
        <v>1641</v>
      </c>
      <c r="G691" s="36" t="s">
        <v>1642</v>
      </c>
      <c r="H691" s="37" t="s">
        <v>95</v>
      </c>
      <c r="I691" s="37" t="s">
        <v>81</v>
      </c>
      <c r="J691" s="37" t="s">
        <v>82</v>
      </c>
      <c r="K691" s="37" t="s">
        <v>87</v>
      </c>
      <c r="L691" s="36" t="s">
        <v>84</v>
      </c>
      <c r="M691" s="34">
        <v>241552.61</v>
      </c>
      <c r="N691" s="34">
        <v>161594.10999999999</v>
      </c>
      <c r="O691" s="34">
        <v>66618.75</v>
      </c>
      <c r="P691" s="34">
        <v>6832.44</v>
      </c>
      <c r="Q691" s="34">
        <v>2078.13</v>
      </c>
      <c r="R691" s="34">
        <v>1676.29</v>
      </c>
      <c r="S691" s="34">
        <v>812.56</v>
      </c>
      <c r="T691" s="34">
        <v>52.45</v>
      </c>
      <c r="U691" s="34">
        <v>2080.4</v>
      </c>
      <c r="V691" s="34">
        <v>4.6100000000000003</v>
      </c>
      <c r="W691" s="34">
        <v>0.12</v>
      </c>
      <c r="X691" s="34">
        <v>2.4300000000000002</v>
      </c>
      <c r="Y691" s="35">
        <v>0.69530000000000003</v>
      </c>
      <c r="Z691" s="35">
        <v>2.5209999999999999</v>
      </c>
      <c r="AA691" s="35">
        <v>24.5808</v>
      </c>
    </row>
    <row r="692" spans="1:27" ht="15.75" hidden="1" customHeight="1" x14ac:dyDescent="0.2">
      <c r="A692" s="2"/>
      <c r="B692" s="31">
        <v>687</v>
      </c>
      <c r="C692" s="36" t="s">
        <v>1462</v>
      </c>
      <c r="D692" s="36" t="s">
        <v>1605</v>
      </c>
      <c r="E692" s="36" t="s">
        <v>1606</v>
      </c>
      <c r="F692" s="36" t="s">
        <v>1643</v>
      </c>
      <c r="G692" s="36" t="s">
        <v>1644</v>
      </c>
      <c r="H692" s="37" t="s">
        <v>95</v>
      </c>
      <c r="I692" s="37" t="s">
        <v>81</v>
      </c>
      <c r="J692" s="37" t="s">
        <v>82</v>
      </c>
      <c r="K692" s="37" t="s">
        <v>87</v>
      </c>
      <c r="L692" s="36" t="s">
        <v>84</v>
      </c>
      <c r="M692" s="34">
        <v>32564.54</v>
      </c>
      <c r="N692" s="34">
        <v>21805.91</v>
      </c>
      <c r="O692" s="34">
        <v>10758.63</v>
      </c>
      <c r="P692" s="34">
        <v>4720.49</v>
      </c>
      <c r="Q692" s="34">
        <v>461.23</v>
      </c>
      <c r="R692" s="34">
        <v>397.44</v>
      </c>
      <c r="S692" s="34">
        <v>357.53</v>
      </c>
      <c r="T692" s="34">
        <v>174.27</v>
      </c>
      <c r="U692" s="34">
        <v>3025.85</v>
      </c>
      <c r="V692" s="34">
        <v>5.8</v>
      </c>
      <c r="W692" s="34">
        <v>0.33</v>
      </c>
      <c r="X692" s="34">
        <v>2.0299999999999998</v>
      </c>
      <c r="Y692" s="35">
        <v>1.9027000000000001</v>
      </c>
      <c r="Z692" s="35">
        <v>5.7592999999999996</v>
      </c>
      <c r="AA692" s="35">
        <v>13.126200000000001</v>
      </c>
    </row>
    <row r="693" spans="1:27" ht="15.75" hidden="1" customHeight="1" x14ac:dyDescent="0.2">
      <c r="A693" s="2"/>
      <c r="B693" s="31">
        <v>688</v>
      </c>
      <c r="C693" s="36" t="s">
        <v>1462</v>
      </c>
      <c r="D693" s="36" t="s">
        <v>1605</v>
      </c>
      <c r="E693" s="36" t="s">
        <v>1606</v>
      </c>
      <c r="F693" s="36" t="s">
        <v>1645</v>
      </c>
      <c r="G693" s="36" t="s">
        <v>1646</v>
      </c>
      <c r="H693" s="37" t="s">
        <v>95</v>
      </c>
      <c r="I693" s="37" t="s">
        <v>81</v>
      </c>
      <c r="J693" s="37" t="s">
        <v>82</v>
      </c>
      <c r="K693" s="37" t="s">
        <v>87</v>
      </c>
      <c r="L693" s="36" t="s">
        <v>84</v>
      </c>
      <c r="M693" s="34">
        <v>267.33</v>
      </c>
      <c r="N693" s="34">
        <v>62.26</v>
      </c>
      <c r="O693" s="34">
        <v>205.06</v>
      </c>
      <c r="P693" s="34">
        <v>65.87</v>
      </c>
      <c r="Q693" s="34">
        <v>4.17</v>
      </c>
      <c r="R693" s="34">
        <v>4.17</v>
      </c>
      <c r="S693" s="34">
        <v>4.17</v>
      </c>
      <c r="T693" s="34">
        <v>5.91</v>
      </c>
      <c r="U693" s="34">
        <v>140.4</v>
      </c>
      <c r="V693" s="34">
        <v>24.35</v>
      </c>
      <c r="W693" s="34">
        <v>1.03</v>
      </c>
      <c r="X693" s="34">
        <v>0.3</v>
      </c>
      <c r="Y693" s="35">
        <v>3.2309000000000001</v>
      </c>
      <c r="Z693" s="35">
        <v>4.2119</v>
      </c>
      <c r="AA693" s="35">
        <v>13.1121</v>
      </c>
    </row>
    <row r="694" spans="1:27" ht="15.75" hidden="1" customHeight="1" x14ac:dyDescent="0.2">
      <c r="A694" s="2"/>
      <c r="B694" s="31">
        <v>689</v>
      </c>
      <c r="C694" s="36" t="s">
        <v>1462</v>
      </c>
      <c r="D694" s="36" t="s">
        <v>1605</v>
      </c>
      <c r="E694" s="36" t="s">
        <v>1606</v>
      </c>
      <c r="F694" s="36" t="s">
        <v>1647</v>
      </c>
      <c r="G694" s="36" t="s">
        <v>1648</v>
      </c>
      <c r="H694" s="37" t="s">
        <v>95</v>
      </c>
      <c r="I694" s="37" t="s">
        <v>81</v>
      </c>
      <c r="J694" s="37" t="s">
        <v>82</v>
      </c>
      <c r="K694" s="37" t="s">
        <v>87</v>
      </c>
      <c r="L694" s="36" t="s">
        <v>84</v>
      </c>
      <c r="M694" s="34">
        <v>303.98</v>
      </c>
      <c r="N694" s="34">
        <v>102.79</v>
      </c>
      <c r="O694" s="34">
        <v>201.19</v>
      </c>
      <c r="P694" s="34">
        <v>342.23</v>
      </c>
      <c r="Q694" s="34">
        <v>14.86</v>
      </c>
      <c r="R694" s="34">
        <v>14.86</v>
      </c>
      <c r="S694" s="34">
        <v>14.86</v>
      </c>
      <c r="T694" s="34">
        <v>4.49</v>
      </c>
      <c r="U694" s="34">
        <v>58.75</v>
      </c>
      <c r="V694" s="34">
        <v>22.48</v>
      </c>
      <c r="W694" s="34">
        <v>1.72</v>
      </c>
      <c r="X694" s="34">
        <v>0.51</v>
      </c>
      <c r="Y694" s="35">
        <v>5.0624000000000002</v>
      </c>
      <c r="Z694" s="35">
        <v>7.6487999999999996</v>
      </c>
      <c r="AA694" s="35">
        <v>4.4965999999999999</v>
      </c>
    </row>
    <row r="695" spans="1:27" ht="15.75" hidden="1" customHeight="1" x14ac:dyDescent="0.2">
      <c r="A695" s="2"/>
      <c r="B695" s="31">
        <v>690</v>
      </c>
      <c r="C695" s="36" t="s">
        <v>1462</v>
      </c>
      <c r="D695" s="36" t="s">
        <v>1649</v>
      </c>
      <c r="E695" s="36" t="s">
        <v>1650</v>
      </c>
      <c r="F695" s="36" t="s">
        <v>1651</v>
      </c>
      <c r="G695" s="36" t="s">
        <v>1652</v>
      </c>
      <c r="H695" s="37" t="s">
        <v>95</v>
      </c>
      <c r="I695" s="37" t="s">
        <v>81</v>
      </c>
      <c r="J695" s="37" t="s">
        <v>82</v>
      </c>
      <c r="K695" s="37" t="s">
        <v>87</v>
      </c>
      <c r="L695" s="36" t="s">
        <v>84</v>
      </c>
      <c r="M695" s="34">
        <v>7172.99</v>
      </c>
      <c r="N695" s="34">
        <v>4410.42</v>
      </c>
      <c r="O695" s="34">
        <v>2762.57</v>
      </c>
      <c r="P695" s="34">
        <v>1103.5999999999999</v>
      </c>
      <c r="Q695" s="34">
        <v>94.58</v>
      </c>
      <c r="R695" s="34">
        <v>89.84</v>
      </c>
      <c r="S695" s="34">
        <v>87.26</v>
      </c>
      <c r="T695" s="34">
        <v>8.2899999999999991</v>
      </c>
      <c r="U695" s="34">
        <v>234.79</v>
      </c>
      <c r="V695" s="34">
        <v>141.08000000000001</v>
      </c>
      <c r="W695" s="34">
        <v>4.9800000000000004</v>
      </c>
      <c r="X695" s="34">
        <v>1.6</v>
      </c>
      <c r="Y695" s="35">
        <v>1.3604000000000001</v>
      </c>
      <c r="Z695" s="35">
        <v>3.5322</v>
      </c>
      <c r="AA695" s="35">
        <v>8.8417999999999992</v>
      </c>
    </row>
    <row r="696" spans="1:27" ht="15.75" hidden="1" customHeight="1" x14ac:dyDescent="0.2">
      <c r="A696" s="2"/>
      <c r="B696" s="31">
        <v>691</v>
      </c>
      <c r="C696" s="36" t="s">
        <v>1462</v>
      </c>
      <c r="D696" s="36" t="s">
        <v>1649</v>
      </c>
      <c r="E696" s="36" t="s">
        <v>1650</v>
      </c>
      <c r="F696" s="36" t="s">
        <v>1653</v>
      </c>
      <c r="G696" s="36" t="s">
        <v>1654</v>
      </c>
      <c r="H696" s="37" t="s">
        <v>95</v>
      </c>
      <c r="I696" s="37" t="s">
        <v>81</v>
      </c>
      <c r="J696" s="37" t="s">
        <v>82</v>
      </c>
      <c r="K696" s="37" t="s">
        <v>87</v>
      </c>
      <c r="L696" s="36" t="s">
        <v>84</v>
      </c>
      <c r="M696" s="34">
        <v>29986.400000000001</v>
      </c>
      <c r="N696" s="34">
        <v>24039.99</v>
      </c>
      <c r="O696" s="34">
        <v>5946.41</v>
      </c>
      <c r="P696" s="34">
        <v>1587.71</v>
      </c>
      <c r="Q696" s="34">
        <v>108.41</v>
      </c>
      <c r="R696" s="34">
        <v>107.1</v>
      </c>
      <c r="S696" s="34">
        <v>91.76</v>
      </c>
      <c r="T696" s="34">
        <v>2.17</v>
      </c>
      <c r="U696" s="34">
        <v>138.13</v>
      </c>
      <c r="V696" s="34">
        <v>31.38</v>
      </c>
      <c r="W696" s="34">
        <v>0.49</v>
      </c>
      <c r="X696" s="34">
        <v>4.04</v>
      </c>
      <c r="Y696" s="35">
        <v>0.308</v>
      </c>
      <c r="Z696" s="35">
        <v>1.5532999999999999</v>
      </c>
      <c r="AA696" s="35">
        <v>5.8174000000000001</v>
      </c>
    </row>
    <row r="697" spans="1:27" ht="15.75" hidden="1" customHeight="1" x14ac:dyDescent="0.2">
      <c r="A697" s="2"/>
      <c r="B697" s="31">
        <v>692</v>
      </c>
      <c r="C697" s="36" t="s">
        <v>1462</v>
      </c>
      <c r="D697" s="36" t="s">
        <v>1649</v>
      </c>
      <c r="E697" s="36" t="s">
        <v>1650</v>
      </c>
      <c r="F697" s="36" t="s">
        <v>1655</v>
      </c>
      <c r="G697" s="36" t="s">
        <v>1656</v>
      </c>
      <c r="H697" s="37" t="s">
        <v>95</v>
      </c>
      <c r="I697" s="37" t="s">
        <v>81</v>
      </c>
      <c r="J697" s="37" t="s">
        <v>82</v>
      </c>
      <c r="K697" s="37" t="s">
        <v>87</v>
      </c>
      <c r="L697" s="36" t="s">
        <v>84</v>
      </c>
      <c r="M697" s="34">
        <v>5218.6099999999997</v>
      </c>
      <c r="N697" s="34">
        <v>3372.81</v>
      </c>
      <c r="O697" s="34">
        <v>1845.8</v>
      </c>
      <c r="P697" s="34">
        <v>582.30999999999995</v>
      </c>
      <c r="Q697" s="34">
        <v>116.19</v>
      </c>
      <c r="R697" s="34">
        <v>95.45</v>
      </c>
      <c r="S697" s="34">
        <v>79.45</v>
      </c>
      <c r="T697" s="34">
        <v>15.23</v>
      </c>
      <c r="U697" s="34">
        <v>179.03</v>
      </c>
      <c r="V697" s="34">
        <v>36.119999999999997</v>
      </c>
      <c r="W697" s="34">
        <v>3.07</v>
      </c>
      <c r="X697" s="34">
        <v>1.83</v>
      </c>
      <c r="Y697" s="35">
        <v>3.0083000000000002</v>
      </c>
      <c r="Z697" s="35">
        <v>8.5053000000000001</v>
      </c>
      <c r="AA697" s="35">
        <v>26.960100000000001</v>
      </c>
    </row>
    <row r="698" spans="1:27" ht="15.75" hidden="1" customHeight="1" x14ac:dyDescent="0.2">
      <c r="A698" s="2"/>
      <c r="B698" s="31">
        <v>693</v>
      </c>
      <c r="C698" s="36" t="s">
        <v>1462</v>
      </c>
      <c r="D698" s="36" t="s">
        <v>1649</v>
      </c>
      <c r="E698" s="36" t="s">
        <v>1650</v>
      </c>
      <c r="F698" s="36" t="s">
        <v>1657</v>
      </c>
      <c r="G698" s="36" t="s">
        <v>1658</v>
      </c>
      <c r="H698" s="37" t="s">
        <v>95</v>
      </c>
      <c r="I698" s="37" t="s">
        <v>81</v>
      </c>
      <c r="J698" s="37" t="s">
        <v>82</v>
      </c>
      <c r="K698" s="37" t="s">
        <v>87</v>
      </c>
      <c r="L698" s="36" t="s">
        <v>84</v>
      </c>
      <c r="M698" s="34">
        <v>31158.55</v>
      </c>
      <c r="N698" s="34">
        <v>20077.14</v>
      </c>
      <c r="O698" s="34">
        <v>9414.84</v>
      </c>
      <c r="P698" s="34">
        <v>2780.59</v>
      </c>
      <c r="Q698" s="34">
        <v>33.229999999999997</v>
      </c>
      <c r="R698" s="34">
        <v>22.64</v>
      </c>
      <c r="S698" s="34">
        <v>13.63</v>
      </c>
      <c r="T698" s="34">
        <v>2.08</v>
      </c>
      <c r="U698" s="34">
        <v>172.82</v>
      </c>
      <c r="V698" s="34">
        <v>546.79999999999995</v>
      </c>
      <c r="W698" s="34">
        <v>6.6</v>
      </c>
      <c r="X698" s="34">
        <v>2.13</v>
      </c>
      <c r="Y698" s="35">
        <v>0.36449999999999999</v>
      </c>
      <c r="Z698" s="35">
        <v>1.2063999999999999</v>
      </c>
      <c r="AA698" s="35">
        <v>4.0846</v>
      </c>
    </row>
    <row r="699" spans="1:27" ht="15.75" hidden="1" customHeight="1" x14ac:dyDescent="0.2">
      <c r="A699" s="2"/>
      <c r="B699" s="31">
        <v>694</v>
      </c>
      <c r="C699" s="36" t="s">
        <v>1462</v>
      </c>
      <c r="D699" s="36" t="s">
        <v>1649</v>
      </c>
      <c r="E699" s="36" t="s">
        <v>1650</v>
      </c>
      <c r="F699" s="36" t="s">
        <v>1659</v>
      </c>
      <c r="G699" s="36" t="s">
        <v>1660</v>
      </c>
      <c r="H699" s="37" t="s">
        <v>95</v>
      </c>
      <c r="I699" s="37" t="s">
        <v>81</v>
      </c>
      <c r="J699" s="37" t="s">
        <v>82</v>
      </c>
      <c r="K699" s="37" t="s">
        <v>87</v>
      </c>
      <c r="L699" s="36" t="s">
        <v>84</v>
      </c>
      <c r="M699" s="34">
        <v>1378.85</v>
      </c>
      <c r="N699" s="34">
        <v>61.74</v>
      </c>
      <c r="O699" s="34">
        <v>1317.11</v>
      </c>
      <c r="P699" s="34">
        <v>113.15</v>
      </c>
      <c r="Q699" s="34">
        <v>25.52</v>
      </c>
      <c r="R699" s="34">
        <v>25.52</v>
      </c>
      <c r="S699" s="34">
        <v>25.51</v>
      </c>
      <c r="T699" s="34">
        <v>4.84</v>
      </c>
      <c r="U699" s="34">
        <v>89.56</v>
      </c>
      <c r="V699" s="34">
        <v>687.59</v>
      </c>
      <c r="W699" s="34">
        <v>37.18</v>
      </c>
      <c r="X699" s="34">
        <v>0.05</v>
      </c>
      <c r="Y699" s="35">
        <v>5.1651999999999996</v>
      </c>
      <c r="Z699" s="35">
        <v>5.4074</v>
      </c>
      <c r="AA699" s="35">
        <v>62.944400000000002</v>
      </c>
    </row>
    <row r="700" spans="1:27" ht="15.75" hidden="1" customHeight="1" x14ac:dyDescent="0.2">
      <c r="A700" s="2"/>
      <c r="B700" s="31">
        <v>695</v>
      </c>
      <c r="C700" s="36" t="s">
        <v>1462</v>
      </c>
      <c r="D700" s="36" t="s">
        <v>1661</v>
      </c>
      <c r="E700" s="36" t="s">
        <v>1662</v>
      </c>
      <c r="F700" s="36" t="s">
        <v>1663</v>
      </c>
      <c r="G700" s="36" t="s">
        <v>1664</v>
      </c>
      <c r="H700" s="37" t="s">
        <v>95</v>
      </c>
      <c r="I700" s="37" t="s">
        <v>81</v>
      </c>
      <c r="J700" s="37" t="s">
        <v>82</v>
      </c>
      <c r="K700" s="37" t="s">
        <v>87</v>
      </c>
      <c r="L700" s="36" t="s">
        <v>84</v>
      </c>
      <c r="M700" s="34">
        <v>37.770000000000003</v>
      </c>
      <c r="N700" s="34">
        <v>2.19</v>
      </c>
      <c r="O700" s="34">
        <v>35.58</v>
      </c>
      <c r="P700" s="34">
        <v>3.68</v>
      </c>
      <c r="Q700" s="34">
        <v>-3.21</v>
      </c>
      <c r="R700" s="34">
        <v>-3.21</v>
      </c>
      <c r="S700" s="34">
        <v>-3.09</v>
      </c>
      <c r="T700" s="34">
        <v>-4.08</v>
      </c>
      <c r="U700" s="34">
        <v>51.77</v>
      </c>
      <c r="V700" s="34">
        <v>-61.23</v>
      </c>
      <c r="W700" s="34">
        <v>4.83</v>
      </c>
      <c r="X700" s="34">
        <v>0.06</v>
      </c>
      <c r="Y700" s="35">
        <v>-7.4287999999999998</v>
      </c>
      <c r="Z700" s="35">
        <v>-7.8865999999999996</v>
      </c>
      <c r="AA700" s="35">
        <v>-76.349599999999995</v>
      </c>
    </row>
    <row r="701" spans="1:27" ht="15.75" hidden="1" customHeight="1" x14ac:dyDescent="0.2">
      <c r="A701" s="2"/>
      <c r="B701" s="31">
        <v>696</v>
      </c>
      <c r="C701" s="36" t="s">
        <v>1462</v>
      </c>
      <c r="D701" s="36" t="s">
        <v>1661</v>
      </c>
      <c r="E701" s="36" t="s">
        <v>1662</v>
      </c>
      <c r="F701" s="36" t="s">
        <v>1665</v>
      </c>
      <c r="G701" s="36" t="s">
        <v>1666</v>
      </c>
      <c r="H701" s="37" t="s">
        <v>95</v>
      </c>
      <c r="I701" s="37" t="s">
        <v>81</v>
      </c>
      <c r="J701" s="37" t="s">
        <v>82</v>
      </c>
      <c r="K701" s="37" t="s">
        <v>87</v>
      </c>
      <c r="L701" s="36" t="s">
        <v>84</v>
      </c>
      <c r="M701" s="34">
        <v>21888.99</v>
      </c>
      <c r="N701" s="34">
        <v>7094.06</v>
      </c>
      <c r="O701" s="34">
        <v>14794.93</v>
      </c>
      <c r="P701" s="34">
        <v>801.38</v>
      </c>
      <c r="Q701" s="34">
        <v>582.71</v>
      </c>
      <c r="R701" s="34">
        <v>555.29</v>
      </c>
      <c r="S701" s="34">
        <v>540.66</v>
      </c>
      <c r="T701" s="34">
        <v>82.33</v>
      </c>
      <c r="U701" s="34">
        <v>1032.6400000000001</v>
      </c>
      <c r="V701" s="34">
        <v>109.31</v>
      </c>
      <c r="W701" s="34">
        <v>8.7200000000000006</v>
      </c>
      <c r="X701" s="34">
        <v>0.48</v>
      </c>
      <c r="Y701" s="35">
        <v>5.3353000000000002</v>
      </c>
      <c r="Z701" s="35">
        <v>7.8935000000000004</v>
      </c>
      <c r="AA701" s="35">
        <v>145.72819999999999</v>
      </c>
    </row>
    <row r="702" spans="1:27" ht="15.75" hidden="1" customHeight="1" x14ac:dyDescent="0.2">
      <c r="A702" s="2"/>
      <c r="B702" s="31">
        <v>697</v>
      </c>
      <c r="C702" s="36" t="s">
        <v>1462</v>
      </c>
      <c r="D702" s="36" t="s">
        <v>1649</v>
      </c>
      <c r="E702" s="36" t="s">
        <v>1650</v>
      </c>
      <c r="F702" s="36" t="s">
        <v>1667</v>
      </c>
      <c r="G702" s="36" t="s">
        <v>1668</v>
      </c>
      <c r="H702" s="37" t="s">
        <v>95</v>
      </c>
      <c r="I702" s="37" t="s">
        <v>81</v>
      </c>
      <c r="J702" s="37" t="s">
        <v>82</v>
      </c>
      <c r="K702" s="37" t="s">
        <v>87</v>
      </c>
      <c r="L702" s="36" t="s">
        <v>84</v>
      </c>
      <c r="M702" s="34">
        <v>6068.2</v>
      </c>
      <c r="N702" s="34">
        <v>3512.77</v>
      </c>
      <c r="O702" s="34">
        <v>2555.4299999999998</v>
      </c>
      <c r="P702" s="34">
        <v>519.27</v>
      </c>
      <c r="Q702" s="34">
        <v>26.49</v>
      </c>
      <c r="R702" s="34">
        <v>22.46</v>
      </c>
      <c r="S702" s="34">
        <v>18.93</v>
      </c>
      <c r="T702" s="34">
        <v>3.32</v>
      </c>
      <c r="U702" s="34">
        <v>179.58</v>
      </c>
      <c r="V702" s="34">
        <v>29.25</v>
      </c>
      <c r="W702" s="34">
        <v>0.54</v>
      </c>
      <c r="X702" s="34">
        <v>1.37</v>
      </c>
      <c r="Y702" s="35">
        <v>0.77769999999999995</v>
      </c>
      <c r="Z702" s="35">
        <v>1.8467</v>
      </c>
      <c r="AA702" s="35">
        <v>9.0879999999999992</v>
      </c>
    </row>
    <row r="703" spans="1:27" ht="15.75" hidden="1" customHeight="1" x14ac:dyDescent="0.2">
      <c r="A703" s="2"/>
      <c r="B703" s="31">
        <v>698</v>
      </c>
      <c r="C703" s="36" t="s">
        <v>1462</v>
      </c>
      <c r="D703" s="36" t="s">
        <v>1661</v>
      </c>
      <c r="E703" s="36" t="s">
        <v>1662</v>
      </c>
      <c r="F703" s="36" t="s">
        <v>1669</v>
      </c>
      <c r="G703" s="36" t="s">
        <v>1670</v>
      </c>
      <c r="H703" s="37" t="s">
        <v>95</v>
      </c>
      <c r="I703" s="37" t="s">
        <v>81</v>
      </c>
      <c r="J703" s="37" t="s">
        <v>82</v>
      </c>
      <c r="K703" s="37" t="s">
        <v>87</v>
      </c>
      <c r="L703" s="36" t="s">
        <v>84</v>
      </c>
      <c r="M703" s="34">
        <v>942.91</v>
      </c>
      <c r="N703" s="34">
        <v>0.62</v>
      </c>
      <c r="O703" s="34">
        <v>942.29</v>
      </c>
      <c r="P703" s="34">
        <v>0.13</v>
      </c>
      <c r="Q703" s="34">
        <v>3.91</v>
      </c>
      <c r="R703" s="34">
        <v>3.91</v>
      </c>
      <c r="S703" s="34">
        <v>3.91</v>
      </c>
      <c r="T703" s="34">
        <v>12.77</v>
      </c>
      <c r="U703" s="34">
        <v>364.06</v>
      </c>
      <c r="V703" s="34">
        <v>13.31</v>
      </c>
      <c r="W703" s="34">
        <v>0.47</v>
      </c>
      <c r="X703" s="34" t="s">
        <v>95</v>
      </c>
      <c r="Y703" s="35">
        <v>3.5051000000000001</v>
      </c>
      <c r="Z703" s="35">
        <v>3.5074000000000001</v>
      </c>
      <c r="AA703" s="35">
        <v>26229.845099999999</v>
      </c>
    </row>
    <row r="704" spans="1:27" ht="15.75" hidden="1" customHeight="1" x14ac:dyDescent="0.2">
      <c r="A704" s="2"/>
      <c r="B704" s="31">
        <v>699</v>
      </c>
      <c r="C704" s="36" t="s">
        <v>1462</v>
      </c>
      <c r="D704" s="36" t="s">
        <v>1661</v>
      </c>
      <c r="E704" s="36" t="s">
        <v>1662</v>
      </c>
      <c r="F704" s="36" t="s">
        <v>1671</v>
      </c>
      <c r="G704" s="36" t="s">
        <v>1672</v>
      </c>
      <c r="H704" s="37" t="s">
        <v>95</v>
      </c>
      <c r="I704" s="37" t="s">
        <v>81</v>
      </c>
      <c r="J704" s="37" t="s">
        <v>82</v>
      </c>
      <c r="K704" s="37" t="s">
        <v>87</v>
      </c>
      <c r="L704" s="36" t="s">
        <v>84</v>
      </c>
      <c r="M704" s="34">
        <v>273.17</v>
      </c>
      <c r="N704" s="34">
        <v>1.43</v>
      </c>
      <c r="O704" s="34">
        <v>271.74</v>
      </c>
      <c r="P704" s="34">
        <v>67.62</v>
      </c>
      <c r="Q704" s="34">
        <v>68.25</v>
      </c>
      <c r="R704" s="34">
        <v>68.25</v>
      </c>
      <c r="S704" s="34">
        <v>68.25</v>
      </c>
      <c r="T704" s="34">
        <v>130.11000000000001</v>
      </c>
      <c r="U704" s="34">
        <v>417.33</v>
      </c>
      <c r="V704" s="34">
        <v>9.65</v>
      </c>
      <c r="W704" s="34">
        <v>3.01</v>
      </c>
      <c r="X704" s="34">
        <v>0.01</v>
      </c>
      <c r="Y704" s="35">
        <v>31.0139</v>
      </c>
      <c r="Z704" s="35">
        <v>31.1769</v>
      </c>
      <c r="AA704" s="35">
        <v>125.295</v>
      </c>
    </row>
    <row r="705" spans="1:27" ht="15.75" hidden="1" customHeight="1" x14ac:dyDescent="0.2">
      <c r="A705" s="2"/>
      <c r="B705" s="31">
        <v>700</v>
      </c>
      <c r="C705" s="36" t="s">
        <v>1462</v>
      </c>
      <c r="D705" s="36" t="s">
        <v>1649</v>
      </c>
      <c r="E705" s="36" t="s">
        <v>1650</v>
      </c>
      <c r="F705" s="36" t="s">
        <v>1673</v>
      </c>
      <c r="G705" s="36" t="s">
        <v>1674</v>
      </c>
      <c r="H705" s="37" t="s">
        <v>95</v>
      </c>
      <c r="I705" s="37" t="s">
        <v>81</v>
      </c>
      <c r="J705" s="37" t="s">
        <v>82</v>
      </c>
      <c r="K705" s="37" t="s">
        <v>87</v>
      </c>
      <c r="L705" s="36" t="s">
        <v>84</v>
      </c>
      <c r="M705" s="34">
        <v>13.07</v>
      </c>
      <c r="N705" s="34">
        <v>276.86</v>
      </c>
      <c r="O705" s="34">
        <v>-263.8</v>
      </c>
      <c r="P705" s="34" t="s">
        <v>95</v>
      </c>
      <c r="Q705" s="34">
        <v>-15.64</v>
      </c>
      <c r="R705" s="34">
        <v>-15.64</v>
      </c>
      <c r="S705" s="34">
        <v>-15.64</v>
      </c>
      <c r="T705" s="34">
        <v>-55.69</v>
      </c>
      <c r="U705" s="34">
        <v>-965.59</v>
      </c>
      <c r="V705" s="34">
        <v>-2.86</v>
      </c>
      <c r="W705" s="34">
        <v>-0.16</v>
      </c>
      <c r="X705" s="34">
        <v>-1.05</v>
      </c>
      <c r="Y705" s="35">
        <v>-116.4376</v>
      </c>
      <c r="Z705" s="35" t="s">
        <v>95</v>
      </c>
      <c r="AA705" s="35" t="s">
        <v>95</v>
      </c>
    </row>
    <row r="706" spans="1:27" ht="15.75" hidden="1" customHeight="1" x14ac:dyDescent="0.2">
      <c r="A706" s="2"/>
      <c r="B706" s="31">
        <v>701</v>
      </c>
      <c r="C706" s="36" t="s">
        <v>1462</v>
      </c>
      <c r="D706" s="36" t="s">
        <v>1661</v>
      </c>
      <c r="E706" s="36" t="s">
        <v>1662</v>
      </c>
      <c r="F706" s="36" t="s">
        <v>1675</v>
      </c>
      <c r="G706" s="36" t="s">
        <v>1676</v>
      </c>
      <c r="H706" s="37" t="s">
        <v>95</v>
      </c>
      <c r="I706" s="37" t="s">
        <v>81</v>
      </c>
      <c r="J706" s="37" t="s">
        <v>82</v>
      </c>
      <c r="K706" s="37" t="s">
        <v>104</v>
      </c>
      <c r="L706" s="36" t="s">
        <v>90</v>
      </c>
      <c r="M706" s="34">
        <v>9077.43</v>
      </c>
      <c r="N706" s="34">
        <v>4577.51</v>
      </c>
      <c r="O706" s="34">
        <v>4499.92</v>
      </c>
      <c r="P706" s="34">
        <v>10.77</v>
      </c>
      <c r="Q706" s="34">
        <v>407.08</v>
      </c>
      <c r="R706" s="34">
        <v>407.31</v>
      </c>
      <c r="S706" s="34">
        <v>407.31</v>
      </c>
      <c r="T706" s="34">
        <v>-98.98</v>
      </c>
      <c r="U706" s="34">
        <v>286.02</v>
      </c>
      <c r="V706" s="34">
        <v>-3.98</v>
      </c>
      <c r="W706" s="34">
        <v>1.38</v>
      </c>
      <c r="X706" s="34">
        <v>1.02</v>
      </c>
      <c r="Y706" s="35">
        <v>-17.154699999999998</v>
      </c>
      <c r="Z706" s="35">
        <v>-34.605200000000004</v>
      </c>
      <c r="AA706" s="35">
        <v>-14455.938</v>
      </c>
    </row>
    <row r="707" spans="1:27" ht="15.75" hidden="1" customHeight="1" x14ac:dyDescent="0.2">
      <c r="A707" s="2"/>
      <c r="B707" s="31">
        <v>702</v>
      </c>
      <c r="C707" s="36" t="s">
        <v>1462</v>
      </c>
      <c r="D707" s="36" t="s">
        <v>1649</v>
      </c>
      <c r="E707" s="36" t="s">
        <v>1650</v>
      </c>
      <c r="F707" s="36" t="s">
        <v>1677</v>
      </c>
      <c r="G707" s="36" t="s">
        <v>1678</v>
      </c>
      <c r="H707" s="37" t="s">
        <v>95</v>
      </c>
      <c r="I707" s="37" t="s">
        <v>81</v>
      </c>
      <c r="J707" s="37" t="s">
        <v>82</v>
      </c>
      <c r="K707" s="37" t="s">
        <v>87</v>
      </c>
      <c r="L707" s="36" t="s">
        <v>84</v>
      </c>
      <c r="M707" s="34">
        <v>220.55</v>
      </c>
      <c r="N707" s="34">
        <v>28.64</v>
      </c>
      <c r="O707" s="34">
        <v>191.91</v>
      </c>
      <c r="P707" s="34" t="s">
        <v>95</v>
      </c>
      <c r="Q707" s="34">
        <v>12.77</v>
      </c>
      <c r="R707" s="34">
        <v>13.37</v>
      </c>
      <c r="S707" s="34">
        <v>13.37</v>
      </c>
      <c r="T707" s="34">
        <v>8.51</v>
      </c>
      <c r="U707" s="34">
        <v>67.73</v>
      </c>
      <c r="V707" s="34">
        <v>13.39</v>
      </c>
      <c r="W707" s="34">
        <v>1.68</v>
      </c>
      <c r="X707" s="34">
        <v>0.15</v>
      </c>
      <c r="Y707" s="35">
        <v>10.9345</v>
      </c>
      <c r="Z707" s="35">
        <v>12.5663</v>
      </c>
      <c r="AA707" s="35" t="s">
        <v>95</v>
      </c>
    </row>
    <row r="708" spans="1:27" ht="15.75" hidden="1" customHeight="1" x14ac:dyDescent="0.2">
      <c r="A708" s="2"/>
      <c r="B708" s="31">
        <v>703</v>
      </c>
      <c r="C708" s="36" t="s">
        <v>1462</v>
      </c>
      <c r="D708" s="36" t="s">
        <v>1649</v>
      </c>
      <c r="E708" s="36" t="s">
        <v>1650</v>
      </c>
      <c r="F708" s="36" t="s">
        <v>1679</v>
      </c>
      <c r="G708" s="36" t="s">
        <v>1680</v>
      </c>
      <c r="H708" s="37" t="s">
        <v>95</v>
      </c>
      <c r="I708" s="37" t="s">
        <v>1132</v>
      </c>
      <c r="J708" s="37" t="s">
        <v>82</v>
      </c>
      <c r="K708" s="37" t="s">
        <v>87</v>
      </c>
      <c r="L708" s="36" t="s">
        <v>84</v>
      </c>
      <c r="M708" s="34">
        <v>185.25</v>
      </c>
      <c r="N708" s="34">
        <v>31.27</v>
      </c>
      <c r="O708" s="34">
        <v>153.99</v>
      </c>
      <c r="P708" s="34">
        <v>1.98</v>
      </c>
      <c r="Q708" s="34">
        <v>-1.44</v>
      </c>
      <c r="R708" s="34">
        <v>-1.49</v>
      </c>
      <c r="S708" s="34">
        <v>-1.49</v>
      </c>
      <c r="T708" s="34">
        <v>-0.32</v>
      </c>
      <c r="U708" s="34">
        <v>130.03</v>
      </c>
      <c r="V708" s="34">
        <v>-157.94</v>
      </c>
      <c r="W708" s="34">
        <v>0.38</v>
      </c>
      <c r="X708" s="34">
        <v>0.2</v>
      </c>
      <c r="Y708" s="35">
        <v>-0.2024</v>
      </c>
      <c r="Z708" s="35">
        <v>-0.24349999999999999</v>
      </c>
      <c r="AA708" s="35">
        <v>-18.9298</v>
      </c>
    </row>
    <row r="709" spans="1:27" ht="15.75" hidden="1" customHeight="1" x14ac:dyDescent="0.2">
      <c r="A709" s="2"/>
      <c r="B709" s="31">
        <v>704</v>
      </c>
      <c r="C709" s="36" t="s">
        <v>1462</v>
      </c>
      <c r="D709" s="36" t="s">
        <v>1649</v>
      </c>
      <c r="E709" s="36" t="s">
        <v>1650</v>
      </c>
      <c r="F709" s="36" t="s">
        <v>1681</v>
      </c>
      <c r="G709" s="36" t="s">
        <v>1682</v>
      </c>
      <c r="H709" s="37" t="s">
        <v>95</v>
      </c>
      <c r="I709" s="37" t="s">
        <v>1683</v>
      </c>
      <c r="J709" s="37" t="s">
        <v>82</v>
      </c>
      <c r="K709" s="37" t="s">
        <v>87</v>
      </c>
      <c r="L709" s="36" t="s">
        <v>84</v>
      </c>
      <c r="M709" s="34">
        <v>435.52</v>
      </c>
      <c r="N709" s="34">
        <v>11.5</v>
      </c>
      <c r="O709" s="34">
        <v>424.02</v>
      </c>
      <c r="P709" s="34">
        <v>12.17</v>
      </c>
      <c r="Q709" s="34">
        <v>0.84</v>
      </c>
      <c r="R709" s="34">
        <v>0.84</v>
      </c>
      <c r="S709" s="34">
        <v>-0.98</v>
      </c>
      <c r="T709" s="34">
        <v>-15.19</v>
      </c>
      <c r="U709" s="34">
        <v>181.1</v>
      </c>
      <c r="V709" s="34">
        <v>-3.29</v>
      </c>
      <c r="W709" s="34">
        <v>0.28000000000000003</v>
      </c>
      <c r="X709" s="34">
        <v>0.03</v>
      </c>
      <c r="Y709" s="35">
        <v>-8.1643000000000008</v>
      </c>
      <c r="Z709" s="35">
        <v>-8.3857999999999997</v>
      </c>
      <c r="AA709" s="35">
        <v>-292.07740000000001</v>
      </c>
    </row>
    <row r="710" spans="1:27" ht="15.75" hidden="1" customHeight="1" x14ac:dyDescent="0.2">
      <c r="A710" s="2"/>
      <c r="B710" s="31">
        <v>705</v>
      </c>
      <c r="C710" s="36" t="s">
        <v>1462</v>
      </c>
      <c r="D710" s="36" t="s">
        <v>1649</v>
      </c>
      <c r="E710" s="36" t="s">
        <v>1650</v>
      </c>
      <c r="F710" s="36" t="s">
        <v>1684</v>
      </c>
      <c r="G710" s="36" t="s">
        <v>1685</v>
      </c>
      <c r="H710" s="37" t="s">
        <v>95</v>
      </c>
      <c r="I710" s="37" t="s">
        <v>81</v>
      </c>
      <c r="J710" s="37" t="s">
        <v>82</v>
      </c>
      <c r="K710" s="37" t="s">
        <v>87</v>
      </c>
      <c r="L710" s="36" t="s">
        <v>84</v>
      </c>
      <c r="M710" s="34">
        <v>173.03</v>
      </c>
      <c r="N710" s="34">
        <v>34.76</v>
      </c>
      <c r="O710" s="34">
        <v>138.27000000000001</v>
      </c>
      <c r="P710" s="34">
        <v>1.31</v>
      </c>
      <c r="Q710" s="34">
        <v>-15.37</v>
      </c>
      <c r="R710" s="34">
        <v>-15.37</v>
      </c>
      <c r="S710" s="34">
        <v>-13.57</v>
      </c>
      <c r="T710" s="34">
        <v>-21.26</v>
      </c>
      <c r="U710" s="34">
        <v>100.66</v>
      </c>
      <c r="V710" s="34">
        <v>-90.57</v>
      </c>
      <c r="W710" s="34">
        <v>19.12</v>
      </c>
      <c r="X710" s="34">
        <v>0.25</v>
      </c>
      <c r="Y710" s="35">
        <v>-16.7057</v>
      </c>
      <c r="Z710" s="35">
        <v>-20.904900000000001</v>
      </c>
      <c r="AA710" s="35">
        <v>-2204.5590999999999</v>
      </c>
    </row>
    <row r="711" spans="1:27" ht="15.75" hidden="1" customHeight="1" x14ac:dyDescent="0.2">
      <c r="A711" s="2"/>
      <c r="B711" s="31">
        <v>706</v>
      </c>
      <c r="C711" s="36" t="s">
        <v>1462</v>
      </c>
      <c r="D711" s="36" t="s">
        <v>1649</v>
      </c>
      <c r="E711" s="36" t="s">
        <v>1650</v>
      </c>
      <c r="F711" s="36" t="s">
        <v>1686</v>
      </c>
      <c r="G711" s="36" t="s">
        <v>1687</v>
      </c>
      <c r="H711" s="37" t="s">
        <v>95</v>
      </c>
      <c r="I711" s="37" t="s">
        <v>81</v>
      </c>
      <c r="J711" s="37" t="s">
        <v>82</v>
      </c>
      <c r="K711" s="37" t="s">
        <v>87</v>
      </c>
      <c r="L711" s="36" t="s">
        <v>84</v>
      </c>
      <c r="M711" s="34">
        <v>114183.24</v>
      </c>
      <c r="N711" s="34">
        <v>87014.36</v>
      </c>
      <c r="O711" s="34">
        <v>27168.880000000001</v>
      </c>
      <c r="P711" s="34">
        <v>10562.46</v>
      </c>
      <c r="Q711" s="34">
        <v>1375.7</v>
      </c>
      <c r="R711" s="34">
        <v>1336.97</v>
      </c>
      <c r="S711" s="34">
        <v>1324.28</v>
      </c>
      <c r="T711" s="34">
        <v>289.42</v>
      </c>
      <c r="U711" s="34">
        <v>4266.7</v>
      </c>
      <c r="V711" s="34">
        <v>51.57</v>
      </c>
      <c r="W711" s="34">
        <v>3.5</v>
      </c>
      <c r="X711" s="34">
        <v>3.2</v>
      </c>
      <c r="Y711" s="35">
        <v>1.6140000000000001</v>
      </c>
      <c r="Z711" s="35">
        <v>6.7831000000000001</v>
      </c>
      <c r="AA711" s="35">
        <v>17.447700000000001</v>
      </c>
    </row>
    <row r="712" spans="1:27" ht="15.75" hidden="1" customHeight="1" x14ac:dyDescent="0.2">
      <c r="A712" s="2"/>
      <c r="B712" s="31">
        <v>707</v>
      </c>
      <c r="C712" s="36" t="s">
        <v>1462</v>
      </c>
      <c r="D712" s="36" t="s">
        <v>1661</v>
      </c>
      <c r="E712" s="36" t="s">
        <v>1662</v>
      </c>
      <c r="F712" s="36" t="s">
        <v>1688</v>
      </c>
      <c r="G712" s="36" t="s">
        <v>1689</v>
      </c>
      <c r="H712" s="37" t="s">
        <v>80</v>
      </c>
      <c r="I712" s="37" t="s">
        <v>81</v>
      </c>
      <c r="J712" s="37" t="s">
        <v>82</v>
      </c>
      <c r="K712" s="37" t="s">
        <v>87</v>
      </c>
      <c r="L712" s="36" t="s">
        <v>84</v>
      </c>
      <c r="M712" s="34">
        <v>56386.04</v>
      </c>
      <c r="N712" s="34">
        <v>4502.6099999999997</v>
      </c>
      <c r="O712" s="34">
        <v>51883.43</v>
      </c>
      <c r="P712" s="34">
        <v>1291.9000000000001</v>
      </c>
      <c r="Q712" s="34">
        <v>-731.66</v>
      </c>
      <c r="R712" s="34">
        <v>103.21</v>
      </c>
      <c r="S712" s="34">
        <v>102.02</v>
      </c>
      <c r="T712" s="34">
        <v>282.98</v>
      </c>
      <c r="U712" s="34">
        <v>3824.85</v>
      </c>
      <c r="V712" s="34">
        <v>6.22</v>
      </c>
      <c r="W712" s="34">
        <v>0.46</v>
      </c>
      <c r="X712" s="34">
        <v>0.09</v>
      </c>
      <c r="Y712" s="35">
        <v>6.8076999999999996</v>
      </c>
      <c r="Z712" s="35">
        <v>7.3985000000000003</v>
      </c>
      <c r="AA712" s="35">
        <v>297.12860000000001</v>
      </c>
    </row>
    <row r="713" spans="1:27" ht="15.75" hidden="1" customHeight="1" x14ac:dyDescent="0.2">
      <c r="A713" s="2"/>
      <c r="B713" s="31">
        <v>708</v>
      </c>
      <c r="C713" s="36" t="s">
        <v>1462</v>
      </c>
      <c r="D713" s="36" t="s">
        <v>1649</v>
      </c>
      <c r="E713" s="36" t="s">
        <v>1650</v>
      </c>
      <c r="F713" s="36" t="s">
        <v>1690</v>
      </c>
      <c r="G713" s="36" t="s">
        <v>1691</v>
      </c>
      <c r="H713" s="37" t="s">
        <v>95</v>
      </c>
      <c r="I713" s="37" t="s">
        <v>81</v>
      </c>
      <c r="J713" s="37" t="s">
        <v>82</v>
      </c>
      <c r="K713" s="37" t="s">
        <v>87</v>
      </c>
      <c r="L713" s="36" t="s">
        <v>84</v>
      </c>
      <c r="M713" s="34">
        <v>549.73</v>
      </c>
      <c r="N713" s="34">
        <v>29.05</v>
      </c>
      <c r="O713" s="34">
        <v>520.66999999999996</v>
      </c>
      <c r="P713" s="34">
        <v>3.12</v>
      </c>
      <c r="Q713" s="34">
        <v>5.59</v>
      </c>
      <c r="R713" s="34">
        <v>5.59</v>
      </c>
      <c r="S713" s="34">
        <v>5.59</v>
      </c>
      <c r="T713" s="34">
        <v>2.02</v>
      </c>
      <c r="U713" s="34">
        <v>108.47</v>
      </c>
      <c r="V713" s="34">
        <v>37.619999999999997</v>
      </c>
      <c r="W713" s="34">
        <v>0.7</v>
      </c>
      <c r="X713" s="34">
        <v>0.06</v>
      </c>
      <c r="Y713" s="35">
        <v>1.7641</v>
      </c>
      <c r="Z713" s="35">
        <v>1.8625</v>
      </c>
      <c r="AA713" s="35">
        <v>311.07220000000001</v>
      </c>
    </row>
    <row r="714" spans="1:27" ht="15.75" hidden="1" customHeight="1" x14ac:dyDescent="0.2">
      <c r="A714" s="2"/>
      <c r="B714" s="31">
        <v>709</v>
      </c>
      <c r="C714" s="36" t="s">
        <v>1462</v>
      </c>
      <c r="D714" s="36" t="s">
        <v>1649</v>
      </c>
      <c r="E714" s="36" t="s">
        <v>1650</v>
      </c>
      <c r="F714" s="36" t="s">
        <v>1692</v>
      </c>
      <c r="G714" s="36" t="s">
        <v>1693</v>
      </c>
      <c r="H714" s="37" t="s">
        <v>95</v>
      </c>
      <c r="I714" s="37" t="s">
        <v>81</v>
      </c>
      <c r="J714" s="37" t="s">
        <v>82</v>
      </c>
      <c r="K714" s="37" t="s">
        <v>87</v>
      </c>
      <c r="L714" s="36" t="s">
        <v>84</v>
      </c>
      <c r="M714" s="34">
        <v>33945.879999999997</v>
      </c>
      <c r="N714" s="34">
        <v>28320.6</v>
      </c>
      <c r="O714" s="34">
        <v>5625.29</v>
      </c>
      <c r="P714" s="34">
        <v>314.23</v>
      </c>
      <c r="Q714" s="34">
        <v>608</v>
      </c>
      <c r="R714" s="34">
        <v>478.97</v>
      </c>
      <c r="S714" s="34">
        <v>425.87</v>
      </c>
      <c r="T714" s="34">
        <v>29.64</v>
      </c>
      <c r="U714" s="34">
        <v>369.67</v>
      </c>
      <c r="V714" s="34">
        <v>6.34</v>
      </c>
      <c r="W714" s="34">
        <v>0.51</v>
      </c>
      <c r="X714" s="34">
        <v>5.03</v>
      </c>
      <c r="Y714" s="35">
        <v>1.3288</v>
      </c>
      <c r="Z714" s="35">
        <v>8.0185999999999993</v>
      </c>
      <c r="AA714" s="35">
        <v>143.54669999999999</v>
      </c>
    </row>
    <row r="715" spans="1:27" ht="15.75" hidden="1" customHeight="1" x14ac:dyDescent="0.2">
      <c r="A715" s="2"/>
      <c r="B715" s="31">
        <v>710</v>
      </c>
      <c r="C715" s="36" t="s">
        <v>1694</v>
      </c>
      <c r="D715" s="36" t="s">
        <v>1695</v>
      </c>
      <c r="E715" s="36" t="s">
        <v>1696</v>
      </c>
      <c r="F715" s="36" t="s">
        <v>1697</v>
      </c>
      <c r="G715" s="36" t="s">
        <v>1698</v>
      </c>
      <c r="H715" s="37" t="s">
        <v>80</v>
      </c>
      <c r="I715" s="37" t="s">
        <v>81</v>
      </c>
      <c r="J715" s="37" t="s">
        <v>82</v>
      </c>
      <c r="K715" s="37" t="s">
        <v>87</v>
      </c>
      <c r="L715" s="36" t="s">
        <v>84</v>
      </c>
      <c r="M715" s="34">
        <v>6924.79</v>
      </c>
      <c r="N715" s="34">
        <v>4307.79</v>
      </c>
      <c r="O715" s="34">
        <v>2617</v>
      </c>
      <c r="P715" s="34">
        <v>120.52</v>
      </c>
      <c r="Q715" s="34">
        <v>0.46</v>
      </c>
      <c r="R715" s="34">
        <v>0.03</v>
      </c>
      <c r="S715" s="34">
        <v>0.03</v>
      </c>
      <c r="T715" s="34">
        <v>1.1499999999999999</v>
      </c>
      <c r="U715" s="34">
        <v>117.76</v>
      </c>
      <c r="V715" s="34">
        <v>51.43</v>
      </c>
      <c r="W715" s="34">
        <v>0.5</v>
      </c>
      <c r="X715" s="34">
        <v>1.65</v>
      </c>
      <c r="Y715" s="35">
        <v>0.36820000000000003</v>
      </c>
      <c r="Z715" s="35">
        <v>0.97419999999999995</v>
      </c>
      <c r="AA715" s="35">
        <v>21.154</v>
      </c>
    </row>
    <row r="716" spans="1:27" ht="15.75" hidden="1" customHeight="1" x14ac:dyDescent="0.2">
      <c r="A716" s="2"/>
      <c r="B716" s="31">
        <v>711</v>
      </c>
      <c r="C716" s="36" t="s">
        <v>1694</v>
      </c>
      <c r="D716" s="36" t="s">
        <v>1695</v>
      </c>
      <c r="E716" s="36" t="s">
        <v>1696</v>
      </c>
      <c r="F716" s="36" t="s">
        <v>1699</v>
      </c>
      <c r="G716" s="36" t="s">
        <v>1700</v>
      </c>
      <c r="H716" s="37" t="s">
        <v>80</v>
      </c>
      <c r="I716" s="37" t="s">
        <v>81</v>
      </c>
      <c r="J716" s="37" t="s">
        <v>82</v>
      </c>
      <c r="K716" s="37" t="s">
        <v>87</v>
      </c>
      <c r="L716" s="36" t="s">
        <v>84</v>
      </c>
      <c r="M716" s="34">
        <v>1439.81</v>
      </c>
      <c r="N716" s="34">
        <v>633.64</v>
      </c>
      <c r="O716" s="34">
        <v>806.17</v>
      </c>
      <c r="P716" s="34">
        <v>125.65</v>
      </c>
      <c r="Q716" s="34">
        <v>45.91</v>
      </c>
      <c r="R716" s="34">
        <v>41.43</v>
      </c>
      <c r="S716" s="34">
        <v>40.56</v>
      </c>
      <c r="T716" s="34">
        <v>18.309999999999999</v>
      </c>
      <c r="U716" s="34">
        <v>208.12</v>
      </c>
      <c r="V716" s="34">
        <v>8.52</v>
      </c>
      <c r="W716" s="34">
        <v>0.75</v>
      </c>
      <c r="X716" s="34">
        <v>0.79</v>
      </c>
      <c r="Y716" s="35">
        <v>4.9269999999999996</v>
      </c>
      <c r="Z716" s="35">
        <v>8.7995999999999999</v>
      </c>
      <c r="AA716" s="35">
        <v>56.457299999999996</v>
      </c>
    </row>
    <row r="717" spans="1:27" ht="15.75" hidden="1" customHeight="1" x14ac:dyDescent="0.2">
      <c r="A717" s="2"/>
      <c r="B717" s="31">
        <v>712</v>
      </c>
      <c r="C717" s="36" t="s">
        <v>1694</v>
      </c>
      <c r="D717" s="36" t="s">
        <v>1695</v>
      </c>
      <c r="E717" s="36" t="s">
        <v>1696</v>
      </c>
      <c r="F717" s="36" t="s">
        <v>1701</v>
      </c>
      <c r="G717" s="36" t="s">
        <v>1702</v>
      </c>
      <c r="H717" s="37" t="s">
        <v>80</v>
      </c>
      <c r="I717" s="37" t="s">
        <v>81</v>
      </c>
      <c r="J717" s="37" t="s">
        <v>82</v>
      </c>
      <c r="K717" s="37" t="s">
        <v>87</v>
      </c>
      <c r="L717" s="36" t="s">
        <v>84</v>
      </c>
      <c r="M717" s="34">
        <v>25685.84</v>
      </c>
      <c r="N717" s="34">
        <v>12082.72</v>
      </c>
      <c r="O717" s="34">
        <v>13603.13</v>
      </c>
      <c r="P717" s="34">
        <v>1688.29</v>
      </c>
      <c r="Q717" s="34">
        <v>-12.76</v>
      </c>
      <c r="R717" s="34">
        <v>-71.739999999999995</v>
      </c>
      <c r="S717" s="34">
        <v>-108.82</v>
      </c>
      <c r="T717" s="34">
        <v>24.35</v>
      </c>
      <c r="U717" s="34">
        <v>599.27</v>
      </c>
      <c r="V717" s="34">
        <v>4.1900000000000004</v>
      </c>
      <c r="W717" s="34">
        <v>0.17</v>
      </c>
      <c r="X717" s="34">
        <v>0.89</v>
      </c>
      <c r="Y717" s="35">
        <v>2.1522000000000001</v>
      </c>
      <c r="Z717" s="35">
        <v>4.0639000000000003</v>
      </c>
      <c r="AA717" s="35">
        <v>32.743899999999996</v>
      </c>
    </row>
    <row r="718" spans="1:27" ht="15.75" hidden="1" customHeight="1" x14ac:dyDescent="0.2">
      <c r="A718" s="2"/>
      <c r="B718" s="31">
        <v>713</v>
      </c>
      <c r="C718" s="36" t="s">
        <v>1694</v>
      </c>
      <c r="D718" s="36" t="s">
        <v>1695</v>
      </c>
      <c r="E718" s="36" t="s">
        <v>1696</v>
      </c>
      <c r="F718" s="36" t="s">
        <v>1703</v>
      </c>
      <c r="G718" s="36" t="s">
        <v>1704</v>
      </c>
      <c r="H718" s="37" t="s">
        <v>95</v>
      </c>
      <c r="I718" s="37" t="s">
        <v>691</v>
      </c>
      <c r="J718" s="37" t="s">
        <v>82</v>
      </c>
      <c r="K718" s="37" t="s">
        <v>87</v>
      </c>
      <c r="L718" s="36" t="s">
        <v>84</v>
      </c>
      <c r="M718" s="34">
        <v>1713.25</v>
      </c>
      <c r="N718" s="34">
        <v>237.05</v>
      </c>
      <c r="O718" s="34">
        <v>1476.2</v>
      </c>
      <c r="P718" s="34">
        <v>41.34</v>
      </c>
      <c r="Q718" s="34">
        <v>3.35</v>
      </c>
      <c r="R718" s="34">
        <v>3.35</v>
      </c>
      <c r="S718" s="34">
        <v>3.35</v>
      </c>
      <c r="T718" s="34">
        <v>0.61</v>
      </c>
      <c r="U718" s="34">
        <v>163.91</v>
      </c>
      <c r="V718" s="34">
        <v>81.64</v>
      </c>
      <c r="W718" s="34">
        <v>0.31</v>
      </c>
      <c r="X718" s="34">
        <v>0.16</v>
      </c>
      <c r="Y718" s="35">
        <v>0.32190000000000002</v>
      </c>
      <c r="Z718" s="35">
        <v>0.37359999999999999</v>
      </c>
      <c r="AA718" s="35">
        <v>13.3428</v>
      </c>
    </row>
    <row r="719" spans="1:27" ht="15.75" hidden="1" customHeight="1" x14ac:dyDescent="0.2">
      <c r="A719" s="2"/>
      <c r="B719" s="31">
        <v>714</v>
      </c>
      <c r="C719" s="36" t="s">
        <v>1694</v>
      </c>
      <c r="D719" s="36" t="s">
        <v>1695</v>
      </c>
      <c r="E719" s="36" t="s">
        <v>1696</v>
      </c>
      <c r="F719" s="36" t="s">
        <v>1705</v>
      </c>
      <c r="G719" s="36" t="s">
        <v>1706</v>
      </c>
      <c r="H719" s="37" t="s">
        <v>80</v>
      </c>
      <c r="I719" s="37" t="s">
        <v>81</v>
      </c>
      <c r="J719" s="37" t="s">
        <v>82</v>
      </c>
      <c r="K719" s="37" t="s">
        <v>87</v>
      </c>
      <c r="L719" s="36" t="s">
        <v>84</v>
      </c>
      <c r="M719" s="34">
        <v>101.14</v>
      </c>
      <c r="N719" s="34">
        <v>29.05</v>
      </c>
      <c r="O719" s="34">
        <v>72.09</v>
      </c>
      <c r="P719" s="34">
        <v>3.64</v>
      </c>
      <c r="Q719" s="34">
        <v>-0.74</v>
      </c>
      <c r="R719" s="34">
        <v>-0.74</v>
      </c>
      <c r="S719" s="34">
        <v>-0.79</v>
      </c>
      <c r="T719" s="34">
        <v>0.03</v>
      </c>
      <c r="U719" s="34">
        <v>105.72</v>
      </c>
      <c r="V719" s="34">
        <v>22914.400000000001</v>
      </c>
      <c r="W719" s="34">
        <v>5.86</v>
      </c>
      <c r="X719" s="34">
        <v>0.4</v>
      </c>
      <c r="Y719" s="35">
        <v>1.8200000000000001E-2</v>
      </c>
      <c r="Z719" s="35">
        <v>2.5600000000000001E-2</v>
      </c>
      <c r="AA719" s="35">
        <v>0.50749999999999995</v>
      </c>
    </row>
    <row r="720" spans="1:27" ht="15.75" hidden="1" customHeight="1" x14ac:dyDescent="0.2">
      <c r="A720" s="2"/>
      <c r="B720" s="31">
        <v>715</v>
      </c>
      <c r="C720" s="36" t="s">
        <v>1694</v>
      </c>
      <c r="D720" s="36" t="s">
        <v>1695</v>
      </c>
      <c r="E720" s="36" t="s">
        <v>1696</v>
      </c>
      <c r="F720" s="36" t="s">
        <v>1707</v>
      </c>
      <c r="G720" s="36" t="s">
        <v>1708</v>
      </c>
      <c r="H720" s="37" t="s">
        <v>80</v>
      </c>
      <c r="I720" s="37" t="s">
        <v>81</v>
      </c>
      <c r="J720" s="37" t="s">
        <v>82</v>
      </c>
      <c r="K720" s="37" t="s">
        <v>87</v>
      </c>
      <c r="L720" s="36" t="s">
        <v>84</v>
      </c>
      <c r="M720" s="34">
        <v>23130.16</v>
      </c>
      <c r="N720" s="34">
        <v>11750.23</v>
      </c>
      <c r="O720" s="34">
        <v>11379.92</v>
      </c>
      <c r="P720" s="34">
        <v>1115.77</v>
      </c>
      <c r="Q720" s="34">
        <v>50.18</v>
      </c>
      <c r="R720" s="34">
        <v>43.86</v>
      </c>
      <c r="S720" s="34">
        <v>41.64</v>
      </c>
      <c r="T720" s="34">
        <v>3.98</v>
      </c>
      <c r="U720" s="34">
        <v>579.15</v>
      </c>
      <c r="V720" s="34">
        <v>44.98</v>
      </c>
      <c r="W720" s="34">
        <v>0.31</v>
      </c>
      <c r="X720" s="34">
        <v>1.03</v>
      </c>
      <c r="Y720" s="35">
        <v>0.33810000000000001</v>
      </c>
      <c r="Z720" s="35">
        <v>0.68720000000000003</v>
      </c>
      <c r="AA720" s="35">
        <v>7.0090000000000003</v>
      </c>
    </row>
    <row r="721" spans="1:27" ht="15.75" hidden="1" customHeight="1" x14ac:dyDescent="0.2">
      <c r="A721" s="2"/>
      <c r="B721" s="31">
        <v>716</v>
      </c>
      <c r="C721" s="36" t="s">
        <v>1694</v>
      </c>
      <c r="D721" s="36" t="s">
        <v>1695</v>
      </c>
      <c r="E721" s="36" t="s">
        <v>1696</v>
      </c>
      <c r="F721" s="36" t="s">
        <v>1709</v>
      </c>
      <c r="G721" s="36" t="s">
        <v>1710</v>
      </c>
      <c r="H721" s="37" t="s">
        <v>80</v>
      </c>
      <c r="I721" s="37" t="s">
        <v>81</v>
      </c>
      <c r="J721" s="37" t="s">
        <v>82</v>
      </c>
      <c r="K721" s="37" t="s">
        <v>87</v>
      </c>
      <c r="L721" s="36" t="s">
        <v>84</v>
      </c>
      <c r="M721" s="34">
        <v>102.86</v>
      </c>
      <c r="N721" s="34">
        <v>27.06</v>
      </c>
      <c r="O721" s="34">
        <v>75.8</v>
      </c>
      <c r="P721" s="34">
        <v>9.48</v>
      </c>
      <c r="Q721" s="34">
        <v>-1.35</v>
      </c>
      <c r="R721" s="34">
        <v>-1.85</v>
      </c>
      <c r="S721" s="34">
        <v>-1.85</v>
      </c>
      <c r="T721" s="34">
        <v>-3.28</v>
      </c>
      <c r="U721" s="34">
        <v>60.64</v>
      </c>
      <c r="V721" s="34">
        <v>-19.510000000000002</v>
      </c>
      <c r="W721" s="34">
        <v>1.06</v>
      </c>
      <c r="X721" s="34">
        <v>0.36</v>
      </c>
      <c r="Y721" s="35">
        <v>-3.9863</v>
      </c>
      <c r="Z721" s="35">
        <v>-5.4093999999999998</v>
      </c>
      <c r="AA721" s="35">
        <v>-43.268099999999997</v>
      </c>
    </row>
    <row r="722" spans="1:27" ht="15.75" hidden="1" customHeight="1" x14ac:dyDescent="0.2">
      <c r="A722" s="2"/>
      <c r="B722" s="31">
        <v>717</v>
      </c>
      <c r="C722" s="36" t="s">
        <v>1694</v>
      </c>
      <c r="D722" s="36" t="s">
        <v>1695</v>
      </c>
      <c r="E722" s="36" t="s">
        <v>1696</v>
      </c>
      <c r="F722" s="36" t="s">
        <v>1711</v>
      </c>
      <c r="G722" s="36" t="s">
        <v>1712</v>
      </c>
      <c r="H722" s="37" t="s">
        <v>80</v>
      </c>
      <c r="I722" s="37" t="s">
        <v>81</v>
      </c>
      <c r="J722" s="37" t="s">
        <v>82</v>
      </c>
      <c r="K722" s="37" t="s">
        <v>87</v>
      </c>
      <c r="L722" s="36" t="s">
        <v>84</v>
      </c>
      <c r="M722" s="34">
        <v>132.26</v>
      </c>
      <c r="N722" s="34">
        <v>15.12</v>
      </c>
      <c r="O722" s="34">
        <v>117.14</v>
      </c>
      <c r="P722" s="34">
        <v>0.3</v>
      </c>
      <c r="Q722" s="34">
        <v>-3.08</v>
      </c>
      <c r="R722" s="34">
        <v>-3.18</v>
      </c>
      <c r="S722" s="34">
        <v>-3.18</v>
      </c>
      <c r="T722" s="34">
        <v>-7.36</v>
      </c>
      <c r="U722" s="34">
        <v>175.24</v>
      </c>
      <c r="V722" s="34">
        <v>-11.01</v>
      </c>
      <c r="W722" s="34">
        <v>0.46</v>
      </c>
      <c r="X722" s="34">
        <v>0.13</v>
      </c>
      <c r="Y722" s="35">
        <v>-3.6818</v>
      </c>
      <c r="Z722" s="35">
        <v>-4.157</v>
      </c>
      <c r="AA722" s="35">
        <v>-1619.9449</v>
      </c>
    </row>
    <row r="723" spans="1:27" ht="15.75" hidden="1" customHeight="1" x14ac:dyDescent="0.2">
      <c r="A723" s="2"/>
      <c r="B723" s="31">
        <v>718</v>
      </c>
      <c r="C723" s="36" t="s">
        <v>1694</v>
      </c>
      <c r="D723" s="36" t="s">
        <v>1695</v>
      </c>
      <c r="E723" s="36" t="s">
        <v>1696</v>
      </c>
      <c r="F723" s="36" t="s">
        <v>1713</v>
      </c>
      <c r="G723" s="36" t="s">
        <v>1714</v>
      </c>
      <c r="H723" s="37" t="s">
        <v>80</v>
      </c>
      <c r="I723" s="37" t="s">
        <v>81</v>
      </c>
      <c r="J723" s="37" t="s">
        <v>82</v>
      </c>
      <c r="K723" s="37" t="s">
        <v>87</v>
      </c>
      <c r="L723" s="36" t="s">
        <v>84</v>
      </c>
      <c r="M723" s="34">
        <v>685.54</v>
      </c>
      <c r="N723" s="34">
        <v>266.20999999999998</v>
      </c>
      <c r="O723" s="34">
        <v>419.33</v>
      </c>
      <c r="P723" s="34">
        <v>0.79</v>
      </c>
      <c r="Q723" s="34">
        <v>-1.51</v>
      </c>
      <c r="R723" s="34">
        <v>-1.72</v>
      </c>
      <c r="S723" s="34">
        <v>-1.72</v>
      </c>
      <c r="T723" s="34">
        <v>-1.18</v>
      </c>
      <c r="U723" s="34">
        <v>74.989999999999995</v>
      </c>
      <c r="V723" s="34">
        <v>-26.34</v>
      </c>
      <c r="W723" s="34">
        <v>0.41</v>
      </c>
      <c r="X723" s="34">
        <v>0.63</v>
      </c>
      <c r="Y723" s="35">
        <v>-0.95989999999999998</v>
      </c>
      <c r="Z723" s="35">
        <v>-1.5692999999999999</v>
      </c>
      <c r="AA723" s="35">
        <v>-828.75080000000003</v>
      </c>
    </row>
    <row r="724" spans="1:27" ht="15.75" hidden="1" customHeight="1" x14ac:dyDescent="0.2">
      <c r="A724" s="2"/>
      <c r="B724" s="31">
        <v>719</v>
      </c>
      <c r="C724" s="36" t="s">
        <v>1694</v>
      </c>
      <c r="D724" s="36" t="s">
        <v>1695</v>
      </c>
      <c r="E724" s="36" t="s">
        <v>1696</v>
      </c>
      <c r="F724" s="36" t="s">
        <v>1715</v>
      </c>
      <c r="G724" s="36" t="s">
        <v>1716</v>
      </c>
      <c r="H724" s="37" t="s">
        <v>80</v>
      </c>
      <c r="I724" s="37" t="s">
        <v>81</v>
      </c>
      <c r="J724" s="37" t="s">
        <v>82</v>
      </c>
      <c r="K724" s="37" t="s">
        <v>87</v>
      </c>
      <c r="L724" s="36" t="s">
        <v>84</v>
      </c>
      <c r="M724" s="34">
        <v>250</v>
      </c>
      <c r="N724" s="34">
        <v>3.96</v>
      </c>
      <c r="O724" s="34">
        <v>246.04</v>
      </c>
      <c r="P724" s="34">
        <v>0.34</v>
      </c>
      <c r="Q724" s="34">
        <v>-0.59</v>
      </c>
      <c r="R724" s="34">
        <v>-0.62</v>
      </c>
      <c r="S724" s="34">
        <v>-0.62</v>
      </c>
      <c r="T724" s="34">
        <v>-0.21</v>
      </c>
      <c r="U724" s="34">
        <v>51.26</v>
      </c>
      <c r="V724" s="34">
        <v>-1624</v>
      </c>
      <c r="W724" s="34">
        <v>6.59</v>
      </c>
      <c r="X724" s="34">
        <v>0.02</v>
      </c>
      <c r="Y724" s="35">
        <v>-0.39960000000000001</v>
      </c>
      <c r="Z724" s="35">
        <v>-0.40600000000000003</v>
      </c>
      <c r="AA724" s="35">
        <v>-291.92090000000002</v>
      </c>
    </row>
    <row r="725" spans="1:27" ht="15.75" hidden="1" customHeight="1" x14ac:dyDescent="0.2">
      <c r="A725" s="2"/>
      <c r="B725" s="31">
        <v>720</v>
      </c>
      <c r="C725" s="36" t="s">
        <v>1694</v>
      </c>
      <c r="D725" s="36" t="s">
        <v>1695</v>
      </c>
      <c r="E725" s="36" t="s">
        <v>1696</v>
      </c>
      <c r="F725" s="36" t="s">
        <v>1717</v>
      </c>
      <c r="G725" s="36" t="s">
        <v>1718</v>
      </c>
      <c r="H725" s="37" t="s">
        <v>80</v>
      </c>
      <c r="I725" s="37" t="s">
        <v>81</v>
      </c>
      <c r="J725" s="37" t="s">
        <v>82</v>
      </c>
      <c r="K725" s="37" t="s">
        <v>87</v>
      </c>
      <c r="L725" s="36" t="s">
        <v>84</v>
      </c>
      <c r="M725" s="34">
        <v>887.94</v>
      </c>
      <c r="N725" s="34">
        <v>383.98</v>
      </c>
      <c r="O725" s="34">
        <v>503.96</v>
      </c>
      <c r="P725" s="34">
        <v>65.959999999999994</v>
      </c>
      <c r="Q725" s="34">
        <v>12.38</v>
      </c>
      <c r="R725" s="34">
        <v>9.92</v>
      </c>
      <c r="S725" s="34">
        <v>8.51</v>
      </c>
      <c r="T725" s="34">
        <v>6.49</v>
      </c>
      <c r="U725" s="34">
        <v>352.44</v>
      </c>
      <c r="V725" s="34">
        <v>18.95</v>
      </c>
      <c r="W725" s="34">
        <v>0.35</v>
      </c>
      <c r="X725" s="34">
        <v>0.76</v>
      </c>
      <c r="Y725" s="35">
        <v>1.0455000000000001</v>
      </c>
      <c r="Z725" s="35">
        <v>1.8421000000000001</v>
      </c>
      <c r="AA725" s="35">
        <v>14.074199999999999</v>
      </c>
    </row>
    <row r="726" spans="1:27" ht="15.75" hidden="1" customHeight="1" x14ac:dyDescent="0.2">
      <c r="A726" s="2"/>
      <c r="B726" s="31">
        <v>721</v>
      </c>
      <c r="C726" s="36" t="s">
        <v>1694</v>
      </c>
      <c r="D726" s="36" t="s">
        <v>1695</v>
      </c>
      <c r="E726" s="36" t="s">
        <v>1696</v>
      </c>
      <c r="F726" s="36" t="s">
        <v>1719</v>
      </c>
      <c r="G726" s="36" t="s">
        <v>1720</v>
      </c>
      <c r="H726" s="37" t="s">
        <v>80</v>
      </c>
      <c r="I726" s="37" t="s">
        <v>81</v>
      </c>
      <c r="J726" s="37" t="s">
        <v>82</v>
      </c>
      <c r="K726" s="37" t="s">
        <v>87</v>
      </c>
      <c r="L726" s="36" t="s">
        <v>84</v>
      </c>
      <c r="M726" s="34">
        <v>5685.57</v>
      </c>
      <c r="N726" s="34">
        <v>1317.87</v>
      </c>
      <c r="O726" s="34">
        <v>4367.7</v>
      </c>
      <c r="P726" s="34">
        <v>94.32</v>
      </c>
      <c r="Q726" s="34">
        <v>-55.69</v>
      </c>
      <c r="R726" s="34">
        <v>-58.53</v>
      </c>
      <c r="S726" s="34">
        <v>-58.53</v>
      </c>
      <c r="T726" s="34">
        <v>-1.1200000000000001</v>
      </c>
      <c r="U726" s="34">
        <v>452.74</v>
      </c>
      <c r="V726" s="34">
        <v>-99.58</v>
      </c>
      <c r="W726" s="34">
        <v>0.25</v>
      </c>
      <c r="X726" s="34">
        <v>0.3</v>
      </c>
      <c r="Y726" s="35">
        <v>-0.1908</v>
      </c>
      <c r="Z726" s="35">
        <v>-0.24840000000000001</v>
      </c>
      <c r="AA726" s="35">
        <v>-11.5047</v>
      </c>
    </row>
    <row r="727" spans="1:27" ht="15.75" hidden="1" customHeight="1" x14ac:dyDescent="0.2">
      <c r="A727" s="2"/>
      <c r="B727" s="31">
        <v>722</v>
      </c>
      <c r="C727" s="36" t="s">
        <v>1694</v>
      </c>
      <c r="D727" s="36" t="s">
        <v>1695</v>
      </c>
      <c r="E727" s="36" t="s">
        <v>1696</v>
      </c>
      <c r="F727" s="36" t="s">
        <v>1721</v>
      </c>
      <c r="G727" s="36" t="s">
        <v>1722</v>
      </c>
      <c r="H727" s="37" t="s">
        <v>95</v>
      </c>
      <c r="I727" s="37" t="s">
        <v>338</v>
      </c>
      <c r="J727" s="37" t="s">
        <v>82</v>
      </c>
      <c r="K727" s="37" t="s">
        <v>87</v>
      </c>
      <c r="L727" s="36" t="s">
        <v>84</v>
      </c>
      <c r="M727" s="34">
        <v>2966.32</v>
      </c>
      <c r="N727" s="34">
        <v>3406.69</v>
      </c>
      <c r="O727" s="34">
        <v>-440.37</v>
      </c>
      <c r="P727" s="34">
        <v>90.3</v>
      </c>
      <c r="Q727" s="34">
        <v>-68.58</v>
      </c>
      <c r="R727" s="34">
        <v>-68.58</v>
      </c>
      <c r="S727" s="34">
        <v>-21.57</v>
      </c>
      <c r="T727" s="34">
        <v>-82.99</v>
      </c>
      <c r="U727" s="34">
        <v>-743.51</v>
      </c>
      <c r="V727" s="34">
        <v>-0.66</v>
      </c>
      <c r="W727" s="34">
        <v>-7.0000000000000007E-2</v>
      </c>
      <c r="X727" s="34">
        <v>-7.74</v>
      </c>
      <c r="Y727" s="35">
        <v>-1.6571</v>
      </c>
      <c r="Z727" s="35" t="s">
        <v>95</v>
      </c>
      <c r="AA727" s="35">
        <v>-54.432600000000001</v>
      </c>
    </row>
    <row r="728" spans="1:27" ht="15.75" hidden="1" customHeight="1" x14ac:dyDescent="0.2">
      <c r="A728" s="2"/>
      <c r="B728" s="31">
        <v>723</v>
      </c>
      <c r="C728" s="36" t="s">
        <v>1694</v>
      </c>
      <c r="D728" s="36" t="s">
        <v>1695</v>
      </c>
      <c r="E728" s="36" t="s">
        <v>1696</v>
      </c>
      <c r="F728" s="36" t="s">
        <v>1723</v>
      </c>
      <c r="G728" s="36" t="s">
        <v>1724</v>
      </c>
      <c r="H728" s="37" t="s">
        <v>80</v>
      </c>
      <c r="I728" s="37" t="s">
        <v>81</v>
      </c>
      <c r="J728" s="37" t="s">
        <v>82</v>
      </c>
      <c r="K728" s="37" t="s">
        <v>87</v>
      </c>
      <c r="L728" s="36" t="s">
        <v>84</v>
      </c>
      <c r="M728" s="34">
        <v>1821.92</v>
      </c>
      <c r="N728" s="34">
        <v>821.66</v>
      </c>
      <c r="O728" s="34">
        <v>1000.26</v>
      </c>
      <c r="P728" s="34">
        <v>145.6</v>
      </c>
      <c r="Q728" s="34">
        <v>2.44</v>
      </c>
      <c r="R728" s="34">
        <v>-3.81</v>
      </c>
      <c r="S728" s="34">
        <v>-5.48</v>
      </c>
      <c r="T728" s="34">
        <v>3.49</v>
      </c>
      <c r="U728" s="34">
        <v>198.91</v>
      </c>
      <c r="V728" s="34">
        <v>13.19</v>
      </c>
      <c r="W728" s="34">
        <v>0.23</v>
      </c>
      <c r="X728" s="34">
        <v>0.82</v>
      </c>
      <c r="Y728" s="35">
        <v>0.96279999999999999</v>
      </c>
      <c r="Z728" s="35">
        <v>1.7538</v>
      </c>
      <c r="AA728" s="35">
        <v>12.047800000000001</v>
      </c>
    </row>
    <row r="729" spans="1:27" ht="15.75" hidden="1" customHeight="1" x14ac:dyDescent="0.2">
      <c r="A729" s="2"/>
      <c r="B729" s="31">
        <v>724</v>
      </c>
      <c r="C729" s="36" t="s">
        <v>1694</v>
      </c>
      <c r="D729" s="36" t="s">
        <v>1695</v>
      </c>
      <c r="E729" s="36" t="s">
        <v>1696</v>
      </c>
      <c r="F729" s="36" t="s">
        <v>1725</v>
      </c>
      <c r="G729" s="36" t="s">
        <v>1726</v>
      </c>
      <c r="H729" s="37" t="s">
        <v>80</v>
      </c>
      <c r="I729" s="37" t="s">
        <v>81</v>
      </c>
      <c r="J729" s="37" t="s">
        <v>82</v>
      </c>
      <c r="K729" s="37" t="s">
        <v>87</v>
      </c>
      <c r="L729" s="36" t="s">
        <v>84</v>
      </c>
      <c r="M729" s="34">
        <v>743.13</v>
      </c>
      <c r="N729" s="34">
        <v>413.95</v>
      </c>
      <c r="O729" s="34">
        <v>329.18</v>
      </c>
      <c r="P729" s="34">
        <v>17.98</v>
      </c>
      <c r="Q729" s="34">
        <v>-15.72</v>
      </c>
      <c r="R729" s="34">
        <v>-16.579999999999998</v>
      </c>
      <c r="S729" s="34">
        <v>-16.579999999999998</v>
      </c>
      <c r="T729" s="34">
        <v>-4.46</v>
      </c>
      <c r="U729" s="34">
        <v>43.81</v>
      </c>
      <c r="V729" s="34">
        <v>-10.55</v>
      </c>
      <c r="W729" s="34">
        <v>1.07</v>
      </c>
      <c r="X729" s="34">
        <v>1.26</v>
      </c>
      <c r="Y729" s="35">
        <v>-4.5064000000000002</v>
      </c>
      <c r="Z729" s="35">
        <v>-10.173299999999999</v>
      </c>
      <c r="AA729" s="35">
        <v>-186.25110000000001</v>
      </c>
    </row>
    <row r="730" spans="1:27" ht="15.75" hidden="1" customHeight="1" x14ac:dyDescent="0.2">
      <c r="A730" s="2"/>
      <c r="B730" s="31">
        <v>725</v>
      </c>
      <c r="C730" s="36" t="s">
        <v>1694</v>
      </c>
      <c r="D730" s="36" t="s">
        <v>1695</v>
      </c>
      <c r="E730" s="36" t="s">
        <v>1696</v>
      </c>
      <c r="F730" s="36" t="s">
        <v>1727</v>
      </c>
      <c r="G730" s="36" t="s">
        <v>1728</v>
      </c>
      <c r="H730" s="37" t="s">
        <v>80</v>
      </c>
      <c r="I730" s="37" t="s">
        <v>81</v>
      </c>
      <c r="J730" s="37" t="s">
        <v>82</v>
      </c>
      <c r="K730" s="37" t="s">
        <v>87</v>
      </c>
      <c r="L730" s="36" t="s">
        <v>84</v>
      </c>
      <c r="M730" s="34">
        <v>21310.78</v>
      </c>
      <c r="N730" s="34">
        <v>6138.64</v>
      </c>
      <c r="O730" s="34">
        <v>15172.14</v>
      </c>
      <c r="P730" s="34">
        <v>483.67</v>
      </c>
      <c r="Q730" s="34">
        <v>18.12</v>
      </c>
      <c r="R730" s="34">
        <v>18.12</v>
      </c>
      <c r="S730" s="34">
        <v>14.58</v>
      </c>
      <c r="T730" s="34">
        <v>-0.25</v>
      </c>
      <c r="U730" s="34">
        <v>90.47</v>
      </c>
      <c r="V730" s="34">
        <v>-587.85</v>
      </c>
      <c r="W730" s="34">
        <v>1.6</v>
      </c>
      <c r="X730" s="34">
        <v>0.4</v>
      </c>
      <c r="Y730" s="35">
        <v>-0.19409999999999999</v>
      </c>
      <c r="Z730" s="35">
        <v>-0.2727</v>
      </c>
      <c r="AA730" s="35">
        <v>-8.5527999999999995</v>
      </c>
    </row>
    <row r="731" spans="1:27" ht="15.75" hidden="1" customHeight="1" x14ac:dyDescent="0.2">
      <c r="A731" s="2"/>
      <c r="B731" s="31">
        <v>726</v>
      </c>
      <c r="C731" s="36" t="s">
        <v>1694</v>
      </c>
      <c r="D731" s="36" t="s">
        <v>1695</v>
      </c>
      <c r="E731" s="36" t="s">
        <v>1696</v>
      </c>
      <c r="F731" s="36" t="s">
        <v>1729</v>
      </c>
      <c r="G731" s="36" t="s">
        <v>1730</v>
      </c>
      <c r="H731" s="37" t="s">
        <v>80</v>
      </c>
      <c r="I731" s="37" t="s">
        <v>81</v>
      </c>
      <c r="J731" s="37" t="s">
        <v>82</v>
      </c>
      <c r="K731" s="37" t="s">
        <v>87</v>
      </c>
      <c r="L731" s="36" t="s">
        <v>84</v>
      </c>
      <c r="M731" s="34">
        <v>2886.17</v>
      </c>
      <c r="N731" s="34">
        <v>760.75</v>
      </c>
      <c r="O731" s="34">
        <v>2125.42</v>
      </c>
      <c r="P731" s="34">
        <v>180.72</v>
      </c>
      <c r="Q731" s="34">
        <v>34.75</v>
      </c>
      <c r="R731" s="34">
        <v>34.39</v>
      </c>
      <c r="S731" s="34">
        <v>34.39</v>
      </c>
      <c r="T731" s="34">
        <v>13.72</v>
      </c>
      <c r="U731" s="34">
        <v>84.71</v>
      </c>
      <c r="V731" s="34">
        <v>6.2</v>
      </c>
      <c r="W731" s="34">
        <v>1</v>
      </c>
      <c r="X731" s="34">
        <v>0.36</v>
      </c>
      <c r="Y731" s="35">
        <v>11.9239</v>
      </c>
      <c r="Z731" s="35">
        <v>16.191800000000001</v>
      </c>
      <c r="AA731" s="35">
        <v>190.4271</v>
      </c>
    </row>
    <row r="732" spans="1:27" ht="15.75" hidden="1" customHeight="1" x14ac:dyDescent="0.2">
      <c r="A732" s="2"/>
      <c r="B732" s="31">
        <v>727</v>
      </c>
      <c r="C732" s="36" t="s">
        <v>1694</v>
      </c>
      <c r="D732" s="36" t="s">
        <v>1695</v>
      </c>
      <c r="E732" s="36" t="s">
        <v>1696</v>
      </c>
      <c r="F732" s="36" t="s">
        <v>1731</v>
      </c>
      <c r="G732" s="36" t="s">
        <v>1732</v>
      </c>
      <c r="H732" s="37" t="s">
        <v>80</v>
      </c>
      <c r="I732" s="37" t="s">
        <v>81</v>
      </c>
      <c r="J732" s="37" t="s">
        <v>82</v>
      </c>
      <c r="K732" s="37" t="s">
        <v>87</v>
      </c>
      <c r="L732" s="36" t="s">
        <v>84</v>
      </c>
      <c r="M732" s="34">
        <v>76641.009999999995</v>
      </c>
      <c r="N732" s="34">
        <v>25905.27</v>
      </c>
      <c r="O732" s="34">
        <v>50735.74</v>
      </c>
      <c r="P732" s="34">
        <v>6390.76</v>
      </c>
      <c r="Q732" s="34">
        <v>1360.76</v>
      </c>
      <c r="R732" s="34">
        <v>1351.81</v>
      </c>
      <c r="S732" s="34">
        <v>1288.05</v>
      </c>
      <c r="T732" s="34">
        <v>156.54</v>
      </c>
      <c r="U732" s="34">
        <v>2396.4299999999998</v>
      </c>
      <c r="V732" s="34">
        <v>6.77</v>
      </c>
      <c r="W732" s="34">
        <v>0.44</v>
      </c>
      <c r="X732" s="34">
        <v>0.51</v>
      </c>
      <c r="Y732" s="35">
        <v>4.3240999999999996</v>
      </c>
      <c r="Z732" s="35">
        <v>6.532</v>
      </c>
      <c r="AA732" s="35">
        <v>51.857100000000003</v>
      </c>
    </row>
    <row r="733" spans="1:27" ht="15.75" hidden="1" customHeight="1" x14ac:dyDescent="0.2">
      <c r="A733" s="2"/>
      <c r="B733" s="31">
        <v>728</v>
      </c>
      <c r="C733" s="36" t="s">
        <v>1694</v>
      </c>
      <c r="D733" s="36" t="s">
        <v>1695</v>
      </c>
      <c r="E733" s="36" t="s">
        <v>1696</v>
      </c>
      <c r="F733" s="36" t="s">
        <v>1733</v>
      </c>
      <c r="G733" s="36" t="s">
        <v>1734</v>
      </c>
      <c r="H733" s="37" t="s">
        <v>80</v>
      </c>
      <c r="I733" s="37" t="s">
        <v>81</v>
      </c>
      <c r="J733" s="37" t="s">
        <v>82</v>
      </c>
      <c r="K733" s="37" t="s">
        <v>104</v>
      </c>
      <c r="L733" s="36" t="s">
        <v>90</v>
      </c>
      <c r="M733" s="34">
        <v>21892.69</v>
      </c>
      <c r="N733" s="34">
        <v>10726.63</v>
      </c>
      <c r="O733" s="34">
        <v>11166.05</v>
      </c>
      <c r="P733" s="34">
        <v>1195.47</v>
      </c>
      <c r="Q733" s="34">
        <v>587.69000000000005</v>
      </c>
      <c r="R733" s="34">
        <v>587.13</v>
      </c>
      <c r="S733" s="34">
        <v>517</v>
      </c>
      <c r="T733" s="34">
        <v>181.79</v>
      </c>
      <c r="U733" s="34">
        <v>1969.69</v>
      </c>
      <c r="V733" s="34">
        <v>37.270000000000003</v>
      </c>
      <c r="W733" s="34">
        <v>3.44</v>
      </c>
      <c r="X733" s="34">
        <v>0.96</v>
      </c>
      <c r="Y733" s="35">
        <v>4.7073999999999998</v>
      </c>
      <c r="Z733" s="35">
        <v>9.2295999999999996</v>
      </c>
      <c r="AA733" s="35">
        <v>86.2072</v>
      </c>
    </row>
    <row r="734" spans="1:27" ht="15.75" hidden="1" customHeight="1" x14ac:dyDescent="0.2">
      <c r="A734" s="2"/>
      <c r="B734" s="31">
        <v>729</v>
      </c>
      <c r="C734" s="36" t="s">
        <v>1694</v>
      </c>
      <c r="D734" s="36" t="s">
        <v>1695</v>
      </c>
      <c r="E734" s="36" t="s">
        <v>1696</v>
      </c>
      <c r="F734" s="36" t="s">
        <v>1735</v>
      </c>
      <c r="G734" s="36" t="s">
        <v>1736</v>
      </c>
      <c r="H734" s="37" t="s">
        <v>80</v>
      </c>
      <c r="I734" s="37" t="s">
        <v>81</v>
      </c>
      <c r="J734" s="37" t="s">
        <v>82</v>
      </c>
      <c r="K734" s="37" t="s">
        <v>87</v>
      </c>
      <c r="L734" s="36" t="s">
        <v>84</v>
      </c>
      <c r="M734" s="34">
        <v>343.14</v>
      </c>
      <c r="N734" s="34">
        <v>46.56</v>
      </c>
      <c r="O734" s="34">
        <v>296.58</v>
      </c>
      <c r="P734" s="34">
        <v>35.71</v>
      </c>
      <c r="Q734" s="34">
        <v>17.82</v>
      </c>
      <c r="R734" s="34">
        <v>15.44</v>
      </c>
      <c r="S734" s="34">
        <v>15.44</v>
      </c>
      <c r="T734" s="34">
        <v>33.4</v>
      </c>
      <c r="U734" s="34">
        <v>218.68</v>
      </c>
      <c r="V734" s="34">
        <v>6.17</v>
      </c>
      <c r="W734" s="34">
        <v>0.94</v>
      </c>
      <c r="X734" s="34">
        <v>0.16</v>
      </c>
      <c r="Y734" s="35">
        <v>13.1999</v>
      </c>
      <c r="Z734" s="35">
        <v>15.2721</v>
      </c>
      <c r="AA734" s="35">
        <v>126.8473</v>
      </c>
    </row>
    <row r="735" spans="1:27" ht="15.75" hidden="1" customHeight="1" x14ac:dyDescent="0.2">
      <c r="A735" s="2"/>
      <c r="B735" s="31">
        <v>730</v>
      </c>
      <c r="C735" s="36" t="s">
        <v>1694</v>
      </c>
      <c r="D735" s="36" t="s">
        <v>1695</v>
      </c>
      <c r="E735" s="36" t="s">
        <v>1696</v>
      </c>
      <c r="F735" s="36" t="s">
        <v>1737</v>
      </c>
      <c r="G735" s="36" t="s">
        <v>1738</v>
      </c>
      <c r="H735" s="37" t="s">
        <v>80</v>
      </c>
      <c r="I735" s="37" t="s">
        <v>81</v>
      </c>
      <c r="J735" s="37" t="s">
        <v>82</v>
      </c>
      <c r="K735" s="37" t="s">
        <v>87</v>
      </c>
      <c r="L735" s="36" t="s">
        <v>84</v>
      </c>
      <c r="M735" s="34">
        <v>1055.3</v>
      </c>
      <c r="N735" s="34">
        <v>180.8</v>
      </c>
      <c r="O735" s="34">
        <v>874.5</v>
      </c>
      <c r="P735" s="34">
        <v>71.64</v>
      </c>
      <c r="Q735" s="34">
        <v>7.84</v>
      </c>
      <c r="R735" s="34">
        <v>7.81</v>
      </c>
      <c r="S735" s="34">
        <v>7.82</v>
      </c>
      <c r="T735" s="34">
        <v>2.64</v>
      </c>
      <c r="U735" s="34">
        <v>161.79</v>
      </c>
      <c r="V735" s="34">
        <v>45.1</v>
      </c>
      <c r="W735" s="34">
        <v>0.74</v>
      </c>
      <c r="X735" s="34">
        <v>0.21</v>
      </c>
      <c r="Y735" s="35">
        <v>1.3513999999999999</v>
      </c>
      <c r="Z735" s="35">
        <v>1.6308</v>
      </c>
      <c r="AA735" s="35">
        <v>19.9068</v>
      </c>
    </row>
    <row r="736" spans="1:27" ht="15.75" hidden="1" customHeight="1" x14ac:dyDescent="0.2">
      <c r="A736" s="2"/>
      <c r="B736" s="31">
        <v>731</v>
      </c>
      <c r="C736" s="36" t="s">
        <v>1694</v>
      </c>
      <c r="D736" s="36" t="s">
        <v>1695</v>
      </c>
      <c r="E736" s="36" t="s">
        <v>1696</v>
      </c>
      <c r="F736" s="36" t="s">
        <v>1739</v>
      </c>
      <c r="G736" s="36" t="s">
        <v>1740</v>
      </c>
      <c r="H736" s="37" t="s">
        <v>95</v>
      </c>
      <c r="I736" s="37" t="s">
        <v>1212</v>
      </c>
      <c r="J736" s="37" t="s">
        <v>82</v>
      </c>
      <c r="K736" s="37" t="s">
        <v>104</v>
      </c>
      <c r="L736" s="36" t="s">
        <v>432</v>
      </c>
      <c r="M736" s="34">
        <v>2550.52</v>
      </c>
      <c r="N736" s="34">
        <v>2569.8000000000002</v>
      </c>
      <c r="O736" s="34">
        <v>-19.28</v>
      </c>
      <c r="P736" s="34">
        <v>461.08</v>
      </c>
      <c r="Q736" s="34">
        <v>-928.27</v>
      </c>
      <c r="R736" s="34">
        <v>-959.85</v>
      </c>
      <c r="S736" s="34">
        <v>-959.83</v>
      </c>
      <c r="T736" s="34">
        <v>-197.04</v>
      </c>
      <c r="U736" s="34">
        <v>-3.96</v>
      </c>
      <c r="V736" s="34">
        <v>-0.25</v>
      </c>
      <c r="W736" s="34">
        <v>-12.63</v>
      </c>
      <c r="X736" s="34">
        <v>-133.29</v>
      </c>
      <c r="Y736" s="35">
        <v>-37.632800000000003</v>
      </c>
      <c r="Z736" s="35" t="s">
        <v>95</v>
      </c>
      <c r="AA736" s="35">
        <v>-208.16900000000001</v>
      </c>
    </row>
    <row r="737" spans="1:27" ht="15.75" hidden="1" customHeight="1" x14ac:dyDescent="0.2">
      <c r="A737" s="2"/>
      <c r="B737" s="31">
        <v>732</v>
      </c>
      <c r="C737" s="36" t="s">
        <v>1694</v>
      </c>
      <c r="D737" s="36" t="s">
        <v>1695</v>
      </c>
      <c r="E737" s="36" t="s">
        <v>1696</v>
      </c>
      <c r="F737" s="36" t="s">
        <v>1741</v>
      </c>
      <c r="G737" s="36" t="s">
        <v>1742</v>
      </c>
      <c r="H737" s="37" t="s">
        <v>95</v>
      </c>
      <c r="I737" s="37" t="s">
        <v>1683</v>
      </c>
      <c r="J737" s="37" t="s">
        <v>82</v>
      </c>
      <c r="K737" s="37" t="s">
        <v>87</v>
      </c>
      <c r="L737" s="36" t="s">
        <v>84</v>
      </c>
      <c r="M737" s="34">
        <v>209.46</v>
      </c>
      <c r="N737" s="34">
        <v>25.69</v>
      </c>
      <c r="O737" s="34">
        <v>183.77</v>
      </c>
      <c r="P737" s="34">
        <v>2.89</v>
      </c>
      <c r="Q737" s="34">
        <v>-0.57999999999999996</v>
      </c>
      <c r="R737" s="34">
        <v>-0.65</v>
      </c>
      <c r="S737" s="34">
        <v>-0.65</v>
      </c>
      <c r="T737" s="34">
        <v>-1.51</v>
      </c>
      <c r="U737" s="34">
        <v>75.52</v>
      </c>
      <c r="V737" s="34">
        <v>-33.15</v>
      </c>
      <c r="W737" s="34">
        <v>0.66</v>
      </c>
      <c r="X737" s="34">
        <v>0.14000000000000001</v>
      </c>
      <c r="Y737" s="35">
        <v>-1.7522</v>
      </c>
      <c r="Z737" s="35">
        <v>-1.9972000000000001</v>
      </c>
      <c r="AA737" s="35">
        <v>-127.14109999999999</v>
      </c>
    </row>
    <row r="738" spans="1:27" ht="15.75" hidden="1" customHeight="1" x14ac:dyDescent="0.2">
      <c r="A738" s="2"/>
      <c r="B738" s="31">
        <v>733</v>
      </c>
      <c r="C738" s="36" t="s">
        <v>1694</v>
      </c>
      <c r="D738" s="36" t="s">
        <v>1695</v>
      </c>
      <c r="E738" s="36" t="s">
        <v>1696</v>
      </c>
      <c r="F738" s="36" t="s">
        <v>1743</v>
      </c>
      <c r="G738" s="36" t="s">
        <v>1744</v>
      </c>
      <c r="H738" s="37" t="s">
        <v>80</v>
      </c>
      <c r="I738" s="37" t="s">
        <v>81</v>
      </c>
      <c r="J738" s="37" t="s">
        <v>82</v>
      </c>
      <c r="K738" s="37" t="s">
        <v>104</v>
      </c>
      <c r="L738" s="36" t="s">
        <v>90</v>
      </c>
      <c r="M738" s="34">
        <v>513.16999999999996</v>
      </c>
      <c r="N738" s="34">
        <v>159.11000000000001</v>
      </c>
      <c r="O738" s="34">
        <v>354.05</v>
      </c>
      <c r="P738" s="34">
        <v>60.51</v>
      </c>
      <c r="Q738" s="34">
        <v>25.39</v>
      </c>
      <c r="R738" s="34">
        <v>23.92</v>
      </c>
      <c r="S738" s="34">
        <v>12.26</v>
      </c>
      <c r="T738" s="34">
        <v>6.26</v>
      </c>
      <c r="U738" s="34">
        <v>270.89</v>
      </c>
      <c r="V738" s="34">
        <v>38.04</v>
      </c>
      <c r="W738" s="34">
        <v>0.88</v>
      </c>
      <c r="X738" s="34">
        <v>0.45</v>
      </c>
      <c r="Y738" s="35">
        <v>1.5932999999999999</v>
      </c>
      <c r="Z738" s="35">
        <v>2.3094000000000001</v>
      </c>
      <c r="AA738" s="35">
        <v>13.512</v>
      </c>
    </row>
    <row r="739" spans="1:27" ht="15.75" hidden="1" customHeight="1" x14ac:dyDescent="0.2">
      <c r="A739" s="2"/>
      <c r="B739" s="31">
        <v>734</v>
      </c>
      <c r="C739" s="36" t="s">
        <v>1694</v>
      </c>
      <c r="D739" s="36" t="s">
        <v>1695</v>
      </c>
      <c r="E739" s="36" t="s">
        <v>1696</v>
      </c>
      <c r="F739" s="36" t="s">
        <v>1745</v>
      </c>
      <c r="G739" s="36" t="s">
        <v>1746</v>
      </c>
      <c r="H739" s="37" t="s">
        <v>80</v>
      </c>
      <c r="I739" s="37" t="s">
        <v>81</v>
      </c>
      <c r="J739" s="37" t="s">
        <v>82</v>
      </c>
      <c r="K739" s="37" t="s">
        <v>87</v>
      </c>
      <c r="L739" s="36" t="s">
        <v>84</v>
      </c>
      <c r="M739" s="34">
        <v>47197.58</v>
      </c>
      <c r="N739" s="34">
        <v>21733.65</v>
      </c>
      <c r="O739" s="34">
        <v>25463.93</v>
      </c>
      <c r="P739" s="34">
        <v>5881.87</v>
      </c>
      <c r="Q739" s="34">
        <v>1492.84</v>
      </c>
      <c r="R739" s="34">
        <v>1320.53</v>
      </c>
      <c r="S739" s="34">
        <v>1235.23</v>
      </c>
      <c r="T739" s="34">
        <v>125.83</v>
      </c>
      <c r="U739" s="34">
        <v>1373.78</v>
      </c>
      <c r="V739" s="34">
        <v>7.39</v>
      </c>
      <c r="W739" s="34">
        <v>0.68</v>
      </c>
      <c r="X739" s="34">
        <v>0.85</v>
      </c>
      <c r="Y739" s="35">
        <v>4.9414999999999996</v>
      </c>
      <c r="Z739" s="35">
        <v>9.1591000000000005</v>
      </c>
      <c r="AA739" s="35">
        <v>39.652000000000001</v>
      </c>
    </row>
    <row r="740" spans="1:27" ht="15.75" hidden="1" customHeight="1" x14ac:dyDescent="0.2">
      <c r="A740" s="2"/>
      <c r="B740" s="31">
        <v>735</v>
      </c>
      <c r="C740" s="36" t="s">
        <v>1694</v>
      </c>
      <c r="D740" s="36" t="s">
        <v>1695</v>
      </c>
      <c r="E740" s="36" t="s">
        <v>1696</v>
      </c>
      <c r="F740" s="36" t="s">
        <v>1747</v>
      </c>
      <c r="G740" s="36" t="s">
        <v>1748</v>
      </c>
      <c r="H740" s="37" t="s">
        <v>95</v>
      </c>
      <c r="I740" s="37" t="s">
        <v>81</v>
      </c>
      <c r="J740" s="37" t="s">
        <v>82</v>
      </c>
      <c r="K740" s="37" t="s">
        <v>87</v>
      </c>
      <c r="L740" s="36" t="s">
        <v>84</v>
      </c>
      <c r="M740" s="34">
        <v>639.95000000000005</v>
      </c>
      <c r="N740" s="34">
        <v>287.56</v>
      </c>
      <c r="O740" s="34">
        <v>352.39</v>
      </c>
      <c r="P740" s="34">
        <v>5.39</v>
      </c>
      <c r="Q740" s="34">
        <v>0.35</v>
      </c>
      <c r="R740" s="34">
        <v>0.22</v>
      </c>
      <c r="S740" s="34">
        <v>0.21</v>
      </c>
      <c r="T740" s="34">
        <v>0.17</v>
      </c>
      <c r="U740" s="34">
        <v>47.42</v>
      </c>
      <c r="V740" s="34">
        <v>797.4</v>
      </c>
      <c r="W740" s="34">
        <v>2.83</v>
      </c>
      <c r="X740" s="34">
        <v>0.82</v>
      </c>
      <c r="Y740" s="35">
        <v>0.1951</v>
      </c>
      <c r="Z740" s="35">
        <v>0.35439999999999999</v>
      </c>
      <c r="AA740" s="35">
        <v>23.1493</v>
      </c>
    </row>
    <row r="741" spans="1:27" ht="15.75" hidden="1" customHeight="1" x14ac:dyDescent="0.2">
      <c r="A741" s="2"/>
      <c r="B741" s="31">
        <v>736</v>
      </c>
      <c r="C741" s="36" t="s">
        <v>1694</v>
      </c>
      <c r="D741" s="36" t="s">
        <v>1695</v>
      </c>
      <c r="E741" s="36" t="s">
        <v>1696</v>
      </c>
      <c r="F741" s="36" t="s">
        <v>1749</v>
      </c>
      <c r="G741" s="36" t="s">
        <v>1750</v>
      </c>
      <c r="H741" s="37" t="s">
        <v>95</v>
      </c>
      <c r="I741" s="37" t="s">
        <v>81</v>
      </c>
      <c r="J741" s="37" t="s">
        <v>82</v>
      </c>
      <c r="K741" s="37" t="s">
        <v>87</v>
      </c>
      <c r="L741" s="36" t="s">
        <v>84</v>
      </c>
      <c r="M741" s="34">
        <v>6170.63</v>
      </c>
      <c r="N741" s="34">
        <v>4856.05</v>
      </c>
      <c r="O741" s="34">
        <v>1314.58</v>
      </c>
      <c r="P741" s="34">
        <v>238.9</v>
      </c>
      <c r="Q741" s="34">
        <v>-116.93</v>
      </c>
      <c r="R741" s="34">
        <v>-127.58</v>
      </c>
      <c r="S741" s="34">
        <v>-127.57</v>
      </c>
      <c r="T741" s="34">
        <v>-87.22</v>
      </c>
      <c r="U741" s="34">
        <v>418.47</v>
      </c>
      <c r="V741" s="34">
        <v>-1.98</v>
      </c>
      <c r="W741" s="34">
        <v>0.41</v>
      </c>
      <c r="X741" s="34">
        <v>3.69</v>
      </c>
      <c r="Y741" s="35">
        <v>-4.4402999999999997</v>
      </c>
      <c r="Z741" s="35">
        <v>-20.842700000000001</v>
      </c>
      <c r="AA741" s="35">
        <v>-114.6908</v>
      </c>
    </row>
    <row r="742" spans="1:27" ht="15.75" hidden="1" customHeight="1" x14ac:dyDescent="0.2">
      <c r="A742" s="2"/>
      <c r="B742" s="31">
        <v>737</v>
      </c>
      <c r="C742" s="36" t="s">
        <v>1694</v>
      </c>
      <c r="D742" s="36" t="s">
        <v>1695</v>
      </c>
      <c r="E742" s="36" t="s">
        <v>1696</v>
      </c>
      <c r="F742" s="36" t="s">
        <v>1751</v>
      </c>
      <c r="G742" s="36" t="s">
        <v>1752</v>
      </c>
      <c r="H742" s="37" t="s">
        <v>95</v>
      </c>
      <c r="I742" s="37" t="s">
        <v>81</v>
      </c>
      <c r="J742" s="37" t="s">
        <v>82</v>
      </c>
      <c r="K742" s="37" t="s">
        <v>87</v>
      </c>
      <c r="L742" s="36" t="s">
        <v>84</v>
      </c>
      <c r="M742" s="34">
        <v>13524.82</v>
      </c>
      <c r="N742" s="34">
        <v>6750.88</v>
      </c>
      <c r="O742" s="34">
        <v>6773.95</v>
      </c>
      <c r="P742" s="34">
        <v>1215.99</v>
      </c>
      <c r="Q742" s="34">
        <v>56.6</v>
      </c>
      <c r="R742" s="34">
        <v>49.1</v>
      </c>
      <c r="S742" s="34">
        <v>12.56</v>
      </c>
      <c r="T742" s="34">
        <v>-17.32</v>
      </c>
      <c r="U742" s="34">
        <v>653.49</v>
      </c>
      <c r="V742" s="34">
        <v>-8.0299999999999994</v>
      </c>
      <c r="W742" s="34">
        <v>0.21</v>
      </c>
      <c r="X742" s="34">
        <v>1</v>
      </c>
      <c r="Y742" s="35">
        <v>-1.3273999999999999</v>
      </c>
      <c r="Z742" s="35">
        <v>-2.6501999999999999</v>
      </c>
      <c r="AA742" s="35">
        <v>-14.7636</v>
      </c>
    </row>
    <row r="743" spans="1:27" ht="15.75" hidden="1" customHeight="1" x14ac:dyDescent="0.2">
      <c r="A743" s="2"/>
      <c r="B743" s="31">
        <v>738</v>
      </c>
      <c r="C743" s="36" t="s">
        <v>1694</v>
      </c>
      <c r="D743" s="36" t="s">
        <v>1695</v>
      </c>
      <c r="E743" s="36" t="s">
        <v>1696</v>
      </c>
      <c r="F743" s="36" t="s">
        <v>1753</v>
      </c>
      <c r="G743" s="36" t="s">
        <v>1754</v>
      </c>
      <c r="H743" s="37" t="s">
        <v>80</v>
      </c>
      <c r="I743" s="37" t="s">
        <v>81</v>
      </c>
      <c r="J743" s="37" t="s">
        <v>82</v>
      </c>
      <c r="K743" s="37" t="s">
        <v>87</v>
      </c>
      <c r="L743" s="36" t="s">
        <v>84</v>
      </c>
      <c r="M743" s="34">
        <v>6658.33</v>
      </c>
      <c r="N743" s="34">
        <v>408.98</v>
      </c>
      <c r="O743" s="34">
        <v>6249.35</v>
      </c>
      <c r="P743" s="34">
        <v>613.36</v>
      </c>
      <c r="Q743" s="34">
        <v>456.45</v>
      </c>
      <c r="R743" s="34">
        <v>433.42</v>
      </c>
      <c r="S743" s="34">
        <v>433.02</v>
      </c>
      <c r="T743" s="34">
        <v>19.989999999999998</v>
      </c>
      <c r="U743" s="34">
        <v>129.66</v>
      </c>
      <c r="V743" s="34">
        <v>6.85</v>
      </c>
      <c r="W743" s="34">
        <v>1.06</v>
      </c>
      <c r="X743" s="34">
        <v>7.0000000000000007E-2</v>
      </c>
      <c r="Y743" s="35">
        <v>14.468999999999999</v>
      </c>
      <c r="Z743" s="35">
        <v>15.415900000000001</v>
      </c>
      <c r="AA743" s="35">
        <v>157.06909999999999</v>
      </c>
    </row>
    <row r="744" spans="1:27" ht="15.75" hidden="1" customHeight="1" x14ac:dyDescent="0.2">
      <c r="A744" s="2"/>
      <c r="B744" s="31">
        <v>739</v>
      </c>
      <c r="C744" s="36" t="s">
        <v>1694</v>
      </c>
      <c r="D744" s="36" t="s">
        <v>1695</v>
      </c>
      <c r="E744" s="36" t="s">
        <v>1696</v>
      </c>
      <c r="F744" s="36" t="s">
        <v>1755</v>
      </c>
      <c r="G744" s="36" t="s">
        <v>1756</v>
      </c>
      <c r="H744" s="37" t="s">
        <v>80</v>
      </c>
      <c r="I744" s="37" t="s">
        <v>81</v>
      </c>
      <c r="J744" s="37" t="s">
        <v>82</v>
      </c>
      <c r="K744" s="37" t="s">
        <v>87</v>
      </c>
      <c r="L744" s="36" t="s">
        <v>84</v>
      </c>
      <c r="M744" s="34">
        <v>15891.43</v>
      </c>
      <c r="N744" s="34">
        <v>2461.5300000000002</v>
      </c>
      <c r="O744" s="34">
        <v>13429.9</v>
      </c>
      <c r="P744" s="34">
        <v>1183.25</v>
      </c>
      <c r="Q744" s="34">
        <v>182.34</v>
      </c>
      <c r="R744" s="34">
        <v>181.66</v>
      </c>
      <c r="S744" s="34">
        <v>128.80000000000001</v>
      </c>
      <c r="T744" s="34">
        <v>245.72</v>
      </c>
      <c r="U744" s="34">
        <v>7259.41</v>
      </c>
      <c r="V744" s="34">
        <v>17.91</v>
      </c>
      <c r="W744" s="34">
        <v>0.61</v>
      </c>
      <c r="X744" s="34">
        <v>0.18</v>
      </c>
      <c r="Y744" s="35">
        <v>2.8605</v>
      </c>
      <c r="Z744" s="35">
        <v>3.3847999999999998</v>
      </c>
      <c r="AA744" s="35">
        <v>38.417700000000004</v>
      </c>
    </row>
    <row r="745" spans="1:27" ht="15.75" hidden="1" customHeight="1" x14ac:dyDescent="0.2">
      <c r="A745" s="2"/>
      <c r="B745" s="31">
        <v>740</v>
      </c>
      <c r="C745" s="36" t="s">
        <v>1694</v>
      </c>
      <c r="D745" s="36" t="s">
        <v>1695</v>
      </c>
      <c r="E745" s="36" t="s">
        <v>1696</v>
      </c>
      <c r="F745" s="36" t="s">
        <v>1757</v>
      </c>
      <c r="G745" s="36" t="s">
        <v>1758</v>
      </c>
      <c r="H745" s="37" t="s">
        <v>80</v>
      </c>
      <c r="I745" s="37" t="s">
        <v>81</v>
      </c>
      <c r="J745" s="37" t="s">
        <v>82</v>
      </c>
      <c r="K745" s="37" t="s">
        <v>87</v>
      </c>
      <c r="L745" s="36" t="s">
        <v>84</v>
      </c>
      <c r="M745" s="34">
        <v>8863.2900000000009</v>
      </c>
      <c r="N745" s="34">
        <v>2875.05</v>
      </c>
      <c r="O745" s="34">
        <v>5988.24</v>
      </c>
      <c r="P745" s="34">
        <v>702.35</v>
      </c>
      <c r="Q745" s="34">
        <v>-20.9</v>
      </c>
      <c r="R745" s="34">
        <v>-24.57</v>
      </c>
      <c r="S745" s="34">
        <v>-7.88</v>
      </c>
      <c r="T745" s="34">
        <v>-2.15</v>
      </c>
      <c r="U745" s="34">
        <v>137.59</v>
      </c>
      <c r="V745" s="34">
        <v>-13.95</v>
      </c>
      <c r="W745" s="34">
        <v>0.22</v>
      </c>
      <c r="X745" s="34">
        <v>0.48</v>
      </c>
      <c r="Y745" s="35">
        <v>-1.0562</v>
      </c>
      <c r="Z745" s="35">
        <v>-1.5633999999999999</v>
      </c>
      <c r="AA745" s="35">
        <v>-13.3293</v>
      </c>
    </row>
    <row r="746" spans="1:27" ht="15.75" hidden="1" customHeight="1" x14ac:dyDescent="0.2">
      <c r="A746" s="2"/>
      <c r="B746" s="31">
        <v>741</v>
      </c>
      <c r="C746" s="36" t="s">
        <v>1694</v>
      </c>
      <c r="D746" s="36" t="s">
        <v>1695</v>
      </c>
      <c r="E746" s="36" t="s">
        <v>1696</v>
      </c>
      <c r="F746" s="36" t="s">
        <v>1759</v>
      </c>
      <c r="G746" s="36" t="s">
        <v>1760</v>
      </c>
      <c r="H746" s="37" t="s">
        <v>80</v>
      </c>
      <c r="I746" s="37" t="s">
        <v>81</v>
      </c>
      <c r="J746" s="37" t="s">
        <v>82</v>
      </c>
      <c r="K746" s="37" t="s">
        <v>87</v>
      </c>
      <c r="L746" s="36" t="s">
        <v>84</v>
      </c>
      <c r="M746" s="34">
        <v>3457.13</v>
      </c>
      <c r="N746" s="34">
        <v>1250.43</v>
      </c>
      <c r="O746" s="34">
        <v>2206.6999999999998</v>
      </c>
      <c r="P746" s="34">
        <v>89.96</v>
      </c>
      <c r="Q746" s="34">
        <v>6.47</v>
      </c>
      <c r="R746" s="34">
        <v>6.47</v>
      </c>
      <c r="S746" s="34">
        <v>3.65</v>
      </c>
      <c r="T746" s="34">
        <v>163.13999999999999</v>
      </c>
      <c r="U746" s="34">
        <v>658.72</v>
      </c>
      <c r="V746" s="34">
        <v>0.61</v>
      </c>
      <c r="W746" s="34">
        <v>0.15</v>
      </c>
      <c r="X746" s="34">
        <v>0.56999999999999995</v>
      </c>
      <c r="Y746" s="35">
        <v>15.808299999999999</v>
      </c>
      <c r="Z746" s="35">
        <v>24.766100000000002</v>
      </c>
      <c r="AA746" s="35">
        <v>607.5181</v>
      </c>
    </row>
    <row r="747" spans="1:27" ht="15.75" hidden="1" customHeight="1" x14ac:dyDescent="0.2">
      <c r="A747" s="2"/>
      <c r="B747" s="31">
        <v>742</v>
      </c>
      <c r="C747" s="36" t="s">
        <v>1694</v>
      </c>
      <c r="D747" s="36" t="s">
        <v>1695</v>
      </c>
      <c r="E747" s="36" t="s">
        <v>1696</v>
      </c>
      <c r="F747" s="36" t="s">
        <v>1761</v>
      </c>
      <c r="G747" s="36" t="s">
        <v>1762</v>
      </c>
      <c r="H747" s="37" t="s">
        <v>80</v>
      </c>
      <c r="I747" s="37" t="s">
        <v>81</v>
      </c>
      <c r="J747" s="37" t="s">
        <v>82</v>
      </c>
      <c r="K747" s="37" t="s">
        <v>87</v>
      </c>
      <c r="L747" s="36" t="s">
        <v>84</v>
      </c>
      <c r="M747" s="34">
        <v>767.35</v>
      </c>
      <c r="N747" s="34">
        <v>70.37</v>
      </c>
      <c r="O747" s="34">
        <v>696.98</v>
      </c>
      <c r="P747" s="34">
        <v>32.03</v>
      </c>
      <c r="Q747" s="34">
        <v>18.13</v>
      </c>
      <c r="R747" s="34">
        <v>17.32</v>
      </c>
      <c r="S747" s="34">
        <v>17.32</v>
      </c>
      <c r="T747" s="34">
        <v>3.82</v>
      </c>
      <c r="U747" s="34">
        <v>108.9</v>
      </c>
      <c r="V747" s="34">
        <v>96.45</v>
      </c>
      <c r="W747" s="34">
        <v>3.38</v>
      </c>
      <c r="X747" s="34">
        <v>0.1</v>
      </c>
      <c r="Y747" s="35">
        <v>3.1823000000000001</v>
      </c>
      <c r="Z747" s="35">
        <v>3.5034999999999998</v>
      </c>
      <c r="AA747" s="35">
        <v>76.247399999999999</v>
      </c>
    </row>
    <row r="748" spans="1:27" ht="15.75" hidden="1" customHeight="1" x14ac:dyDescent="0.2">
      <c r="A748" s="2"/>
      <c r="B748" s="31">
        <v>743</v>
      </c>
      <c r="C748" s="36" t="s">
        <v>1694</v>
      </c>
      <c r="D748" s="36" t="s">
        <v>1695</v>
      </c>
      <c r="E748" s="36" t="s">
        <v>1696</v>
      </c>
      <c r="F748" s="36" t="s">
        <v>1763</v>
      </c>
      <c r="G748" s="36" t="s">
        <v>1764</v>
      </c>
      <c r="H748" s="37" t="s">
        <v>95</v>
      </c>
      <c r="I748" s="37" t="s">
        <v>1683</v>
      </c>
      <c r="J748" s="37" t="s">
        <v>82</v>
      </c>
      <c r="K748" s="37" t="s">
        <v>87</v>
      </c>
      <c r="L748" s="36" t="s">
        <v>84</v>
      </c>
      <c r="M748" s="34">
        <v>1376.92</v>
      </c>
      <c r="N748" s="34">
        <v>328.54</v>
      </c>
      <c r="O748" s="34">
        <v>1048.3699999999999</v>
      </c>
      <c r="P748" s="34">
        <v>11.49</v>
      </c>
      <c r="Q748" s="34">
        <v>-22.24</v>
      </c>
      <c r="R748" s="34">
        <v>-22.3</v>
      </c>
      <c r="S748" s="34">
        <v>-21.88</v>
      </c>
      <c r="T748" s="34">
        <v>-3.43</v>
      </c>
      <c r="U748" s="34">
        <v>104.72</v>
      </c>
      <c r="V748" s="34">
        <v>-5.25</v>
      </c>
      <c r="W748" s="34">
        <v>0.17</v>
      </c>
      <c r="X748" s="34">
        <v>0.31</v>
      </c>
      <c r="Y748" s="35">
        <v>-2.4946000000000002</v>
      </c>
      <c r="Z748" s="35">
        <v>-3.2764000000000002</v>
      </c>
      <c r="AA748" s="35">
        <v>-298.81959999999998</v>
      </c>
    </row>
    <row r="749" spans="1:27" ht="15.75" hidden="1" customHeight="1" x14ac:dyDescent="0.2">
      <c r="A749" s="2"/>
      <c r="B749" s="31">
        <v>744</v>
      </c>
      <c r="C749" s="36" t="s">
        <v>1694</v>
      </c>
      <c r="D749" s="36" t="s">
        <v>1695</v>
      </c>
      <c r="E749" s="36" t="s">
        <v>1696</v>
      </c>
      <c r="F749" s="36" t="s">
        <v>1765</v>
      </c>
      <c r="G749" s="36" t="s">
        <v>1766</v>
      </c>
      <c r="H749" s="37" t="s">
        <v>80</v>
      </c>
      <c r="I749" s="37" t="s">
        <v>81</v>
      </c>
      <c r="J749" s="37" t="s">
        <v>82</v>
      </c>
      <c r="K749" s="37" t="s">
        <v>83</v>
      </c>
      <c r="L749" s="36" t="s">
        <v>90</v>
      </c>
      <c r="M749" s="34">
        <v>1351.14</v>
      </c>
      <c r="N749" s="34">
        <v>502.18</v>
      </c>
      <c r="O749" s="34">
        <v>848.95</v>
      </c>
      <c r="P749" s="34">
        <v>136.33000000000001</v>
      </c>
      <c r="Q749" s="34">
        <v>22.05</v>
      </c>
      <c r="R749" s="34">
        <v>22.01</v>
      </c>
      <c r="S749" s="34">
        <v>22.01</v>
      </c>
      <c r="T749" s="34">
        <v>23.55</v>
      </c>
      <c r="U749" s="34">
        <v>836.09</v>
      </c>
      <c r="V749" s="34">
        <v>90.87</v>
      </c>
      <c r="W749" s="34">
        <v>2.56</v>
      </c>
      <c r="X749" s="34">
        <v>0.59</v>
      </c>
      <c r="Y749" s="35">
        <v>1.7698</v>
      </c>
      <c r="Z749" s="35">
        <v>2.8166000000000002</v>
      </c>
      <c r="AA749" s="35">
        <v>17.5398</v>
      </c>
    </row>
    <row r="750" spans="1:27" ht="15.75" hidden="1" customHeight="1" x14ac:dyDescent="0.2">
      <c r="A750" s="2"/>
      <c r="B750" s="31">
        <v>745</v>
      </c>
      <c r="C750" s="36" t="s">
        <v>1694</v>
      </c>
      <c r="D750" s="36" t="s">
        <v>1695</v>
      </c>
      <c r="E750" s="36" t="s">
        <v>1696</v>
      </c>
      <c r="F750" s="36" t="s">
        <v>1767</v>
      </c>
      <c r="G750" s="36" t="s">
        <v>1768</v>
      </c>
      <c r="H750" s="37" t="s">
        <v>80</v>
      </c>
      <c r="I750" s="37" t="s">
        <v>81</v>
      </c>
      <c r="J750" s="37" t="s">
        <v>82</v>
      </c>
      <c r="K750" s="37" t="s">
        <v>87</v>
      </c>
      <c r="L750" s="36" t="s">
        <v>84</v>
      </c>
      <c r="M750" s="34">
        <v>1972.98</v>
      </c>
      <c r="N750" s="34">
        <v>580.19000000000005</v>
      </c>
      <c r="O750" s="34">
        <v>1392.78</v>
      </c>
      <c r="P750" s="34">
        <v>224.98</v>
      </c>
      <c r="Q750" s="34">
        <v>46.31</v>
      </c>
      <c r="R750" s="34">
        <v>46.31</v>
      </c>
      <c r="S750" s="34">
        <v>45.15</v>
      </c>
      <c r="T750" s="34">
        <v>29.23</v>
      </c>
      <c r="U750" s="34">
        <v>325.67</v>
      </c>
      <c r="V750" s="34">
        <v>4.45</v>
      </c>
      <c r="W750" s="34">
        <v>0.4</v>
      </c>
      <c r="X750" s="34">
        <v>0.42</v>
      </c>
      <c r="Y750" s="35">
        <v>6.3356000000000003</v>
      </c>
      <c r="Z750" s="35">
        <v>8.9748999999999999</v>
      </c>
      <c r="AA750" s="35">
        <v>55.560600000000001</v>
      </c>
    </row>
    <row r="751" spans="1:27" ht="15.75" hidden="1" customHeight="1" x14ac:dyDescent="0.2">
      <c r="A751" s="2"/>
      <c r="B751" s="31">
        <v>746</v>
      </c>
      <c r="C751" s="36" t="s">
        <v>1694</v>
      </c>
      <c r="D751" s="36" t="s">
        <v>1695</v>
      </c>
      <c r="E751" s="36" t="s">
        <v>1696</v>
      </c>
      <c r="F751" s="36" t="s">
        <v>1769</v>
      </c>
      <c r="G751" s="36" t="s">
        <v>1770</v>
      </c>
      <c r="H751" s="37" t="s">
        <v>80</v>
      </c>
      <c r="I751" s="37" t="s">
        <v>81</v>
      </c>
      <c r="J751" s="37" t="s">
        <v>82</v>
      </c>
      <c r="K751" s="37" t="s">
        <v>87</v>
      </c>
      <c r="L751" s="36" t="s">
        <v>84</v>
      </c>
      <c r="M751" s="34">
        <v>463.52</v>
      </c>
      <c r="N751" s="34">
        <v>71.930000000000007</v>
      </c>
      <c r="O751" s="34">
        <v>391.59</v>
      </c>
      <c r="P751" s="34">
        <v>32.83</v>
      </c>
      <c r="Q751" s="34">
        <v>1.28</v>
      </c>
      <c r="R751" s="34">
        <v>1.29</v>
      </c>
      <c r="S751" s="34">
        <v>1.29</v>
      </c>
      <c r="T751" s="34">
        <v>0.82</v>
      </c>
      <c r="U751" s="34">
        <v>53.09</v>
      </c>
      <c r="V751" s="34">
        <v>145.31</v>
      </c>
      <c r="W751" s="34">
        <v>2.2400000000000002</v>
      </c>
      <c r="X751" s="34">
        <v>0.18</v>
      </c>
      <c r="Y751" s="35">
        <v>1.3030999999999999</v>
      </c>
      <c r="Z751" s="35">
        <v>1.5425</v>
      </c>
      <c r="AA751" s="35">
        <v>18.4011</v>
      </c>
    </row>
    <row r="752" spans="1:27" ht="15.75" hidden="1" customHeight="1" x14ac:dyDescent="0.2">
      <c r="A752" s="2"/>
      <c r="B752" s="31">
        <v>747</v>
      </c>
      <c r="C752" s="36" t="s">
        <v>1694</v>
      </c>
      <c r="D752" s="36" t="s">
        <v>1695</v>
      </c>
      <c r="E752" s="36" t="s">
        <v>1696</v>
      </c>
      <c r="F752" s="36" t="s">
        <v>1771</v>
      </c>
      <c r="G752" s="36" t="s">
        <v>1772</v>
      </c>
      <c r="H752" s="37" t="s">
        <v>95</v>
      </c>
      <c r="I752" s="37" t="s">
        <v>81</v>
      </c>
      <c r="J752" s="37" t="s">
        <v>82</v>
      </c>
      <c r="K752" s="37" t="s">
        <v>87</v>
      </c>
      <c r="L752" s="36" t="s">
        <v>84</v>
      </c>
      <c r="M752" s="34">
        <v>81.88</v>
      </c>
      <c r="N752" s="34">
        <v>1.46</v>
      </c>
      <c r="O752" s="34">
        <v>80.41</v>
      </c>
      <c r="P752" s="34">
        <v>12.33</v>
      </c>
      <c r="Q752" s="34">
        <v>2.42</v>
      </c>
      <c r="R752" s="34">
        <v>2.11</v>
      </c>
      <c r="S752" s="34">
        <v>2.11</v>
      </c>
      <c r="T752" s="34">
        <v>6.09</v>
      </c>
      <c r="U752" s="34">
        <v>77.260000000000005</v>
      </c>
      <c r="V752" s="34">
        <v>61.11</v>
      </c>
      <c r="W752" s="34">
        <v>4.8099999999999996</v>
      </c>
      <c r="X752" s="34">
        <v>0.02</v>
      </c>
      <c r="Y752" s="35">
        <v>7.7382999999999997</v>
      </c>
      <c r="Z752" s="35">
        <v>7.8792</v>
      </c>
      <c r="AA752" s="35">
        <v>51.398000000000003</v>
      </c>
    </row>
    <row r="753" spans="1:27" ht="15.75" hidden="1" customHeight="1" x14ac:dyDescent="0.2">
      <c r="A753" s="2"/>
      <c r="B753" s="31">
        <v>748</v>
      </c>
      <c r="C753" s="36" t="s">
        <v>1694</v>
      </c>
      <c r="D753" s="36" t="s">
        <v>1695</v>
      </c>
      <c r="E753" s="36" t="s">
        <v>1696</v>
      </c>
      <c r="F753" s="36" t="s">
        <v>1773</v>
      </c>
      <c r="G753" s="36" t="s">
        <v>1774</v>
      </c>
      <c r="H753" s="37" t="s">
        <v>80</v>
      </c>
      <c r="I753" s="37" t="s">
        <v>81</v>
      </c>
      <c r="J753" s="37" t="s">
        <v>82</v>
      </c>
      <c r="K753" s="37" t="s">
        <v>87</v>
      </c>
      <c r="L753" s="36" t="s">
        <v>84</v>
      </c>
      <c r="M753" s="34">
        <v>203.33</v>
      </c>
      <c r="N753" s="34">
        <v>70.69</v>
      </c>
      <c r="O753" s="34">
        <v>132.63999999999999</v>
      </c>
      <c r="P753" s="34">
        <v>17.059999999999999</v>
      </c>
      <c r="Q753" s="34">
        <v>1.33</v>
      </c>
      <c r="R753" s="34">
        <v>0.9</v>
      </c>
      <c r="S753" s="34">
        <v>0.9</v>
      </c>
      <c r="T753" s="34">
        <v>-0.88</v>
      </c>
      <c r="U753" s="34">
        <v>84.22</v>
      </c>
      <c r="V753" s="34">
        <v>-284.18</v>
      </c>
      <c r="W753" s="34">
        <v>2.97</v>
      </c>
      <c r="X753" s="34">
        <v>0.53</v>
      </c>
      <c r="Y753" s="35">
        <v>-0.68140000000000001</v>
      </c>
      <c r="Z753" s="35">
        <v>-1.0446</v>
      </c>
      <c r="AA753" s="35">
        <v>-8.1196999999999999</v>
      </c>
    </row>
    <row r="754" spans="1:27" ht="15.75" hidden="1" customHeight="1" x14ac:dyDescent="0.2">
      <c r="A754" s="2"/>
      <c r="B754" s="31">
        <v>749</v>
      </c>
      <c r="C754" s="36" t="s">
        <v>1694</v>
      </c>
      <c r="D754" s="36" t="s">
        <v>1775</v>
      </c>
      <c r="E754" s="36" t="s">
        <v>1776</v>
      </c>
      <c r="F754" s="36" t="s">
        <v>1777</v>
      </c>
      <c r="G754" s="36" t="s">
        <v>1778</v>
      </c>
      <c r="H754" s="37" t="s">
        <v>95</v>
      </c>
      <c r="I754" s="37" t="s">
        <v>81</v>
      </c>
      <c r="J754" s="37" t="s">
        <v>82</v>
      </c>
      <c r="K754" s="37" t="s">
        <v>87</v>
      </c>
      <c r="L754" s="36" t="s">
        <v>90</v>
      </c>
      <c r="M754" s="34">
        <v>1081.74</v>
      </c>
      <c r="N754" s="34">
        <v>5.12</v>
      </c>
      <c r="O754" s="34">
        <v>1076.6199999999999</v>
      </c>
      <c r="P754" s="34">
        <v>12.79</v>
      </c>
      <c r="Q754" s="34">
        <v>16.899999999999999</v>
      </c>
      <c r="R754" s="34">
        <v>16.28</v>
      </c>
      <c r="S754" s="34">
        <v>16.39</v>
      </c>
      <c r="T754" s="34">
        <v>5.56</v>
      </c>
      <c r="U754" s="34">
        <v>240.28</v>
      </c>
      <c r="V754" s="34">
        <v>43.9</v>
      </c>
      <c r="W754" s="34">
        <v>1.02</v>
      </c>
      <c r="X754" s="34" t="s">
        <v>95</v>
      </c>
      <c r="Y754" s="35">
        <v>2.3022999999999998</v>
      </c>
      <c r="Z754" s="35">
        <v>2.3132000000000001</v>
      </c>
      <c r="AA754" s="35">
        <v>194.69300000000001</v>
      </c>
    </row>
    <row r="755" spans="1:27" ht="15.75" hidden="1" customHeight="1" x14ac:dyDescent="0.2">
      <c r="A755" s="2"/>
      <c r="B755" s="31">
        <v>750</v>
      </c>
      <c r="C755" s="36" t="s">
        <v>1694</v>
      </c>
      <c r="D755" s="36" t="s">
        <v>1695</v>
      </c>
      <c r="E755" s="36" t="s">
        <v>1696</v>
      </c>
      <c r="F755" s="36" t="s">
        <v>1779</v>
      </c>
      <c r="G755" s="36" t="s">
        <v>1780</v>
      </c>
      <c r="H755" s="37" t="s">
        <v>95</v>
      </c>
      <c r="I755" s="37" t="s">
        <v>81</v>
      </c>
      <c r="J755" s="37" t="s">
        <v>82</v>
      </c>
      <c r="K755" s="37" t="s">
        <v>87</v>
      </c>
      <c r="L755" s="36" t="s">
        <v>84</v>
      </c>
      <c r="M755" s="34">
        <v>10169.25</v>
      </c>
      <c r="N755" s="34">
        <v>3387.28</v>
      </c>
      <c r="O755" s="34">
        <v>6781.98</v>
      </c>
      <c r="P755" s="34">
        <v>872.11</v>
      </c>
      <c r="Q755" s="34">
        <v>627.19000000000005</v>
      </c>
      <c r="R755" s="34">
        <v>500.65</v>
      </c>
      <c r="S755" s="34">
        <v>443.19</v>
      </c>
      <c r="T755" s="34">
        <v>44.48</v>
      </c>
      <c r="U755" s="34">
        <v>606.51</v>
      </c>
      <c r="V755" s="34">
        <v>16.3</v>
      </c>
      <c r="W755" s="34">
        <v>1.2</v>
      </c>
      <c r="X755" s="34">
        <v>0.5</v>
      </c>
      <c r="Y755" s="35">
        <v>4.8905000000000003</v>
      </c>
      <c r="Z755" s="35">
        <v>7.3330000000000002</v>
      </c>
      <c r="AA755" s="35">
        <v>57.025500000000001</v>
      </c>
    </row>
    <row r="756" spans="1:27" ht="15.75" hidden="1" customHeight="1" x14ac:dyDescent="0.2">
      <c r="A756" s="2"/>
      <c r="B756" s="31">
        <v>751</v>
      </c>
      <c r="C756" s="36" t="s">
        <v>1694</v>
      </c>
      <c r="D756" s="36" t="s">
        <v>1695</v>
      </c>
      <c r="E756" s="36" t="s">
        <v>1696</v>
      </c>
      <c r="F756" s="36" t="s">
        <v>1781</v>
      </c>
      <c r="G756" s="36" t="s">
        <v>1782</v>
      </c>
      <c r="H756" s="37" t="s">
        <v>95</v>
      </c>
      <c r="I756" s="37" t="s">
        <v>81</v>
      </c>
      <c r="J756" s="37" t="s">
        <v>82</v>
      </c>
      <c r="K756" s="37" t="s">
        <v>87</v>
      </c>
      <c r="L756" s="36" t="s">
        <v>84</v>
      </c>
      <c r="M756" s="34">
        <v>46.92</v>
      </c>
      <c r="N756" s="34">
        <v>10.19</v>
      </c>
      <c r="O756" s="34">
        <v>36.729999999999997</v>
      </c>
      <c r="P756" s="34">
        <v>25.82</v>
      </c>
      <c r="Q756" s="34">
        <v>-1.29</v>
      </c>
      <c r="R756" s="34">
        <v>-1.1599999999999999</v>
      </c>
      <c r="S756" s="34">
        <v>-1.22</v>
      </c>
      <c r="T756" s="34">
        <v>0.44</v>
      </c>
      <c r="U756" s="34">
        <v>38.67</v>
      </c>
      <c r="V756" s="34">
        <v>571.49</v>
      </c>
      <c r="W756" s="34">
        <v>6.47</v>
      </c>
      <c r="X756" s="34">
        <v>0.28000000000000003</v>
      </c>
      <c r="Y756" s="35">
        <v>0.88570000000000004</v>
      </c>
      <c r="Z756" s="35">
        <v>1.1313</v>
      </c>
      <c r="AA756" s="35">
        <v>1.6092</v>
      </c>
    </row>
    <row r="757" spans="1:27" ht="15.75" hidden="1" customHeight="1" x14ac:dyDescent="0.2">
      <c r="A757" s="2"/>
      <c r="B757" s="31">
        <v>752</v>
      </c>
      <c r="C757" s="36" t="s">
        <v>1694</v>
      </c>
      <c r="D757" s="36" t="s">
        <v>1695</v>
      </c>
      <c r="E757" s="36" t="s">
        <v>1696</v>
      </c>
      <c r="F757" s="36" t="s">
        <v>1783</v>
      </c>
      <c r="G757" s="36" t="s">
        <v>1784</v>
      </c>
      <c r="H757" s="37" t="s">
        <v>80</v>
      </c>
      <c r="I757" s="37" t="s">
        <v>81</v>
      </c>
      <c r="J757" s="37" t="s">
        <v>82</v>
      </c>
      <c r="K757" s="37" t="s">
        <v>87</v>
      </c>
      <c r="L757" s="36" t="s">
        <v>84</v>
      </c>
      <c r="M757" s="34">
        <v>14674.09</v>
      </c>
      <c r="N757" s="34">
        <v>4326.8500000000004</v>
      </c>
      <c r="O757" s="34">
        <v>10347.24</v>
      </c>
      <c r="P757" s="34">
        <v>1472.1</v>
      </c>
      <c r="Q757" s="34">
        <v>606.36</v>
      </c>
      <c r="R757" s="34">
        <v>590.09</v>
      </c>
      <c r="S757" s="34">
        <v>584.91</v>
      </c>
      <c r="T757" s="34">
        <v>93.54</v>
      </c>
      <c r="U757" s="34">
        <v>801.45</v>
      </c>
      <c r="V757" s="34">
        <v>9.14</v>
      </c>
      <c r="W757" s="34">
        <v>1.07</v>
      </c>
      <c r="X757" s="34">
        <v>0.42</v>
      </c>
      <c r="Y757" s="35">
        <v>8.2303999999999995</v>
      </c>
      <c r="Z757" s="35">
        <v>11.672000000000001</v>
      </c>
      <c r="AA757" s="35">
        <v>82.041499999999999</v>
      </c>
    </row>
    <row r="758" spans="1:27" ht="15.75" hidden="1" customHeight="1" x14ac:dyDescent="0.2">
      <c r="A758" s="2"/>
      <c r="B758" s="31">
        <v>753</v>
      </c>
      <c r="C758" s="36" t="s">
        <v>1694</v>
      </c>
      <c r="D758" s="36" t="s">
        <v>1695</v>
      </c>
      <c r="E758" s="36" t="s">
        <v>1696</v>
      </c>
      <c r="F758" s="36" t="s">
        <v>1785</v>
      </c>
      <c r="G758" s="36" t="s">
        <v>1786</v>
      </c>
      <c r="H758" s="37" t="s">
        <v>80</v>
      </c>
      <c r="I758" s="37" t="s">
        <v>81</v>
      </c>
      <c r="J758" s="37" t="s">
        <v>82</v>
      </c>
      <c r="K758" s="37" t="s">
        <v>87</v>
      </c>
      <c r="L758" s="36" t="s">
        <v>84</v>
      </c>
      <c r="M758" s="34">
        <v>411.3</v>
      </c>
      <c r="N758" s="34">
        <v>62.72</v>
      </c>
      <c r="O758" s="34">
        <v>348.57</v>
      </c>
      <c r="P758" s="34">
        <v>2.15</v>
      </c>
      <c r="Q758" s="34">
        <v>-7.67</v>
      </c>
      <c r="R758" s="34">
        <v>-7.77</v>
      </c>
      <c r="S758" s="34">
        <v>-7.77</v>
      </c>
      <c r="T758" s="34">
        <v>-3.33</v>
      </c>
      <c r="U758" s="34">
        <v>48.75</v>
      </c>
      <c r="V758" s="34">
        <v>-14.72</v>
      </c>
      <c r="W758" s="34">
        <v>1.01</v>
      </c>
      <c r="X758" s="34">
        <v>0.18</v>
      </c>
      <c r="Y758" s="35">
        <v>-5.7850999999999999</v>
      </c>
      <c r="Z758" s="35">
        <v>-6.8259999999999996</v>
      </c>
      <c r="AA758" s="35">
        <v>-1104.7358999999999</v>
      </c>
    </row>
    <row r="759" spans="1:27" ht="15.75" hidden="1" customHeight="1" x14ac:dyDescent="0.2">
      <c r="A759" s="2"/>
      <c r="B759" s="31">
        <v>754</v>
      </c>
      <c r="C759" s="36" t="s">
        <v>1694</v>
      </c>
      <c r="D759" s="36" t="s">
        <v>1695</v>
      </c>
      <c r="E759" s="36" t="s">
        <v>1696</v>
      </c>
      <c r="F759" s="36" t="s">
        <v>1787</v>
      </c>
      <c r="G759" s="36" t="s">
        <v>1788</v>
      </c>
      <c r="H759" s="37" t="s">
        <v>80</v>
      </c>
      <c r="I759" s="37" t="s">
        <v>81</v>
      </c>
      <c r="J759" s="37" t="s">
        <v>82</v>
      </c>
      <c r="K759" s="37" t="s">
        <v>87</v>
      </c>
      <c r="L759" s="36" t="s">
        <v>84</v>
      </c>
      <c r="M759" s="34">
        <v>14442.84</v>
      </c>
      <c r="N759" s="34">
        <v>6571.59</v>
      </c>
      <c r="O759" s="34">
        <v>7871.25</v>
      </c>
      <c r="P759" s="34">
        <v>2726.4</v>
      </c>
      <c r="Q759" s="34">
        <v>679.46</v>
      </c>
      <c r="R759" s="34">
        <v>627.55999999999995</v>
      </c>
      <c r="S759" s="34">
        <v>310.64999999999998</v>
      </c>
      <c r="T759" s="34">
        <v>29.97</v>
      </c>
      <c r="U759" s="34">
        <v>377.97</v>
      </c>
      <c r="V759" s="34">
        <v>6.24</v>
      </c>
      <c r="W759" s="34">
        <v>0.49</v>
      </c>
      <c r="X759" s="34">
        <v>0.83</v>
      </c>
      <c r="Y759" s="35">
        <v>4.3213999999999997</v>
      </c>
      <c r="Z759" s="35">
        <v>7.9292999999999996</v>
      </c>
      <c r="AA759" s="35">
        <v>22.892399999999999</v>
      </c>
    </row>
    <row r="760" spans="1:27" ht="15.75" hidden="1" customHeight="1" x14ac:dyDescent="0.2">
      <c r="A760" s="2"/>
      <c r="B760" s="31">
        <v>755</v>
      </c>
      <c r="C760" s="36" t="s">
        <v>1694</v>
      </c>
      <c r="D760" s="36" t="s">
        <v>1695</v>
      </c>
      <c r="E760" s="36" t="s">
        <v>1696</v>
      </c>
      <c r="F760" s="36" t="s">
        <v>1789</v>
      </c>
      <c r="G760" s="36" t="s">
        <v>1790</v>
      </c>
      <c r="H760" s="37" t="s">
        <v>80</v>
      </c>
      <c r="I760" s="37" t="s">
        <v>81</v>
      </c>
      <c r="J760" s="37" t="s">
        <v>82</v>
      </c>
      <c r="K760" s="37" t="s">
        <v>87</v>
      </c>
      <c r="L760" s="36" t="s">
        <v>84</v>
      </c>
      <c r="M760" s="34">
        <v>149.18</v>
      </c>
      <c r="N760" s="34">
        <v>9.02</v>
      </c>
      <c r="O760" s="34">
        <v>140.16</v>
      </c>
      <c r="P760" s="34">
        <v>35.94</v>
      </c>
      <c r="Q760" s="34">
        <v>11.32</v>
      </c>
      <c r="R760" s="34">
        <v>10.92</v>
      </c>
      <c r="S760" s="34">
        <v>10.92</v>
      </c>
      <c r="T760" s="34">
        <v>4.6399999999999997</v>
      </c>
      <c r="U760" s="34">
        <v>31.74</v>
      </c>
      <c r="V760" s="34">
        <v>17.88</v>
      </c>
      <c r="W760" s="34">
        <v>2.61</v>
      </c>
      <c r="X760" s="34">
        <v>0.06</v>
      </c>
      <c r="Y760" s="35">
        <v>13.7393</v>
      </c>
      <c r="Z760" s="35">
        <v>14.6236</v>
      </c>
      <c r="AA760" s="35">
        <v>57.0246</v>
      </c>
    </row>
    <row r="761" spans="1:27" ht="15.75" hidden="1" customHeight="1" x14ac:dyDescent="0.2">
      <c r="A761" s="2"/>
      <c r="B761" s="31">
        <v>756</v>
      </c>
      <c r="C761" s="36" t="s">
        <v>1694</v>
      </c>
      <c r="D761" s="36" t="s">
        <v>1695</v>
      </c>
      <c r="E761" s="36" t="s">
        <v>1696</v>
      </c>
      <c r="F761" s="36" t="s">
        <v>1791</v>
      </c>
      <c r="G761" s="36" t="s">
        <v>1792</v>
      </c>
      <c r="H761" s="37" t="s">
        <v>80</v>
      </c>
      <c r="I761" s="37" t="s">
        <v>81</v>
      </c>
      <c r="J761" s="37" t="s">
        <v>82</v>
      </c>
      <c r="K761" s="37" t="s">
        <v>87</v>
      </c>
      <c r="L761" s="36" t="s">
        <v>84</v>
      </c>
      <c r="M761" s="34">
        <v>1361.37</v>
      </c>
      <c r="N761" s="34">
        <v>20.329999999999998</v>
      </c>
      <c r="O761" s="34">
        <v>1341.04</v>
      </c>
      <c r="P761" s="34">
        <v>71.41</v>
      </c>
      <c r="Q761" s="34">
        <v>12.01</v>
      </c>
      <c r="R761" s="34">
        <v>10.130000000000001</v>
      </c>
      <c r="S761" s="34">
        <v>9.6</v>
      </c>
      <c r="T761" s="34">
        <v>13.8</v>
      </c>
      <c r="U761" s="34">
        <v>627.29</v>
      </c>
      <c r="V761" s="34">
        <v>19.850000000000001</v>
      </c>
      <c r="W761" s="34">
        <v>0.44</v>
      </c>
      <c r="X761" s="34">
        <v>0.02</v>
      </c>
      <c r="Y761" s="35">
        <v>2.1673</v>
      </c>
      <c r="Z761" s="35">
        <v>2.2000999999999999</v>
      </c>
      <c r="AA761" s="35">
        <v>41.317500000000003</v>
      </c>
    </row>
    <row r="762" spans="1:27" ht="15.75" hidden="1" customHeight="1" x14ac:dyDescent="0.2">
      <c r="A762" s="2"/>
      <c r="B762" s="31">
        <v>757</v>
      </c>
      <c r="C762" s="36" t="s">
        <v>1694</v>
      </c>
      <c r="D762" s="36" t="s">
        <v>1695</v>
      </c>
      <c r="E762" s="36" t="s">
        <v>1696</v>
      </c>
      <c r="F762" s="36" t="s">
        <v>1793</v>
      </c>
      <c r="G762" s="36" t="s">
        <v>1794</v>
      </c>
      <c r="H762" s="37" t="s">
        <v>80</v>
      </c>
      <c r="I762" s="37" t="s">
        <v>81</v>
      </c>
      <c r="J762" s="37" t="s">
        <v>82</v>
      </c>
      <c r="K762" s="37" t="s">
        <v>87</v>
      </c>
      <c r="L762" s="36" t="s">
        <v>84</v>
      </c>
      <c r="M762" s="34">
        <v>731.29</v>
      </c>
      <c r="N762" s="34">
        <v>273.77999999999997</v>
      </c>
      <c r="O762" s="34">
        <v>457.51</v>
      </c>
      <c r="P762" s="34">
        <v>24.39</v>
      </c>
      <c r="Q762" s="34">
        <v>0.9</v>
      </c>
      <c r="R762" s="34">
        <v>0.51</v>
      </c>
      <c r="S762" s="34">
        <v>0.51</v>
      </c>
      <c r="T762" s="34">
        <v>0.37</v>
      </c>
      <c r="U762" s="34">
        <v>163.83000000000001</v>
      </c>
      <c r="V762" s="34">
        <v>119.25</v>
      </c>
      <c r="W762" s="34">
        <v>0.27</v>
      </c>
      <c r="X762" s="34">
        <v>0.6</v>
      </c>
      <c r="Y762" s="35">
        <v>0.1409</v>
      </c>
      <c r="Z762" s="35">
        <v>0.22520000000000001</v>
      </c>
      <c r="AA762" s="35">
        <v>4.2253999999999996</v>
      </c>
    </row>
    <row r="763" spans="1:27" ht="15.75" hidden="1" customHeight="1" x14ac:dyDescent="0.2">
      <c r="A763" s="2"/>
      <c r="B763" s="31">
        <v>758</v>
      </c>
      <c r="C763" s="36" t="s">
        <v>1694</v>
      </c>
      <c r="D763" s="36" t="s">
        <v>1695</v>
      </c>
      <c r="E763" s="36" t="s">
        <v>1696</v>
      </c>
      <c r="F763" s="36" t="s">
        <v>1795</v>
      </c>
      <c r="G763" s="36" t="s">
        <v>1796</v>
      </c>
      <c r="H763" s="37" t="s">
        <v>95</v>
      </c>
      <c r="I763" s="37" t="s">
        <v>691</v>
      </c>
      <c r="J763" s="37" t="s">
        <v>82</v>
      </c>
      <c r="K763" s="37" t="s">
        <v>87</v>
      </c>
      <c r="L763" s="36" t="s">
        <v>84</v>
      </c>
      <c r="M763" s="34">
        <v>1632.53</v>
      </c>
      <c r="N763" s="34">
        <v>40.03</v>
      </c>
      <c r="O763" s="34">
        <v>1592.49</v>
      </c>
      <c r="P763" s="34">
        <v>1.64</v>
      </c>
      <c r="Q763" s="34">
        <v>-1.3</v>
      </c>
      <c r="R763" s="34">
        <v>-1.34</v>
      </c>
      <c r="S763" s="34">
        <v>-1.32</v>
      </c>
      <c r="T763" s="34">
        <v>0.06</v>
      </c>
      <c r="U763" s="34">
        <v>282.86</v>
      </c>
      <c r="V763" s="34">
        <v>2008.04</v>
      </c>
      <c r="W763" s="34">
        <v>0.4</v>
      </c>
      <c r="X763" s="34">
        <v>0.03</v>
      </c>
      <c r="Y763" s="35">
        <v>1.9599999999999999E-2</v>
      </c>
      <c r="Z763" s="35">
        <v>2.01E-2</v>
      </c>
      <c r="AA763" s="35">
        <v>19.532599999999999</v>
      </c>
    </row>
    <row r="764" spans="1:27" ht="15.75" hidden="1" customHeight="1" x14ac:dyDescent="0.2">
      <c r="A764" s="2"/>
      <c r="B764" s="31">
        <v>759</v>
      </c>
      <c r="C764" s="36" t="s">
        <v>1694</v>
      </c>
      <c r="D764" s="36" t="s">
        <v>1695</v>
      </c>
      <c r="E764" s="36" t="s">
        <v>1696</v>
      </c>
      <c r="F764" s="36" t="s">
        <v>1797</v>
      </c>
      <c r="G764" s="36" t="s">
        <v>1798</v>
      </c>
      <c r="H764" s="37" t="s">
        <v>80</v>
      </c>
      <c r="I764" s="37" t="s">
        <v>81</v>
      </c>
      <c r="J764" s="37" t="s">
        <v>82</v>
      </c>
      <c r="K764" s="37" t="s">
        <v>87</v>
      </c>
      <c r="L764" s="36" t="s">
        <v>84</v>
      </c>
      <c r="M764" s="34">
        <v>12517.32</v>
      </c>
      <c r="N764" s="34">
        <v>5871.29</v>
      </c>
      <c r="O764" s="34">
        <v>6646.03</v>
      </c>
      <c r="P764" s="34">
        <v>2238.09</v>
      </c>
      <c r="Q764" s="34">
        <v>275.06</v>
      </c>
      <c r="R764" s="34">
        <v>208.21</v>
      </c>
      <c r="S764" s="34">
        <v>208.21</v>
      </c>
      <c r="T764" s="34">
        <v>-287.33999999999997</v>
      </c>
      <c r="U764" s="34">
        <v>1294.3399999999999</v>
      </c>
      <c r="V764" s="34">
        <v>-2.35</v>
      </c>
      <c r="W764" s="34">
        <v>0.52</v>
      </c>
      <c r="X764" s="34">
        <v>0.88</v>
      </c>
      <c r="Y764" s="35">
        <v>-11.786899999999999</v>
      </c>
      <c r="Z764" s="35">
        <v>-22.1998</v>
      </c>
      <c r="AA764" s="35">
        <v>-65.922499999999999</v>
      </c>
    </row>
    <row r="765" spans="1:27" ht="15.75" hidden="1" customHeight="1" x14ac:dyDescent="0.2">
      <c r="A765" s="2"/>
      <c r="B765" s="31">
        <v>760</v>
      </c>
      <c r="C765" s="36" t="s">
        <v>1694</v>
      </c>
      <c r="D765" s="36" t="s">
        <v>1695</v>
      </c>
      <c r="E765" s="36" t="s">
        <v>1696</v>
      </c>
      <c r="F765" s="36" t="s">
        <v>1799</v>
      </c>
      <c r="G765" s="36" t="s">
        <v>1800</v>
      </c>
      <c r="H765" s="37" t="s">
        <v>80</v>
      </c>
      <c r="I765" s="37" t="s">
        <v>81</v>
      </c>
      <c r="J765" s="37" t="s">
        <v>82</v>
      </c>
      <c r="K765" s="37" t="s">
        <v>83</v>
      </c>
      <c r="L765" s="36" t="s">
        <v>432</v>
      </c>
      <c r="M765" s="34">
        <v>54658.400000000001</v>
      </c>
      <c r="N765" s="34">
        <v>23306.46</v>
      </c>
      <c r="O765" s="34">
        <v>31351.94</v>
      </c>
      <c r="P765" s="34">
        <v>4117.47</v>
      </c>
      <c r="Q765" s="34">
        <v>336.23</v>
      </c>
      <c r="R765" s="34">
        <v>202.46</v>
      </c>
      <c r="S765" s="34">
        <v>137.9</v>
      </c>
      <c r="T765" s="34">
        <v>-14.18</v>
      </c>
      <c r="U765" s="34">
        <v>442.21</v>
      </c>
      <c r="V765" s="34">
        <v>-7.27</v>
      </c>
      <c r="W765" s="34">
        <v>0.23</v>
      </c>
      <c r="X765" s="34">
        <v>0.74</v>
      </c>
      <c r="Y765" s="35">
        <v>-1.839</v>
      </c>
      <c r="Z765" s="35">
        <v>-3.2061000000000002</v>
      </c>
      <c r="AA765" s="35">
        <v>-24.412099999999999</v>
      </c>
    </row>
    <row r="766" spans="1:27" ht="15.75" hidden="1" customHeight="1" x14ac:dyDescent="0.2">
      <c r="A766" s="2"/>
      <c r="B766" s="31">
        <v>761</v>
      </c>
      <c r="C766" s="36" t="s">
        <v>1694</v>
      </c>
      <c r="D766" s="36" t="s">
        <v>1695</v>
      </c>
      <c r="E766" s="36" t="s">
        <v>1696</v>
      </c>
      <c r="F766" s="36" t="s">
        <v>1801</v>
      </c>
      <c r="G766" s="36" t="s">
        <v>1802</v>
      </c>
      <c r="H766" s="37" t="s">
        <v>95</v>
      </c>
      <c r="I766" s="37" t="s">
        <v>81</v>
      </c>
      <c r="J766" s="37" t="s">
        <v>82</v>
      </c>
      <c r="K766" s="37" t="s">
        <v>83</v>
      </c>
      <c r="L766" s="36" t="s">
        <v>84</v>
      </c>
      <c r="M766" s="34">
        <v>2240.4</v>
      </c>
      <c r="N766" s="34">
        <v>8.77</v>
      </c>
      <c r="O766" s="34">
        <v>2231.63</v>
      </c>
      <c r="P766" s="34">
        <v>8.7200000000000006</v>
      </c>
      <c r="Q766" s="34">
        <v>203.72</v>
      </c>
      <c r="R766" s="34">
        <v>203.18</v>
      </c>
      <c r="S766" s="34">
        <v>203.18</v>
      </c>
      <c r="T766" s="34">
        <v>153.72999999999999</v>
      </c>
      <c r="U766" s="34">
        <v>1906.67</v>
      </c>
      <c r="V766" s="34">
        <v>5.85</v>
      </c>
      <c r="W766" s="34">
        <v>0.47</v>
      </c>
      <c r="X766" s="34" t="s">
        <v>95</v>
      </c>
      <c r="Y766" s="35">
        <v>8.0309000000000008</v>
      </c>
      <c r="Z766" s="35">
        <v>8.0625</v>
      </c>
      <c r="AA766" s="35">
        <v>2062.8870000000002</v>
      </c>
    </row>
    <row r="767" spans="1:27" ht="15.75" hidden="1" customHeight="1" x14ac:dyDescent="0.2">
      <c r="A767" s="2"/>
      <c r="B767" s="31">
        <v>762</v>
      </c>
      <c r="C767" s="36" t="s">
        <v>1694</v>
      </c>
      <c r="D767" s="36" t="s">
        <v>1695</v>
      </c>
      <c r="E767" s="36" t="s">
        <v>1696</v>
      </c>
      <c r="F767" s="36" t="s">
        <v>1803</v>
      </c>
      <c r="G767" s="36" t="s">
        <v>1804</v>
      </c>
      <c r="H767" s="37" t="s">
        <v>95</v>
      </c>
      <c r="I767" s="37" t="s">
        <v>81</v>
      </c>
      <c r="J767" s="37" t="s">
        <v>82</v>
      </c>
      <c r="K767" s="37" t="s">
        <v>87</v>
      </c>
      <c r="L767" s="36" t="s">
        <v>84</v>
      </c>
      <c r="M767" s="34">
        <v>13341.74</v>
      </c>
      <c r="N767" s="34">
        <v>9093.2099999999991</v>
      </c>
      <c r="O767" s="34">
        <v>4248.53</v>
      </c>
      <c r="P767" s="34">
        <v>517.58000000000004</v>
      </c>
      <c r="Q767" s="34">
        <v>821.07</v>
      </c>
      <c r="R767" s="34">
        <v>806.74</v>
      </c>
      <c r="S767" s="34">
        <v>807.03</v>
      </c>
      <c r="T767" s="34">
        <v>58.11</v>
      </c>
      <c r="U767" s="34">
        <v>338.99</v>
      </c>
      <c r="V767" s="34">
        <v>1.19</v>
      </c>
      <c r="W767" s="34">
        <v>0.2</v>
      </c>
      <c r="X767" s="34">
        <v>2.14</v>
      </c>
      <c r="Y767" s="35">
        <v>5.4585999999999997</v>
      </c>
      <c r="Z767" s="35">
        <v>17.1419</v>
      </c>
      <c r="AA767" s="35">
        <v>140.70769999999999</v>
      </c>
    </row>
    <row r="768" spans="1:27" ht="15.75" hidden="1" customHeight="1" x14ac:dyDescent="0.2">
      <c r="A768" s="2"/>
      <c r="B768" s="31">
        <v>763</v>
      </c>
      <c r="C768" s="36" t="s">
        <v>1694</v>
      </c>
      <c r="D768" s="36" t="s">
        <v>1695</v>
      </c>
      <c r="E768" s="36" t="s">
        <v>1696</v>
      </c>
      <c r="F768" s="36" t="s">
        <v>1805</v>
      </c>
      <c r="G768" s="36" t="s">
        <v>1806</v>
      </c>
      <c r="H768" s="37" t="s">
        <v>80</v>
      </c>
      <c r="I768" s="37" t="s">
        <v>81</v>
      </c>
      <c r="J768" s="37" t="s">
        <v>82</v>
      </c>
      <c r="K768" s="37" t="s">
        <v>87</v>
      </c>
      <c r="L768" s="36" t="s">
        <v>84</v>
      </c>
      <c r="M768" s="34">
        <v>9358.16</v>
      </c>
      <c r="N768" s="34">
        <v>2235.58</v>
      </c>
      <c r="O768" s="34">
        <v>7122.59</v>
      </c>
      <c r="P768" s="34">
        <v>1236.98</v>
      </c>
      <c r="Q768" s="34">
        <v>629.96</v>
      </c>
      <c r="R768" s="34">
        <v>480.12</v>
      </c>
      <c r="S768" s="34">
        <v>480.15</v>
      </c>
      <c r="T768" s="34">
        <v>1046.8800000000001</v>
      </c>
      <c r="U768" s="34">
        <v>7511.74</v>
      </c>
      <c r="V768" s="34">
        <v>24.5</v>
      </c>
      <c r="W768" s="34">
        <v>3.41</v>
      </c>
      <c r="X768" s="34">
        <v>0.31</v>
      </c>
      <c r="Y768" s="35">
        <v>10.6073</v>
      </c>
      <c r="Z768" s="35">
        <v>13.9366</v>
      </c>
      <c r="AA768" s="35">
        <v>80.248000000000005</v>
      </c>
    </row>
    <row r="769" spans="1:27" ht="15.75" hidden="1" customHeight="1" x14ac:dyDescent="0.2">
      <c r="A769" s="2"/>
      <c r="B769" s="31">
        <v>764</v>
      </c>
      <c r="C769" s="36" t="s">
        <v>1694</v>
      </c>
      <c r="D769" s="36" t="s">
        <v>1695</v>
      </c>
      <c r="E769" s="36" t="s">
        <v>1696</v>
      </c>
      <c r="F769" s="36" t="s">
        <v>1807</v>
      </c>
      <c r="G769" s="36" t="s">
        <v>1808</v>
      </c>
      <c r="H769" s="37" t="s">
        <v>80</v>
      </c>
      <c r="I769" s="37" t="s">
        <v>81</v>
      </c>
      <c r="J769" s="37" t="s">
        <v>82</v>
      </c>
      <c r="K769" s="37" t="s">
        <v>87</v>
      </c>
      <c r="L769" s="36" t="s">
        <v>84</v>
      </c>
      <c r="M769" s="34">
        <v>6504.03</v>
      </c>
      <c r="N769" s="34">
        <v>1751.94</v>
      </c>
      <c r="O769" s="34">
        <v>4752.08</v>
      </c>
      <c r="P769" s="34">
        <v>175.13</v>
      </c>
      <c r="Q769" s="34">
        <v>39.42</v>
      </c>
      <c r="R769" s="34">
        <v>38.17</v>
      </c>
      <c r="S769" s="34">
        <v>35.19</v>
      </c>
      <c r="T769" s="34">
        <v>35.51</v>
      </c>
      <c r="U769" s="34">
        <v>689.79</v>
      </c>
      <c r="V769" s="34">
        <v>15.77</v>
      </c>
      <c r="W769" s="34">
        <v>0.81</v>
      </c>
      <c r="X769" s="34">
        <v>0.37</v>
      </c>
      <c r="Y769" s="35">
        <v>3.7614999999999998</v>
      </c>
      <c r="Z769" s="35">
        <v>5.1482000000000001</v>
      </c>
      <c r="AA769" s="35">
        <v>139.6919</v>
      </c>
    </row>
    <row r="770" spans="1:27" ht="15.75" hidden="1" customHeight="1" x14ac:dyDescent="0.2">
      <c r="A770" s="2"/>
      <c r="B770" s="31">
        <v>765</v>
      </c>
      <c r="C770" s="36" t="s">
        <v>1694</v>
      </c>
      <c r="D770" s="36" t="s">
        <v>1695</v>
      </c>
      <c r="E770" s="36" t="s">
        <v>1696</v>
      </c>
      <c r="F770" s="36" t="s">
        <v>1809</v>
      </c>
      <c r="G770" s="36" t="s">
        <v>1810</v>
      </c>
      <c r="H770" s="37" t="s">
        <v>80</v>
      </c>
      <c r="I770" s="37" t="s">
        <v>81</v>
      </c>
      <c r="J770" s="37" t="s">
        <v>82</v>
      </c>
      <c r="K770" s="37" t="s">
        <v>87</v>
      </c>
      <c r="L770" s="36" t="s">
        <v>84</v>
      </c>
      <c r="M770" s="34">
        <v>1678.52</v>
      </c>
      <c r="N770" s="34">
        <v>451.53</v>
      </c>
      <c r="O770" s="34">
        <v>1227</v>
      </c>
      <c r="P770" s="34">
        <v>2.06</v>
      </c>
      <c r="Q770" s="34">
        <v>-20.53</v>
      </c>
      <c r="R770" s="34">
        <v>-20.59</v>
      </c>
      <c r="S770" s="34">
        <v>-20.59</v>
      </c>
      <c r="T770" s="34">
        <v>-4.24</v>
      </c>
      <c r="U770" s="34">
        <v>123.41</v>
      </c>
      <c r="V770" s="34">
        <v>-1203.44</v>
      </c>
      <c r="W770" s="34">
        <v>41.33</v>
      </c>
      <c r="X770" s="34">
        <v>0.37</v>
      </c>
      <c r="Y770" s="35">
        <v>-2.5102000000000002</v>
      </c>
      <c r="Z770" s="35">
        <v>-3.4340000000000002</v>
      </c>
      <c r="AA770" s="35">
        <v>-2045.6027999999999</v>
      </c>
    </row>
    <row r="771" spans="1:27" ht="15.75" hidden="1" customHeight="1" x14ac:dyDescent="0.2">
      <c r="A771" s="2"/>
      <c r="B771" s="31">
        <v>766</v>
      </c>
      <c r="C771" s="36" t="s">
        <v>1694</v>
      </c>
      <c r="D771" s="36" t="s">
        <v>1695</v>
      </c>
      <c r="E771" s="36" t="s">
        <v>1696</v>
      </c>
      <c r="F771" s="36" t="s">
        <v>1811</v>
      </c>
      <c r="G771" s="36" t="s">
        <v>1812</v>
      </c>
      <c r="H771" s="37" t="s">
        <v>95</v>
      </c>
      <c r="I771" s="37" t="s">
        <v>81</v>
      </c>
      <c r="J771" s="37" t="s">
        <v>82</v>
      </c>
      <c r="K771" s="37" t="s">
        <v>87</v>
      </c>
      <c r="L771" s="36" t="s">
        <v>84</v>
      </c>
      <c r="M771" s="34">
        <v>125.69</v>
      </c>
      <c r="N771" s="34">
        <v>13.43</v>
      </c>
      <c r="O771" s="34">
        <v>112.26</v>
      </c>
      <c r="P771" s="34">
        <v>3.37</v>
      </c>
      <c r="Q771" s="34">
        <v>-0.47</v>
      </c>
      <c r="R771" s="34">
        <v>-0.47</v>
      </c>
      <c r="S771" s="34">
        <v>-0.47</v>
      </c>
      <c r="T771" s="34">
        <v>-0.62</v>
      </c>
      <c r="U771" s="34">
        <v>76.89</v>
      </c>
      <c r="V771" s="34">
        <v>-136.04</v>
      </c>
      <c r="W771" s="34">
        <v>1.0900000000000001</v>
      </c>
      <c r="X771" s="34">
        <v>0.12</v>
      </c>
      <c r="Y771" s="35">
        <v>-0.71719999999999995</v>
      </c>
      <c r="Z771" s="35">
        <v>-0.80310000000000004</v>
      </c>
      <c r="AA771" s="35">
        <v>-26.7286</v>
      </c>
    </row>
    <row r="772" spans="1:27" ht="15.75" hidden="1" customHeight="1" x14ac:dyDescent="0.2">
      <c r="A772" s="2"/>
      <c r="B772" s="31">
        <v>767</v>
      </c>
      <c r="C772" s="36" t="s">
        <v>1694</v>
      </c>
      <c r="D772" s="36" t="s">
        <v>1695</v>
      </c>
      <c r="E772" s="36" t="s">
        <v>1696</v>
      </c>
      <c r="F772" s="36" t="s">
        <v>1813</v>
      </c>
      <c r="G772" s="36" t="s">
        <v>1814</v>
      </c>
      <c r="H772" s="37" t="s">
        <v>80</v>
      </c>
      <c r="I772" s="37" t="s">
        <v>81</v>
      </c>
      <c r="J772" s="37" t="s">
        <v>82</v>
      </c>
      <c r="K772" s="37" t="s">
        <v>87</v>
      </c>
      <c r="L772" s="36" t="s">
        <v>84</v>
      </c>
      <c r="M772" s="34">
        <v>7607.17</v>
      </c>
      <c r="N772" s="34">
        <v>1862.19</v>
      </c>
      <c r="O772" s="34">
        <v>5744.98</v>
      </c>
      <c r="P772" s="34">
        <v>837.02</v>
      </c>
      <c r="Q772" s="34">
        <v>275.79000000000002</v>
      </c>
      <c r="R772" s="34">
        <v>241.2</v>
      </c>
      <c r="S772" s="34">
        <v>208.32</v>
      </c>
      <c r="T772" s="34">
        <v>64.319999999999993</v>
      </c>
      <c r="U772" s="34">
        <v>750.48</v>
      </c>
      <c r="V772" s="34">
        <v>7.03</v>
      </c>
      <c r="W772" s="34">
        <v>0.6</v>
      </c>
      <c r="X772" s="34">
        <v>0.32</v>
      </c>
      <c r="Y772" s="35">
        <v>6.4725000000000001</v>
      </c>
      <c r="Z772" s="35">
        <v>8.5704999999999991</v>
      </c>
      <c r="AA772" s="35">
        <v>58.824199999999998</v>
      </c>
    </row>
    <row r="773" spans="1:27" ht="15.75" hidden="1" customHeight="1" x14ac:dyDescent="0.2">
      <c r="A773" s="2"/>
      <c r="B773" s="31">
        <v>768</v>
      </c>
      <c r="C773" s="36" t="s">
        <v>1694</v>
      </c>
      <c r="D773" s="36" t="s">
        <v>1695</v>
      </c>
      <c r="E773" s="36" t="s">
        <v>1696</v>
      </c>
      <c r="F773" s="36" t="s">
        <v>1815</v>
      </c>
      <c r="G773" s="36" t="s">
        <v>1816</v>
      </c>
      <c r="H773" s="37" t="s">
        <v>80</v>
      </c>
      <c r="I773" s="37" t="s">
        <v>81</v>
      </c>
      <c r="J773" s="37" t="s">
        <v>82</v>
      </c>
      <c r="K773" s="37" t="s">
        <v>87</v>
      </c>
      <c r="L773" s="36" t="s">
        <v>84</v>
      </c>
      <c r="M773" s="34">
        <v>47.14</v>
      </c>
      <c r="N773" s="34">
        <v>19.66</v>
      </c>
      <c r="O773" s="34">
        <v>27.48</v>
      </c>
      <c r="P773" s="34">
        <v>15.22</v>
      </c>
      <c r="Q773" s="34">
        <v>0.33</v>
      </c>
      <c r="R773" s="34">
        <v>-0.64</v>
      </c>
      <c r="S773" s="34">
        <v>-0.64</v>
      </c>
      <c r="T773" s="34">
        <v>-11.16</v>
      </c>
      <c r="U773" s="34">
        <v>118</v>
      </c>
      <c r="V773" s="34">
        <v>-44.79</v>
      </c>
      <c r="W773" s="34">
        <v>4.24</v>
      </c>
      <c r="X773" s="34">
        <v>0.72</v>
      </c>
      <c r="Y773" s="35">
        <v>-5.5141999999999998</v>
      </c>
      <c r="Z773" s="35">
        <v>-9.4603999999999999</v>
      </c>
      <c r="AA773" s="35">
        <v>-17.0807</v>
      </c>
    </row>
    <row r="774" spans="1:27" ht="15.75" hidden="1" customHeight="1" x14ac:dyDescent="0.2">
      <c r="A774" s="2"/>
      <c r="B774" s="31">
        <v>769</v>
      </c>
      <c r="C774" s="36" t="s">
        <v>1694</v>
      </c>
      <c r="D774" s="36" t="s">
        <v>1695</v>
      </c>
      <c r="E774" s="36" t="s">
        <v>1696</v>
      </c>
      <c r="F774" s="36" t="s">
        <v>1817</v>
      </c>
      <c r="G774" s="36" t="s">
        <v>1818</v>
      </c>
      <c r="H774" s="37" t="s">
        <v>80</v>
      </c>
      <c r="I774" s="37" t="s">
        <v>81</v>
      </c>
      <c r="J774" s="37" t="s">
        <v>82</v>
      </c>
      <c r="K774" s="37" t="s">
        <v>87</v>
      </c>
      <c r="L774" s="36" t="s">
        <v>84</v>
      </c>
      <c r="M774" s="34">
        <v>1117.9000000000001</v>
      </c>
      <c r="N774" s="34">
        <v>29.56</v>
      </c>
      <c r="O774" s="34">
        <v>1088.3399999999999</v>
      </c>
      <c r="P774" s="34">
        <v>5.55</v>
      </c>
      <c r="Q774" s="34">
        <v>2.65</v>
      </c>
      <c r="R774" s="34">
        <v>2.62</v>
      </c>
      <c r="S774" s="34">
        <v>2.62</v>
      </c>
      <c r="T774" s="34">
        <v>0.57999999999999996</v>
      </c>
      <c r="U774" s="34">
        <v>98.9</v>
      </c>
      <c r="V774" s="34">
        <v>77.56</v>
      </c>
      <c r="W774" s="34">
        <v>0.46</v>
      </c>
      <c r="X774" s="34">
        <v>0.03</v>
      </c>
      <c r="Y774" s="35">
        <v>0.57110000000000005</v>
      </c>
      <c r="Z774" s="35">
        <v>0.5867</v>
      </c>
      <c r="AA774" s="35">
        <v>115.0762</v>
      </c>
    </row>
    <row r="775" spans="1:27" ht="15.75" hidden="1" customHeight="1" x14ac:dyDescent="0.2">
      <c r="A775" s="2"/>
      <c r="B775" s="31">
        <v>770</v>
      </c>
      <c r="C775" s="36" t="s">
        <v>1694</v>
      </c>
      <c r="D775" s="36" t="s">
        <v>1695</v>
      </c>
      <c r="E775" s="36" t="s">
        <v>1696</v>
      </c>
      <c r="F775" s="36" t="s">
        <v>1819</v>
      </c>
      <c r="G775" s="36" t="s">
        <v>1820</v>
      </c>
      <c r="H775" s="37" t="s">
        <v>95</v>
      </c>
      <c r="I775" s="37" t="s">
        <v>81</v>
      </c>
      <c r="J775" s="37" t="s">
        <v>82</v>
      </c>
      <c r="K775" s="37" t="s">
        <v>87</v>
      </c>
      <c r="L775" s="36" t="s">
        <v>84</v>
      </c>
      <c r="M775" s="34">
        <v>14476.33</v>
      </c>
      <c r="N775" s="34">
        <v>9358.6200000000008</v>
      </c>
      <c r="O775" s="34">
        <v>5117.7</v>
      </c>
      <c r="P775" s="34">
        <v>727.61</v>
      </c>
      <c r="Q775" s="34">
        <v>-120.48</v>
      </c>
      <c r="R775" s="34">
        <v>-191.36</v>
      </c>
      <c r="S775" s="34">
        <v>-68.66</v>
      </c>
      <c r="T775" s="34">
        <v>-10.38</v>
      </c>
      <c r="U775" s="34">
        <v>230.54</v>
      </c>
      <c r="V775" s="34">
        <v>-11.94</v>
      </c>
      <c r="W775" s="34">
        <v>0.54</v>
      </c>
      <c r="X775" s="34">
        <v>1.83</v>
      </c>
      <c r="Y775" s="35">
        <v>-1.5921000000000001</v>
      </c>
      <c r="Z775" s="35">
        <v>-4.5035999999999996</v>
      </c>
      <c r="AA775" s="35">
        <v>-31.676400000000001</v>
      </c>
    </row>
    <row r="776" spans="1:27" ht="15.75" hidden="1" customHeight="1" x14ac:dyDescent="0.2">
      <c r="A776" s="2"/>
      <c r="B776" s="31">
        <v>771</v>
      </c>
      <c r="C776" s="36" t="s">
        <v>1694</v>
      </c>
      <c r="D776" s="36" t="s">
        <v>1695</v>
      </c>
      <c r="E776" s="36" t="s">
        <v>1696</v>
      </c>
      <c r="F776" s="36" t="s">
        <v>1821</v>
      </c>
      <c r="G776" s="36" t="s">
        <v>1822</v>
      </c>
      <c r="H776" s="37" t="s">
        <v>80</v>
      </c>
      <c r="I776" s="37" t="s">
        <v>81</v>
      </c>
      <c r="J776" s="37" t="s">
        <v>82</v>
      </c>
      <c r="K776" s="37" t="s">
        <v>87</v>
      </c>
      <c r="L776" s="36" t="s">
        <v>84</v>
      </c>
      <c r="M776" s="34">
        <v>579.63</v>
      </c>
      <c r="N776" s="34">
        <v>87.37</v>
      </c>
      <c r="O776" s="34">
        <v>492.27</v>
      </c>
      <c r="P776" s="34">
        <v>38.270000000000003</v>
      </c>
      <c r="Q776" s="34">
        <v>-2.87</v>
      </c>
      <c r="R776" s="34">
        <v>-3.37</v>
      </c>
      <c r="S776" s="34">
        <v>-4.0999999999999996</v>
      </c>
      <c r="T776" s="34">
        <v>-4.37</v>
      </c>
      <c r="U776" s="34">
        <v>224.01</v>
      </c>
      <c r="V776" s="34">
        <v>-26.32</v>
      </c>
      <c r="W776" s="34">
        <v>0.51</v>
      </c>
      <c r="X776" s="34">
        <v>0.18</v>
      </c>
      <c r="Y776" s="35">
        <v>-1.6566000000000001</v>
      </c>
      <c r="Z776" s="35">
        <v>-1.9505999999999999</v>
      </c>
      <c r="AA776" s="35">
        <v>-25.087199999999999</v>
      </c>
    </row>
    <row r="777" spans="1:27" ht="15.75" hidden="1" customHeight="1" x14ac:dyDescent="0.2">
      <c r="A777" s="2"/>
      <c r="B777" s="31">
        <v>772</v>
      </c>
      <c r="C777" s="36" t="s">
        <v>1694</v>
      </c>
      <c r="D777" s="36" t="s">
        <v>1695</v>
      </c>
      <c r="E777" s="36" t="s">
        <v>1696</v>
      </c>
      <c r="F777" s="36" t="s">
        <v>1823</v>
      </c>
      <c r="G777" s="36" t="s">
        <v>1824</v>
      </c>
      <c r="H777" s="37" t="s">
        <v>80</v>
      </c>
      <c r="I777" s="37" t="s">
        <v>81</v>
      </c>
      <c r="J777" s="37" t="s">
        <v>82</v>
      </c>
      <c r="K777" s="37" t="s">
        <v>87</v>
      </c>
      <c r="L777" s="36" t="s">
        <v>84</v>
      </c>
      <c r="M777" s="34">
        <v>4027.96</v>
      </c>
      <c r="N777" s="34">
        <v>628.78</v>
      </c>
      <c r="O777" s="34">
        <v>3399.17</v>
      </c>
      <c r="P777" s="34">
        <v>19.71</v>
      </c>
      <c r="Q777" s="34">
        <v>-68.91</v>
      </c>
      <c r="R777" s="34">
        <v>-68.91</v>
      </c>
      <c r="S777" s="34">
        <v>-68.540000000000006</v>
      </c>
      <c r="T777" s="34">
        <v>-51.68</v>
      </c>
      <c r="U777" s="34">
        <v>1154.1400000000001</v>
      </c>
      <c r="V777" s="34">
        <v>-8.5500000000000007</v>
      </c>
      <c r="W777" s="34">
        <v>0.38</v>
      </c>
      <c r="X777" s="34">
        <v>0.18</v>
      </c>
      <c r="Y777" s="35">
        <v>-3.7791000000000001</v>
      </c>
      <c r="Z777" s="35">
        <v>-4.4782000000000002</v>
      </c>
      <c r="AA777" s="35">
        <v>-772.41639999999995</v>
      </c>
    </row>
    <row r="778" spans="1:27" ht="15.75" hidden="1" customHeight="1" x14ac:dyDescent="0.2">
      <c r="A778" s="2"/>
      <c r="B778" s="31">
        <v>773</v>
      </c>
      <c r="C778" s="36" t="s">
        <v>1694</v>
      </c>
      <c r="D778" s="36" t="s">
        <v>1695</v>
      </c>
      <c r="E778" s="36" t="s">
        <v>1696</v>
      </c>
      <c r="F778" s="36" t="s">
        <v>1825</v>
      </c>
      <c r="G778" s="36" t="s">
        <v>1826</v>
      </c>
      <c r="H778" s="37" t="s">
        <v>80</v>
      </c>
      <c r="I778" s="37" t="s">
        <v>81</v>
      </c>
      <c r="J778" s="37" t="s">
        <v>82</v>
      </c>
      <c r="K778" s="37" t="s">
        <v>87</v>
      </c>
      <c r="L778" s="36" t="s">
        <v>84</v>
      </c>
      <c r="M778" s="34">
        <v>594.02</v>
      </c>
      <c r="N778" s="34">
        <v>163.87</v>
      </c>
      <c r="O778" s="34">
        <v>430.15</v>
      </c>
      <c r="P778" s="34">
        <v>25.58</v>
      </c>
      <c r="Q778" s="34">
        <v>1.53</v>
      </c>
      <c r="R778" s="34">
        <v>1.44</v>
      </c>
      <c r="S778" s="34">
        <v>1.44</v>
      </c>
      <c r="T778" s="34">
        <v>1.81</v>
      </c>
      <c r="U778" s="34">
        <v>137.65</v>
      </c>
      <c r="V778" s="34">
        <v>40.98</v>
      </c>
      <c r="W778" s="34">
        <v>0.54</v>
      </c>
      <c r="X778" s="34">
        <v>0.38</v>
      </c>
      <c r="Y778" s="35">
        <v>0.94989999999999997</v>
      </c>
      <c r="Z778" s="35">
        <v>1.3118000000000001</v>
      </c>
      <c r="AA778" s="35">
        <v>22.0627</v>
      </c>
    </row>
    <row r="779" spans="1:27" ht="15.75" hidden="1" customHeight="1" x14ac:dyDescent="0.2">
      <c r="A779" s="2"/>
      <c r="B779" s="31">
        <v>774</v>
      </c>
      <c r="C779" s="36" t="s">
        <v>1694</v>
      </c>
      <c r="D779" s="36" t="s">
        <v>1695</v>
      </c>
      <c r="E779" s="36" t="s">
        <v>1696</v>
      </c>
      <c r="F779" s="36" t="s">
        <v>1827</v>
      </c>
      <c r="G779" s="36" t="s">
        <v>1828</v>
      </c>
      <c r="H779" s="37" t="s">
        <v>80</v>
      </c>
      <c r="I779" s="37" t="s">
        <v>81</v>
      </c>
      <c r="J779" s="37" t="s">
        <v>82</v>
      </c>
      <c r="K779" s="37" t="s">
        <v>104</v>
      </c>
      <c r="L779" s="36" t="s">
        <v>90</v>
      </c>
      <c r="M779" s="34">
        <v>48761.99</v>
      </c>
      <c r="N779" s="34">
        <v>19327.14</v>
      </c>
      <c r="O779" s="34">
        <v>29434.84</v>
      </c>
      <c r="P779" s="34">
        <v>1645.44</v>
      </c>
      <c r="Q779" s="34">
        <v>649.04</v>
      </c>
      <c r="R779" s="34">
        <v>649</v>
      </c>
      <c r="S779" s="34">
        <v>285.86</v>
      </c>
      <c r="T779" s="34">
        <v>36.97</v>
      </c>
      <c r="U779" s="34">
        <v>1741.24</v>
      </c>
      <c r="V779" s="34">
        <v>378.72</v>
      </c>
      <c r="W779" s="34">
        <v>8.0399999999999991</v>
      </c>
      <c r="X779" s="34">
        <v>0.66</v>
      </c>
      <c r="Y779" s="35">
        <v>1.2815000000000001</v>
      </c>
      <c r="Z779" s="35">
        <v>2.1230000000000002</v>
      </c>
      <c r="AA779" s="35">
        <v>37.977800000000002</v>
      </c>
    </row>
    <row r="780" spans="1:27" ht="15.75" hidden="1" customHeight="1" x14ac:dyDescent="0.2">
      <c r="A780" s="2"/>
      <c r="B780" s="31">
        <v>775</v>
      </c>
      <c r="C780" s="36" t="s">
        <v>1694</v>
      </c>
      <c r="D780" s="36" t="s">
        <v>1695</v>
      </c>
      <c r="E780" s="36" t="s">
        <v>1696</v>
      </c>
      <c r="F780" s="36" t="s">
        <v>1829</v>
      </c>
      <c r="G780" s="36" t="s">
        <v>1830</v>
      </c>
      <c r="H780" s="37" t="s">
        <v>80</v>
      </c>
      <c r="I780" s="37" t="s">
        <v>81</v>
      </c>
      <c r="J780" s="37" t="s">
        <v>82</v>
      </c>
      <c r="K780" s="37" t="s">
        <v>87</v>
      </c>
      <c r="L780" s="36" t="s">
        <v>84</v>
      </c>
      <c r="M780" s="34">
        <v>12694.19</v>
      </c>
      <c r="N780" s="34">
        <v>1418.45</v>
      </c>
      <c r="O780" s="34">
        <v>11275.75</v>
      </c>
      <c r="P780" s="34">
        <v>691.44</v>
      </c>
      <c r="Q780" s="34">
        <v>275.12</v>
      </c>
      <c r="R780" s="34">
        <v>265.52999999999997</v>
      </c>
      <c r="S780" s="34">
        <v>265.52999999999997</v>
      </c>
      <c r="T780" s="34">
        <v>279.57</v>
      </c>
      <c r="U780" s="34">
        <v>3176.27</v>
      </c>
      <c r="V780" s="34">
        <v>8.98</v>
      </c>
      <c r="W780" s="34">
        <v>0.79</v>
      </c>
      <c r="X780" s="34">
        <v>0.13</v>
      </c>
      <c r="Y780" s="35">
        <v>7.8183999999999996</v>
      </c>
      <c r="Z780" s="35">
        <v>8.8018999999999998</v>
      </c>
      <c r="AA780" s="35">
        <v>143.53919999999999</v>
      </c>
    </row>
    <row r="781" spans="1:27" ht="15.75" hidden="1" customHeight="1" x14ac:dyDescent="0.2">
      <c r="A781" s="2"/>
      <c r="B781" s="31">
        <v>776</v>
      </c>
      <c r="C781" s="36" t="s">
        <v>1694</v>
      </c>
      <c r="D781" s="36" t="s">
        <v>1695</v>
      </c>
      <c r="E781" s="36" t="s">
        <v>1696</v>
      </c>
      <c r="F781" s="36" t="s">
        <v>1831</v>
      </c>
      <c r="G781" s="36" t="s">
        <v>1832</v>
      </c>
      <c r="H781" s="37" t="s">
        <v>80</v>
      </c>
      <c r="I781" s="37" t="s">
        <v>81</v>
      </c>
      <c r="J781" s="37" t="s">
        <v>82</v>
      </c>
      <c r="K781" s="37" t="s">
        <v>87</v>
      </c>
      <c r="L781" s="36" t="s">
        <v>84</v>
      </c>
      <c r="M781" s="34">
        <v>4274.58</v>
      </c>
      <c r="N781" s="34">
        <v>2179.67</v>
      </c>
      <c r="O781" s="34">
        <v>2094.91</v>
      </c>
      <c r="P781" s="34">
        <v>362.49</v>
      </c>
      <c r="Q781" s="34">
        <v>55.95</v>
      </c>
      <c r="R781" s="34">
        <v>57.64</v>
      </c>
      <c r="S781" s="34">
        <v>57.34</v>
      </c>
      <c r="T781" s="34">
        <v>35.71</v>
      </c>
      <c r="U781" s="34">
        <v>1041.97</v>
      </c>
      <c r="V781" s="34">
        <v>19.88</v>
      </c>
      <c r="W781" s="34">
        <v>0.68</v>
      </c>
      <c r="X781" s="34">
        <v>1.04</v>
      </c>
      <c r="Y781" s="35">
        <v>1.6795</v>
      </c>
      <c r="Z781" s="35">
        <v>3.4268999999999998</v>
      </c>
      <c r="AA781" s="35">
        <v>19.805099999999999</v>
      </c>
    </row>
    <row r="782" spans="1:27" ht="15.75" hidden="1" customHeight="1" x14ac:dyDescent="0.2">
      <c r="A782" s="2"/>
      <c r="B782" s="31">
        <v>777</v>
      </c>
      <c r="C782" s="36" t="s">
        <v>1694</v>
      </c>
      <c r="D782" s="36" t="s">
        <v>1695</v>
      </c>
      <c r="E782" s="36" t="s">
        <v>1696</v>
      </c>
      <c r="F782" s="36" t="s">
        <v>1833</v>
      </c>
      <c r="G782" s="36" t="s">
        <v>1834</v>
      </c>
      <c r="H782" s="37" t="s">
        <v>95</v>
      </c>
      <c r="I782" s="37" t="s">
        <v>338</v>
      </c>
      <c r="J782" s="37" t="s">
        <v>82</v>
      </c>
      <c r="K782" s="37" t="s">
        <v>87</v>
      </c>
      <c r="L782" s="36" t="s">
        <v>84</v>
      </c>
      <c r="M782" s="34">
        <v>3978.44</v>
      </c>
      <c r="N782" s="34">
        <v>1612.77</v>
      </c>
      <c r="O782" s="34">
        <v>2365.67</v>
      </c>
      <c r="P782" s="34">
        <v>135.94999999999999</v>
      </c>
      <c r="Q782" s="34">
        <v>35.53</v>
      </c>
      <c r="R782" s="34">
        <v>35.53</v>
      </c>
      <c r="S782" s="34">
        <v>31.27</v>
      </c>
      <c r="T782" s="34">
        <v>4.21</v>
      </c>
      <c r="U782" s="34">
        <v>284.38</v>
      </c>
      <c r="V782" s="34">
        <v>26.61</v>
      </c>
      <c r="W782" s="34">
        <v>0.39</v>
      </c>
      <c r="X782" s="34">
        <v>0.68</v>
      </c>
      <c r="Y782" s="35">
        <v>0.88009999999999999</v>
      </c>
      <c r="Z782" s="35">
        <v>1.48</v>
      </c>
      <c r="AA782" s="35">
        <v>25.7544</v>
      </c>
    </row>
    <row r="783" spans="1:27" ht="15.75" hidden="1" customHeight="1" x14ac:dyDescent="0.2">
      <c r="A783" s="2"/>
      <c r="B783" s="31">
        <v>778</v>
      </c>
      <c r="C783" s="36" t="s">
        <v>1694</v>
      </c>
      <c r="D783" s="36" t="s">
        <v>1695</v>
      </c>
      <c r="E783" s="36" t="s">
        <v>1696</v>
      </c>
      <c r="F783" s="36" t="s">
        <v>1835</v>
      </c>
      <c r="G783" s="36" t="s">
        <v>1836</v>
      </c>
      <c r="H783" s="37" t="s">
        <v>95</v>
      </c>
      <c r="I783" s="37" t="s">
        <v>81</v>
      </c>
      <c r="J783" s="37" t="s">
        <v>82</v>
      </c>
      <c r="K783" s="37" t="s">
        <v>87</v>
      </c>
      <c r="L783" s="36" t="s">
        <v>84</v>
      </c>
      <c r="M783" s="34">
        <v>730.58</v>
      </c>
      <c r="N783" s="34">
        <v>1178.8499999999999</v>
      </c>
      <c r="O783" s="34">
        <v>-448.27</v>
      </c>
      <c r="P783" s="34">
        <v>26.85</v>
      </c>
      <c r="Q783" s="34">
        <v>-43.57</v>
      </c>
      <c r="R783" s="34">
        <v>-43.69</v>
      </c>
      <c r="S783" s="34">
        <v>-43.53</v>
      </c>
      <c r="T783" s="34">
        <v>-13.96</v>
      </c>
      <c r="U783" s="34">
        <v>-53.44</v>
      </c>
      <c r="V783" s="34">
        <v>-3.58</v>
      </c>
      <c r="W783" s="34">
        <v>-0.94</v>
      </c>
      <c r="X783" s="34">
        <v>-2.63</v>
      </c>
      <c r="Y783" s="35">
        <v>-16.029399999999999</v>
      </c>
      <c r="Z783" s="35" t="s">
        <v>95</v>
      </c>
      <c r="AA783" s="35">
        <v>-436.15989999999999</v>
      </c>
    </row>
    <row r="784" spans="1:27" ht="15.75" hidden="1" customHeight="1" x14ac:dyDescent="0.2">
      <c r="A784" s="2"/>
      <c r="B784" s="31">
        <v>779</v>
      </c>
      <c r="C784" s="36" t="s">
        <v>1694</v>
      </c>
      <c r="D784" s="36" t="s">
        <v>1695</v>
      </c>
      <c r="E784" s="36" t="s">
        <v>1696</v>
      </c>
      <c r="F784" s="36" t="s">
        <v>1837</v>
      </c>
      <c r="G784" s="36" t="s">
        <v>1838</v>
      </c>
      <c r="H784" s="37" t="s">
        <v>95</v>
      </c>
      <c r="I784" s="37" t="s">
        <v>81</v>
      </c>
      <c r="J784" s="37" t="s">
        <v>82</v>
      </c>
      <c r="K784" s="37" t="s">
        <v>87</v>
      </c>
      <c r="L784" s="36" t="s">
        <v>84</v>
      </c>
      <c r="M784" s="34">
        <v>17882.13</v>
      </c>
      <c r="N784" s="34">
        <v>8013.13</v>
      </c>
      <c r="O784" s="34">
        <v>9869</v>
      </c>
      <c r="P784" s="34">
        <v>142.24</v>
      </c>
      <c r="Q784" s="34">
        <v>43.91</v>
      </c>
      <c r="R784" s="34">
        <v>39.700000000000003</v>
      </c>
      <c r="S784" s="34">
        <v>47.19</v>
      </c>
      <c r="T784" s="34">
        <v>-9.4499999999999993</v>
      </c>
      <c r="U784" s="34">
        <v>160.01</v>
      </c>
      <c r="V784" s="34">
        <v>-2.2200000000000002</v>
      </c>
      <c r="W784" s="34">
        <v>0.13</v>
      </c>
      <c r="X784" s="34">
        <v>0.81</v>
      </c>
      <c r="Y784" s="35">
        <v>-3.2589000000000001</v>
      </c>
      <c r="Z784" s="35">
        <v>-5.9048999999999996</v>
      </c>
      <c r="AA784" s="35">
        <v>-409.69310000000002</v>
      </c>
    </row>
    <row r="785" spans="1:27" ht="15.75" hidden="1" customHeight="1" x14ac:dyDescent="0.2">
      <c r="A785" s="2"/>
      <c r="B785" s="31">
        <v>780</v>
      </c>
      <c r="C785" s="36" t="s">
        <v>1694</v>
      </c>
      <c r="D785" s="36" t="s">
        <v>1695</v>
      </c>
      <c r="E785" s="36" t="s">
        <v>1696</v>
      </c>
      <c r="F785" s="36" t="s">
        <v>1839</v>
      </c>
      <c r="G785" s="36" t="s">
        <v>1840</v>
      </c>
      <c r="H785" s="37" t="s">
        <v>95</v>
      </c>
      <c r="I785" s="37" t="s">
        <v>81</v>
      </c>
      <c r="J785" s="37" t="s">
        <v>82</v>
      </c>
      <c r="K785" s="37" t="s">
        <v>87</v>
      </c>
      <c r="L785" s="36" t="s">
        <v>84</v>
      </c>
      <c r="M785" s="34">
        <v>527.94000000000005</v>
      </c>
      <c r="N785" s="34">
        <v>19.21</v>
      </c>
      <c r="O785" s="34">
        <v>508.73</v>
      </c>
      <c r="P785" s="34">
        <v>17.760000000000002</v>
      </c>
      <c r="Q785" s="34">
        <v>-0.32</v>
      </c>
      <c r="R785" s="34">
        <v>-0.84</v>
      </c>
      <c r="S785" s="34">
        <v>-0.84</v>
      </c>
      <c r="T785" s="34">
        <v>-8.7200000000000006</v>
      </c>
      <c r="U785" s="34">
        <v>771.83</v>
      </c>
      <c r="V785" s="34">
        <v>-55.48</v>
      </c>
      <c r="W785" s="34">
        <v>0.63</v>
      </c>
      <c r="X785" s="34">
        <v>0.04</v>
      </c>
      <c r="Y785" s="35">
        <v>-1.0891999999999999</v>
      </c>
      <c r="Z785" s="35">
        <v>-1.1303000000000001</v>
      </c>
      <c r="AA785" s="35">
        <v>-32.368099999999998</v>
      </c>
    </row>
    <row r="786" spans="1:27" ht="15.75" hidden="1" customHeight="1" x14ac:dyDescent="0.2">
      <c r="A786" s="2"/>
      <c r="B786" s="31">
        <v>781</v>
      </c>
      <c r="C786" s="36" t="s">
        <v>1694</v>
      </c>
      <c r="D786" s="36" t="s">
        <v>1695</v>
      </c>
      <c r="E786" s="36" t="s">
        <v>1696</v>
      </c>
      <c r="F786" s="36" t="s">
        <v>1841</v>
      </c>
      <c r="G786" s="36" t="s">
        <v>1842</v>
      </c>
      <c r="H786" s="37" t="s">
        <v>80</v>
      </c>
      <c r="I786" s="37" t="s">
        <v>81</v>
      </c>
      <c r="J786" s="37" t="s">
        <v>82</v>
      </c>
      <c r="K786" s="37" t="s">
        <v>87</v>
      </c>
      <c r="L786" s="36" t="s">
        <v>84</v>
      </c>
      <c r="M786" s="34">
        <v>539.48</v>
      </c>
      <c r="N786" s="34">
        <v>428.63</v>
      </c>
      <c r="O786" s="34">
        <v>110.85</v>
      </c>
      <c r="P786" s="34">
        <v>17.98</v>
      </c>
      <c r="Q786" s="34">
        <v>-3.54</v>
      </c>
      <c r="R786" s="34">
        <v>-3.54</v>
      </c>
      <c r="S786" s="34">
        <v>-2.98</v>
      </c>
      <c r="T786" s="34">
        <v>-8.2200000000000006</v>
      </c>
      <c r="U786" s="34">
        <v>110.85</v>
      </c>
      <c r="V786" s="34">
        <v>-23.11</v>
      </c>
      <c r="W786" s="34">
        <v>1.71</v>
      </c>
      <c r="X786" s="34">
        <v>3.87</v>
      </c>
      <c r="Y786" s="35">
        <v>-1.5239</v>
      </c>
      <c r="Z786" s="35">
        <v>-7.4169</v>
      </c>
      <c r="AA786" s="35">
        <v>-45.735199999999999</v>
      </c>
    </row>
    <row r="787" spans="1:27" ht="15.75" hidden="1" customHeight="1" x14ac:dyDescent="0.2">
      <c r="A787" s="2"/>
      <c r="B787" s="31">
        <v>782</v>
      </c>
      <c r="C787" s="36" t="s">
        <v>1694</v>
      </c>
      <c r="D787" s="36" t="s">
        <v>1695</v>
      </c>
      <c r="E787" s="36" t="s">
        <v>1696</v>
      </c>
      <c r="F787" s="36" t="s">
        <v>1843</v>
      </c>
      <c r="G787" s="36" t="s">
        <v>1844</v>
      </c>
      <c r="H787" s="37" t="s">
        <v>80</v>
      </c>
      <c r="I787" s="37" t="s">
        <v>81</v>
      </c>
      <c r="J787" s="37" t="s">
        <v>82</v>
      </c>
      <c r="K787" s="37" t="s">
        <v>87</v>
      </c>
      <c r="L787" s="36" t="s">
        <v>84</v>
      </c>
      <c r="M787" s="34">
        <v>35562.300000000003</v>
      </c>
      <c r="N787" s="34">
        <v>10079.64</v>
      </c>
      <c r="O787" s="34">
        <v>25482.66</v>
      </c>
      <c r="P787" s="34">
        <v>3373.48</v>
      </c>
      <c r="Q787" s="34">
        <v>1391.36</v>
      </c>
      <c r="R787" s="34">
        <v>1389.13</v>
      </c>
      <c r="S787" s="34">
        <v>1136.02</v>
      </c>
      <c r="T787" s="34">
        <v>49.1</v>
      </c>
      <c r="U787" s="34">
        <v>529.13</v>
      </c>
      <c r="V787" s="34">
        <v>7.66</v>
      </c>
      <c r="W787" s="34">
        <v>0.71</v>
      </c>
      <c r="X787" s="34">
        <v>0.4</v>
      </c>
      <c r="Y787" s="35">
        <v>6.6486999999999998</v>
      </c>
      <c r="Z787" s="35">
        <v>9.2784999999999993</v>
      </c>
      <c r="AA787" s="35">
        <v>70.088300000000004</v>
      </c>
    </row>
    <row r="788" spans="1:27" ht="15.75" hidden="1" customHeight="1" x14ac:dyDescent="0.2">
      <c r="A788" s="2"/>
      <c r="B788" s="31">
        <v>783</v>
      </c>
      <c r="C788" s="36" t="s">
        <v>1694</v>
      </c>
      <c r="D788" s="36" t="s">
        <v>1695</v>
      </c>
      <c r="E788" s="36" t="s">
        <v>1696</v>
      </c>
      <c r="F788" s="36" t="s">
        <v>1845</v>
      </c>
      <c r="G788" s="36" t="s">
        <v>1846</v>
      </c>
      <c r="H788" s="37" t="s">
        <v>80</v>
      </c>
      <c r="I788" s="37" t="s">
        <v>81</v>
      </c>
      <c r="J788" s="37" t="s">
        <v>82</v>
      </c>
      <c r="K788" s="37" t="s">
        <v>87</v>
      </c>
      <c r="L788" s="36" t="s">
        <v>84</v>
      </c>
      <c r="M788" s="34">
        <v>770.27</v>
      </c>
      <c r="N788" s="34">
        <v>314.39</v>
      </c>
      <c r="O788" s="34">
        <v>455.88</v>
      </c>
      <c r="P788" s="34">
        <v>67.25</v>
      </c>
      <c r="Q788" s="34">
        <v>-13.42</v>
      </c>
      <c r="R788" s="34">
        <v>-13.95</v>
      </c>
      <c r="S788" s="34">
        <v>-13.87</v>
      </c>
      <c r="T788" s="34">
        <v>-9.23</v>
      </c>
      <c r="U788" s="34">
        <v>171.63</v>
      </c>
      <c r="V788" s="34">
        <v>-4.76</v>
      </c>
      <c r="W788" s="34">
        <v>0.26</v>
      </c>
      <c r="X788" s="34">
        <v>0.69</v>
      </c>
      <c r="Y788" s="35">
        <v>-3.1844999999999999</v>
      </c>
      <c r="Z788" s="35">
        <v>-5.3807</v>
      </c>
      <c r="AA788" s="35">
        <v>-36.4756</v>
      </c>
    </row>
    <row r="789" spans="1:27" ht="15.75" hidden="1" customHeight="1" x14ac:dyDescent="0.2">
      <c r="A789" s="2"/>
      <c r="B789" s="31">
        <v>784</v>
      </c>
      <c r="C789" s="36" t="s">
        <v>1694</v>
      </c>
      <c r="D789" s="36" t="s">
        <v>1695</v>
      </c>
      <c r="E789" s="36" t="s">
        <v>1696</v>
      </c>
      <c r="F789" s="36" t="s">
        <v>1847</v>
      </c>
      <c r="G789" s="36" t="s">
        <v>1848</v>
      </c>
      <c r="H789" s="37" t="s">
        <v>80</v>
      </c>
      <c r="I789" s="37" t="s">
        <v>81</v>
      </c>
      <c r="J789" s="37" t="s">
        <v>82</v>
      </c>
      <c r="K789" s="37" t="s">
        <v>87</v>
      </c>
      <c r="L789" s="36" t="s">
        <v>84</v>
      </c>
      <c r="M789" s="34">
        <v>3534.65</v>
      </c>
      <c r="N789" s="34">
        <v>339.79</v>
      </c>
      <c r="O789" s="34">
        <v>3194.86</v>
      </c>
      <c r="P789" s="34">
        <v>283.04000000000002</v>
      </c>
      <c r="Q789" s="34">
        <v>167.17</v>
      </c>
      <c r="R789" s="34">
        <v>166.62</v>
      </c>
      <c r="S789" s="34">
        <v>166.62</v>
      </c>
      <c r="T789" s="34">
        <v>1154.3900000000001</v>
      </c>
      <c r="U789" s="34">
        <v>11885.63</v>
      </c>
      <c r="V789" s="34">
        <v>10.4</v>
      </c>
      <c r="W789" s="34">
        <v>1.01</v>
      </c>
      <c r="X789" s="34">
        <v>0.11</v>
      </c>
      <c r="Y789" s="35">
        <v>8.7789000000000001</v>
      </c>
      <c r="Z789" s="35">
        <v>9.7125000000000004</v>
      </c>
      <c r="AA789" s="35">
        <v>109.6328</v>
      </c>
    </row>
    <row r="790" spans="1:27" ht="15.75" hidden="1" customHeight="1" x14ac:dyDescent="0.2">
      <c r="A790" s="2"/>
      <c r="B790" s="31">
        <v>785</v>
      </c>
      <c r="C790" s="36" t="s">
        <v>1694</v>
      </c>
      <c r="D790" s="36" t="s">
        <v>1695</v>
      </c>
      <c r="E790" s="36" t="s">
        <v>1696</v>
      </c>
      <c r="F790" s="36" t="s">
        <v>1849</v>
      </c>
      <c r="G790" s="36" t="s">
        <v>1850</v>
      </c>
      <c r="H790" s="37" t="s">
        <v>80</v>
      </c>
      <c r="I790" s="37" t="s">
        <v>81</v>
      </c>
      <c r="J790" s="37" t="s">
        <v>82</v>
      </c>
      <c r="K790" s="37" t="s">
        <v>87</v>
      </c>
      <c r="L790" s="36" t="s">
        <v>84</v>
      </c>
      <c r="M790" s="34">
        <v>378.7</v>
      </c>
      <c r="N790" s="34">
        <v>3.47</v>
      </c>
      <c r="O790" s="34">
        <v>375.23</v>
      </c>
      <c r="P790" s="34">
        <v>5.46</v>
      </c>
      <c r="Q790" s="34">
        <v>0.57999999999999996</v>
      </c>
      <c r="R790" s="34">
        <v>0.45</v>
      </c>
      <c r="S790" s="34">
        <v>0.45</v>
      </c>
      <c r="T790" s="34">
        <v>3.67</v>
      </c>
      <c r="U790" s="34">
        <v>56.56</v>
      </c>
      <c r="V790" s="34">
        <v>21.52</v>
      </c>
      <c r="W790" s="34">
        <v>1.4</v>
      </c>
      <c r="X790" s="34">
        <v>0.01</v>
      </c>
      <c r="Y790" s="35">
        <v>6.4295999999999998</v>
      </c>
      <c r="Z790" s="35">
        <v>6.4890999999999996</v>
      </c>
      <c r="AA790" s="35">
        <v>446.10750000000002</v>
      </c>
    </row>
    <row r="791" spans="1:27" ht="15.75" hidden="1" customHeight="1" x14ac:dyDescent="0.2">
      <c r="A791" s="2"/>
      <c r="B791" s="31">
        <v>786</v>
      </c>
      <c r="C791" s="36" t="s">
        <v>1694</v>
      </c>
      <c r="D791" s="36" t="s">
        <v>1695</v>
      </c>
      <c r="E791" s="36" t="s">
        <v>1696</v>
      </c>
      <c r="F791" s="36" t="s">
        <v>1851</v>
      </c>
      <c r="G791" s="36" t="s">
        <v>1852</v>
      </c>
      <c r="H791" s="37" t="s">
        <v>95</v>
      </c>
      <c r="I791" s="37" t="s">
        <v>81</v>
      </c>
      <c r="J791" s="37" t="s">
        <v>82</v>
      </c>
      <c r="K791" s="37" t="s">
        <v>87</v>
      </c>
      <c r="L791" s="36" t="s">
        <v>84</v>
      </c>
      <c r="M791" s="34">
        <v>302.75</v>
      </c>
      <c r="N791" s="34">
        <v>61.82</v>
      </c>
      <c r="O791" s="34">
        <v>240.93</v>
      </c>
      <c r="P791" s="34">
        <v>17.62</v>
      </c>
      <c r="Q791" s="34">
        <v>3.97</v>
      </c>
      <c r="R791" s="34">
        <v>3.53</v>
      </c>
      <c r="S791" s="34">
        <v>3.53</v>
      </c>
      <c r="T791" s="34">
        <v>2.08</v>
      </c>
      <c r="U791" s="34">
        <v>42.06</v>
      </c>
      <c r="V791" s="34">
        <v>28.31</v>
      </c>
      <c r="W791" s="34">
        <v>1.4</v>
      </c>
      <c r="X791" s="34">
        <v>0.26</v>
      </c>
      <c r="Y791" s="35">
        <v>3.9432</v>
      </c>
      <c r="Z791" s="35">
        <v>4.9549000000000003</v>
      </c>
      <c r="AA791" s="35">
        <v>67.737899999999996</v>
      </c>
    </row>
    <row r="792" spans="1:27" ht="15.75" hidden="1" customHeight="1" x14ac:dyDescent="0.2">
      <c r="A792" s="2"/>
      <c r="B792" s="31">
        <v>787</v>
      </c>
      <c r="C792" s="36" t="s">
        <v>1694</v>
      </c>
      <c r="D792" s="36" t="s">
        <v>1695</v>
      </c>
      <c r="E792" s="36" t="s">
        <v>1696</v>
      </c>
      <c r="F792" s="36" t="s">
        <v>1853</v>
      </c>
      <c r="G792" s="36" t="s">
        <v>1854</v>
      </c>
      <c r="H792" s="37" t="s">
        <v>95</v>
      </c>
      <c r="I792" s="37" t="s">
        <v>435</v>
      </c>
      <c r="J792" s="37" t="s">
        <v>82</v>
      </c>
      <c r="K792" s="37" t="s">
        <v>87</v>
      </c>
      <c r="L792" s="36" t="s">
        <v>84</v>
      </c>
      <c r="M792" s="34">
        <v>6741.4</v>
      </c>
      <c r="N792" s="34">
        <v>569.64</v>
      </c>
      <c r="O792" s="34">
        <v>6171.76</v>
      </c>
      <c r="P792" s="34">
        <v>507.99</v>
      </c>
      <c r="Q792" s="34">
        <v>81.94</v>
      </c>
      <c r="R792" s="34">
        <v>80.61</v>
      </c>
      <c r="S792" s="34">
        <v>76.89</v>
      </c>
      <c r="T792" s="34">
        <v>1.6</v>
      </c>
      <c r="U792" s="34">
        <v>136.9</v>
      </c>
      <c r="V792" s="34">
        <v>31.23</v>
      </c>
      <c r="W792" s="34">
        <v>0.37</v>
      </c>
      <c r="X792" s="34">
        <v>0.09</v>
      </c>
      <c r="Y792" s="35">
        <v>1.0706</v>
      </c>
      <c r="Z792" s="35">
        <v>1.1694</v>
      </c>
      <c r="AA792" s="35">
        <v>14.2074</v>
      </c>
    </row>
    <row r="793" spans="1:27" ht="15.75" hidden="1" customHeight="1" x14ac:dyDescent="0.2">
      <c r="A793" s="2"/>
      <c r="B793" s="31">
        <v>788</v>
      </c>
      <c r="C793" s="36" t="s">
        <v>1694</v>
      </c>
      <c r="D793" s="36" t="s">
        <v>1695</v>
      </c>
      <c r="E793" s="36" t="s">
        <v>1696</v>
      </c>
      <c r="F793" s="36" t="s">
        <v>1855</v>
      </c>
      <c r="G793" s="36" t="s">
        <v>1856</v>
      </c>
      <c r="H793" s="37" t="s">
        <v>80</v>
      </c>
      <c r="I793" s="37" t="s">
        <v>81</v>
      </c>
      <c r="J793" s="37" t="s">
        <v>82</v>
      </c>
      <c r="K793" s="37" t="s">
        <v>87</v>
      </c>
      <c r="L793" s="36" t="s">
        <v>84</v>
      </c>
      <c r="M793" s="34">
        <v>3468.69</v>
      </c>
      <c r="N793" s="34">
        <v>780.88</v>
      </c>
      <c r="O793" s="34">
        <v>2687.82</v>
      </c>
      <c r="P793" s="34">
        <v>213.93</v>
      </c>
      <c r="Q793" s="34">
        <v>44.18</v>
      </c>
      <c r="R793" s="34">
        <v>40.19</v>
      </c>
      <c r="S793" s="34">
        <v>33.090000000000003</v>
      </c>
      <c r="T793" s="34">
        <v>5.65</v>
      </c>
      <c r="U793" s="34">
        <v>245.57</v>
      </c>
      <c r="V793" s="34">
        <v>614.54</v>
      </c>
      <c r="W793" s="34">
        <v>14.13</v>
      </c>
      <c r="X793" s="34">
        <v>0.28999999999999998</v>
      </c>
      <c r="Y793" s="35">
        <v>1.7817000000000001</v>
      </c>
      <c r="Z793" s="35">
        <v>2.2993000000000001</v>
      </c>
      <c r="AA793" s="35">
        <v>28.8888</v>
      </c>
    </row>
    <row r="794" spans="1:27" ht="15.75" hidden="1" customHeight="1" x14ac:dyDescent="0.2">
      <c r="A794" s="2"/>
      <c r="B794" s="31">
        <v>789</v>
      </c>
      <c r="C794" s="36" t="s">
        <v>1694</v>
      </c>
      <c r="D794" s="36" t="s">
        <v>1695</v>
      </c>
      <c r="E794" s="36" t="s">
        <v>1696</v>
      </c>
      <c r="F794" s="36" t="s">
        <v>1857</v>
      </c>
      <c r="G794" s="36" t="s">
        <v>1858</v>
      </c>
      <c r="H794" s="37" t="s">
        <v>80</v>
      </c>
      <c r="I794" s="37" t="s">
        <v>81</v>
      </c>
      <c r="J794" s="37" t="s">
        <v>82</v>
      </c>
      <c r="K794" s="37" t="s">
        <v>87</v>
      </c>
      <c r="L794" s="36" t="s">
        <v>84</v>
      </c>
      <c r="M794" s="34">
        <v>948.84</v>
      </c>
      <c r="N794" s="34">
        <v>137.57</v>
      </c>
      <c r="O794" s="34">
        <v>811.27</v>
      </c>
      <c r="P794" s="34">
        <v>67.069999999999993</v>
      </c>
      <c r="Q794" s="34">
        <v>16.8</v>
      </c>
      <c r="R794" s="34">
        <v>11.54</v>
      </c>
      <c r="S794" s="34">
        <v>11.54</v>
      </c>
      <c r="T794" s="34">
        <v>2.78</v>
      </c>
      <c r="U794" s="34">
        <v>565.27</v>
      </c>
      <c r="V794" s="34">
        <v>242.44</v>
      </c>
      <c r="W794" s="34">
        <v>1.19</v>
      </c>
      <c r="X794" s="34">
        <v>0.17</v>
      </c>
      <c r="Y794" s="35">
        <v>0.42109999999999997</v>
      </c>
      <c r="Z794" s="35">
        <v>0.49249999999999999</v>
      </c>
      <c r="AA794" s="35">
        <v>5.9573</v>
      </c>
    </row>
    <row r="795" spans="1:27" ht="15.75" hidden="1" customHeight="1" x14ac:dyDescent="0.2">
      <c r="A795" s="2"/>
      <c r="B795" s="31">
        <v>790</v>
      </c>
      <c r="C795" s="36" t="s">
        <v>1694</v>
      </c>
      <c r="D795" s="36" t="s">
        <v>1695</v>
      </c>
      <c r="E795" s="36" t="s">
        <v>1696</v>
      </c>
      <c r="F795" s="36" t="s">
        <v>1859</v>
      </c>
      <c r="G795" s="36" t="s">
        <v>1860</v>
      </c>
      <c r="H795" s="37" t="s">
        <v>80</v>
      </c>
      <c r="I795" s="37" t="s">
        <v>81</v>
      </c>
      <c r="J795" s="37" t="s">
        <v>82</v>
      </c>
      <c r="K795" s="37" t="s">
        <v>87</v>
      </c>
      <c r="L795" s="36" t="s">
        <v>84</v>
      </c>
      <c r="M795" s="34">
        <v>3372.72</v>
      </c>
      <c r="N795" s="34">
        <v>1272.05</v>
      </c>
      <c r="O795" s="34">
        <v>2100.67</v>
      </c>
      <c r="P795" s="34">
        <v>24.66</v>
      </c>
      <c r="Q795" s="34">
        <v>-19.11</v>
      </c>
      <c r="R795" s="34">
        <v>-17.63</v>
      </c>
      <c r="S795" s="34">
        <v>-17.22</v>
      </c>
      <c r="T795" s="34">
        <v>-4.2699999999999996</v>
      </c>
      <c r="U795" s="34">
        <v>154.55000000000001</v>
      </c>
      <c r="V795" s="34">
        <v>-11.01</v>
      </c>
      <c r="W795" s="34">
        <v>0.3</v>
      </c>
      <c r="X795" s="34">
        <v>0.61</v>
      </c>
      <c r="Y795" s="35">
        <v>-1.7206999999999999</v>
      </c>
      <c r="Z795" s="35">
        <v>-2.7627000000000002</v>
      </c>
      <c r="AA795" s="35">
        <v>-235.34180000000001</v>
      </c>
    </row>
    <row r="796" spans="1:27" ht="15.75" hidden="1" customHeight="1" x14ac:dyDescent="0.2">
      <c r="A796" s="2"/>
      <c r="B796" s="31">
        <v>791</v>
      </c>
      <c r="C796" s="36" t="s">
        <v>1694</v>
      </c>
      <c r="D796" s="36" t="s">
        <v>1695</v>
      </c>
      <c r="E796" s="36" t="s">
        <v>1696</v>
      </c>
      <c r="F796" s="36" t="s">
        <v>1861</v>
      </c>
      <c r="G796" s="36" t="s">
        <v>1862</v>
      </c>
      <c r="H796" s="37" t="s">
        <v>80</v>
      </c>
      <c r="I796" s="37" t="s">
        <v>81</v>
      </c>
      <c r="J796" s="37" t="s">
        <v>82</v>
      </c>
      <c r="K796" s="37" t="s">
        <v>87</v>
      </c>
      <c r="L796" s="36" t="s">
        <v>84</v>
      </c>
      <c r="M796" s="34">
        <v>326.07</v>
      </c>
      <c r="N796" s="34">
        <v>40.64</v>
      </c>
      <c r="O796" s="34">
        <v>285.43</v>
      </c>
      <c r="P796" s="34">
        <v>1.98</v>
      </c>
      <c r="Q796" s="34">
        <v>-2.54</v>
      </c>
      <c r="R796" s="34">
        <v>-2.6</v>
      </c>
      <c r="S796" s="34">
        <v>-2.59</v>
      </c>
      <c r="T796" s="34">
        <v>-0.39</v>
      </c>
      <c r="U796" s="34">
        <v>35.53</v>
      </c>
      <c r="V796" s="34">
        <v>-97.29</v>
      </c>
      <c r="W796" s="34">
        <v>1.07</v>
      </c>
      <c r="X796" s="34">
        <v>0.14000000000000001</v>
      </c>
      <c r="Y796" s="35">
        <v>-0.96230000000000004</v>
      </c>
      <c r="Z796" s="35">
        <v>-1.0992999999999999</v>
      </c>
      <c r="AA796" s="35">
        <v>-158.61420000000001</v>
      </c>
    </row>
    <row r="797" spans="1:27" ht="15.75" hidden="1" customHeight="1" x14ac:dyDescent="0.2">
      <c r="A797" s="2"/>
      <c r="B797" s="31">
        <v>792</v>
      </c>
      <c r="C797" s="36" t="s">
        <v>1694</v>
      </c>
      <c r="D797" s="36" t="s">
        <v>1695</v>
      </c>
      <c r="E797" s="36" t="s">
        <v>1696</v>
      </c>
      <c r="F797" s="36" t="s">
        <v>1863</v>
      </c>
      <c r="G797" s="36" t="s">
        <v>1864</v>
      </c>
      <c r="H797" s="37" t="s">
        <v>80</v>
      </c>
      <c r="I797" s="37" t="s">
        <v>81</v>
      </c>
      <c r="J797" s="37" t="s">
        <v>82</v>
      </c>
      <c r="K797" s="37" t="s">
        <v>87</v>
      </c>
      <c r="L797" s="36" t="s">
        <v>84</v>
      </c>
      <c r="M797" s="34">
        <v>212.27</v>
      </c>
      <c r="N797" s="34">
        <v>164.8</v>
      </c>
      <c r="O797" s="34">
        <v>47.46</v>
      </c>
      <c r="P797" s="34">
        <v>12.36</v>
      </c>
      <c r="Q797" s="34">
        <v>-1.46</v>
      </c>
      <c r="R797" s="34">
        <v>-1.46</v>
      </c>
      <c r="S797" s="34">
        <v>-1.45</v>
      </c>
      <c r="T797" s="34">
        <v>-5.18</v>
      </c>
      <c r="U797" s="34">
        <v>34.520000000000003</v>
      </c>
      <c r="V797" s="34">
        <v>-46.73</v>
      </c>
      <c r="W797" s="34">
        <v>7.01</v>
      </c>
      <c r="X797" s="34">
        <v>3.47</v>
      </c>
      <c r="Y797" s="35">
        <v>-3.3549000000000002</v>
      </c>
      <c r="Z797" s="35">
        <v>-15.003399999999999</v>
      </c>
      <c r="AA797" s="35">
        <v>-57.6008</v>
      </c>
    </row>
    <row r="798" spans="1:27" ht="15.75" hidden="1" customHeight="1" x14ac:dyDescent="0.2">
      <c r="A798" s="2"/>
      <c r="B798" s="31">
        <v>793</v>
      </c>
      <c r="C798" s="36" t="s">
        <v>1694</v>
      </c>
      <c r="D798" s="36" t="s">
        <v>1695</v>
      </c>
      <c r="E798" s="36" t="s">
        <v>1696</v>
      </c>
      <c r="F798" s="36" t="s">
        <v>1865</v>
      </c>
      <c r="G798" s="36" t="s">
        <v>1866</v>
      </c>
      <c r="H798" s="37" t="s">
        <v>80</v>
      </c>
      <c r="I798" s="37" t="s">
        <v>81</v>
      </c>
      <c r="J798" s="37" t="s">
        <v>82</v>
      </c>
      <c r="K798" s="37" t="s">
        <v>87</v>
      </c>
      <c r="L798" s="36" t="s">
        <v>84</v>
      </c>
      <c r="M798" s="34">
        <v>3460.33</v>
      </c>
      <c r="N798" s="34">
        <v>228.69</v>
      </c>
      <c r="O798" s="34">
        <v>3231.64</v>
      </c>
      <c r="P798" s="34">
        <v>144.35</v>
      </c>
      <c r="Q798" s="34">
        <v>-1.7</v>
      </c>
      <c r="R798" s="34">
        <v>-4.3600000000000003</v>
      </c>
      <c r="S798" s="34">
        <v>-1.97</v>
      </c>
      <c r="T798" s="34">
        <v>2.52</v>
      </c>
      <c r="U798" s="34">
        <v>677.19</v>
      </c>
      <c r="V798" s="34">
        <v>332.69</v>
      </c>
      <c r="W798" s="34">
        <v>1.24</v>
      </c>
      <c r="X798" s="34">
        <v>7.0000000000000007E-2</v>
      </c>
      <c r="Y798" s="35">
        <v>0.34820000000000001</v>
      </c>
      <c r="Z798" s="35">
        <v>0.37280000000000002</v>
      </c>
      <c r="AA798" s="35">
        <v>8.3469999999999995</v>
      </c>
    </row>
    <row r="799" spans="1:27" ht="15.75" hidden="1" customHeight="1" x14ac:dyDescent="0.2">
      <c r="A799" s="2"/>
      <c r="B799" s="31">
        <v>794</v>
      </c>
      <c r="C799" s="36" t="s">
        <v>1694</v>
      </c>
      <c r="D799" s="36" t="s">
        <v>1695</v>
      </c>
      <c r="E799" s="36" t="s">
        <v>1696</v>
      </c>
      <c r="F799" s="36" t="s">
        <v>1867</v>
      </c>
      <c r="G799" s="36" t="s">
        <v>1868</v>
      </c>
      <c r="H799" s="37" t="s">
        <v>80</v>
      </c>
      <c r="I799" s="37" t="s">
        <v>81</v>
      </c>
      <c r="J799" s="37" t="s">
        <v>82</v>
      </c>
      <c r="K799" s="37" t="s">
        <v>104</v>
      </c>
      <c r="L799" s="36" t="s">
        <v>90</v>
      </c>
      <c r="M799" s="34">
        <v>35377.199999999997</v>
      </c>
      <c r="N799" s="34">
        <v>20630.41</v>
      </c>
      <c r="O799" s="34">
        <v>14746.79</v>
      </c>
      <c r="P799" s="34">
        <v>4580.42</v>
      </c>
      <c r="Q799" s="34">
        <v>896.74</v>
      </c>
      <c r="R799" s="34">
        <v>698.34</v>
      </c>
      <c r="S799" s="34">
        <v>503.51</v>
      </c>
      <c r="T799" s="34">
        <v>68.040000000000006</v>
      </c>
      <c r="U799" s="34">
        <v>893.28</v>
      </c>
      <c r="V799" s="34">
        <v>6.26</v>
      </c>
      <c r="W799" s="34">
        <v>0.48</v>
      </c>
      <c r="X799" s="34">
        <v>1.4</v>
      </c>
      <c r="Y799" s="35">
        <v>3.1749000000000001</v>
      </c>
      <c r="Z799" s="35">
        <v>7.6166</v>
      </c>
      <c r="AA799" s="35">
        <v>24.521899999999999</v>
      </c>
    </row>
    <row r="800" spans="1:27" ht="15.75" hidden="1" customHeight="1" x14ac:dyDescent="0.2">
      <c r="A800" s="2"/>
      <c r="B800" s="31">
        <v>795</v>
      </c>
      <c r="C800" s="36" t="s">
        <v>1694</v>
      </c>
      <c r="D800" s="36" t="s">
        <v>1695</v>
      </c>
      <c r="E800" s="36" t="s">
        <v>1696</v>
      </c>
      <c r="F800" s="36" t="s">
        <v>1869</v>
      </c>
      <c r="G800" s="36" t="s">
        <v>1870</v>
      </c>
      <c r="H800" s="37" t="s">
        <v>80</v>
      </c>
      <c r="I800" s="37" t="s">
        <v>81</v>
      </c>
      <c r="J800" s="37" t="s">
        <v>82</v>
      </c>
      <c r="K800" s="37" t="s">
        <v>87</v>
      </c>
      <c r="L800" s="36" t="s">
        <v>84</v>
      </c>
      <c r="M800" s="34">
        <v>1073.31</v>
      </c>
      <c r="N800" s="34">
        <v>19.29</v>
      </c>
      <c r="O800" s="34">
        <v>1054.02</v>
      </c>
      <c r="P800" s="34">
        <v>1.92</v>
      </c>
      <c r="Q800" s="34">
        <v>-1</v>
      </c>
      <c r="R800" s="34">
        <v>-1.05</v>
      </c>
      <c r="S800" s="34">
        <v>-1.08</v>
      </c>
      <c r="T800" s="34">
        <v>-0.27</v>
      </c>
      <c r="U800" s="34">
        <v>104.67</v>
      </c>
      <c r="V800" s="34">
        <v>-144.66</v>
      </c>
      <c r="W800" s="34">
        <v>0.37</v>
      </c>
      <c r="X800" s="34">
        <v>0.02</v>
      </c>
      <c r="Y800" s="35">
        <v>-0.25290000000000001</v>
      </c>
      <c r="Z800" s="35">
        <v>-0.2576</v>
      </c>
      <c r="AA800" s="35">
        <v>-141.60720000000001</v>
      </c>
    </row>
    <row r="801" spans="1:27" ht="15.75" hidden="1" customHeight="1" x14ac:dyDescent="0.2">
      <c r="A801" s="2"/>
      <c r="B801" s="31">
        <v>796</v>
      </c>
      <c r="C801" s="36" t="s">
        <v>1694</v>
      </c>
      <c r="D801" s="36" t="s">
        <v>1695</v>
      </c>
      <c r="E801" s="36" t="s">
        <v>1696</v>
      </c>
      <c r="F801" s="36" t="s">
        <v>1871</v>
      </c>
      <c r="G801" s="36" t="s">
        <v>1872</v>
      </c>
      <c r="H801" s="37" t="s">
        <v>95</v>
      </c>
      <c r="I801" s="37" t="s">
        <v>81</v>
      </c>
      <c r="J801" s="37" t="s">
        <v>82</v>
      </c>
      <c r="K801" s="37" t="s">
        <v>87</v>
      </c>
      <c r="L801" s="36" t="s">
        <v>84</v>
      </c>
      <c r="M801" s="34">
        <v>2243.54</v>
      </c>
      <c r="N801" s="34">
        <v>1819.37</v>
      </c>
      <c r="O801" s="34">
        <v>424.17</v>
      </c>
      <c r="P801" s="34">
        <v>173.02</v>
      </c>
      <c r="Q801" s="34">
        <v>9.49</v>
      </c>
      <c r="R801" s="34">
        <v>5.32</v>
      </c>
      <c r="S801" s="34">
        <v>-1.92</v>
      </c>
      <c r="T801" s="34">
        <v>-22.28</v>
      </c>
      <c r="U801" s="34">
        <v>93.19</v>
      </c>
      <c r="V801" s="34">
        <v>-4.8</v>
      </c>
      <c r="W801" s="34">
        <v>1.1499999999999999</v>
      </c>
      <c r="X801" s="34">
        <v>4.29</v>
      </c>
      <c r="Y801" s="35">
        <v>-4.5198999999999998</v>
      </c>
      <c r="Z801" s="35">
        <v>-23.9068</v>
      </c>
      <c r="AA801" s="35">
        <v>-58.608800000000002</v>
      </c>
    </row>
    <row r="802" spans="1:27" ht="15.75" hidden="1" customHeight="1" x14ac:dyDescent="0.2">
      <c r="A802" s="2"/>
      <c r="B802" s="31">
        <v>797</v>
      </c>
      <c r="C802" s="36" t="s">
        <v>1694</v>
      </c>
      <c r="D802" s="36" t="s">
        <v>1695</v>
      </c>
      <c r="E802" s="36" t="s">
        <v>1696</v>
      </c>
      <c r="F802" s="36" t="s">
        <v>1873</v>
      </c>
      <c r="G802" s="36" t="s">
        <v>1874</v>
      </c>
      <c r="H802" s="37" t="s">
        <v>80</v>
      </c>
      <c r="I802" s="37" t="s">
        <v>81</v>
      </c>
      <c r="J802" s="37" t="s">
        <v>82</v>
      </c>
      <c r="K802" s="37" t="s">
        <v>87</v>
      </c>
      <c r="L802" s="36" t="s">
        <v>84</v>
      </c>
      <c r="M802" s="34">
        <v>784.14</v>
      </c>
      <c r="N802" s="34">
        <v>533.92999999999995</v>
      </c>
      <c r="O802" s="34">
        <v>250.21</v>
      </c>
      <c r="P802" s="34">
        <v>23.88</v>
      </c>
      <c r="Q802" s="34">
        <v>-9.9700000000000006</v>
      </c>
      <c r="R802" s="34">
        <v>-9.9700000000000006</v>
      </c>
      <c r="S802" s="34">
        <v>-9.98</v>
      </c>
      <c r="T802" s="34">
        <v>-7.92</v>
      </c>
      <c r="U802" s="34">
        <v>33.049999999999997</v>
      </c>
      <c r="V802" s="34">
        <v>-7.96</v>
      </c>
      <c r="W802" s="34">
        <v>1.91</v>
      </c>
      <c r="X802" s="34">
        <v>2.13</v>
      </c>
      <c r="Y802" s="35">
        <v>-7.6464999999999996</v>
      </c>
      <c r="Z802" s="35">
        <v>-23.963799999999999</v>
      </c>
      <c r="AA802" s="35">
        <v>-251.0617</v>
      </c>
    </row>
    <row r="803" spans="1:27" ht="15.75" hidden="1" customHeight="1" x14ac:dyDescent="0.2">
      <c r="A803" s="2"/>
      <c r="B803" s="31">
        <v>798</v>
      </c>
      <c r="C803" s="36" t="s">
        <v>1694</v>
      </c>
      <c r="D803" s="36" t="s">
        <v>1695</v>
      </c>
      <c r="E803" s="36" t="s">
        <v>1696</v>
      </c>
      <c r="F803" s="36" t="s">
        <v>1875</v>
      </c>
      <c r="G803" s="36" t="s">
        <v>1876</v>
      </c>
      <c r="H803" s="37" t="s">
        <v>80</v>
      </c>
      <c r="I803" s="37" t="s">
        <v>81</v>
      </c>
      <c r="J803" s="37" t="s">
        <v>82</v>
      </c>
      <c r="K803" s="37" t="s">
        <v>87</v>
      </c>
      <c r="L803" s="36" t="s">
        <v>84</v>
      </c>
      <c r="M803" s="34">
        <v>1626.37</v>
      </c>
      <c r="N803" s="34">
        <v>1121.55</v>
      </c>
      <c r="O803" s="34">
        <v>504.82</v>
      </c>
      <c r="P803" s="34">
        <v>51.75</v>
      </c>
      <c r="Q803" s="34">
        <v>-27.03</v>
      </c>
      <c r="R803" s="34">
        <v>-27.03</v>
      </c>
      <c r="S803" s="34">
        <v>-24.92</v>
      </c>
      <c r="T803" s="34">
        <v>-26.57</v>
      </c>
      <c r="U803" s="34">
        <v>417.21</v>
      </c>
      <c r="V803" s="34">
        <v>-130.21</v>
      </c>
      <c r="W803" s="34">
        <v>8.2899999999999991</v>
      </c>
      <c r="X803" s="34">
        <v>2.2200000000000002</v>
      </c>
      <c r="Y803" s="35">
        <v>-1.9770000000000001</v>
      </c>
      <c r="Z803" s="35">
        <v>-6.3693</v>
      </c>
      <c r="AA803" s="35">
        <v>-62.132599999999996</v>
      </c>
    </row>
    <row r="804" spans="1:27" ht="15.75" hidden="1" customHeight="1" x14ac:dyDescent="0.2">
      <c r="A804" s="2"/>
      <c r="B804" s="31">
        <v>799</v>
      </c>
      <c r="C804" s="36" t="s">
        <v>1694</v>
      </c>
      <c r="D804" s="36" t="s">
        <v>1695</v>
      </c>
      <c r="E804" s="36" t="s">
        <v>1696</v>
      </c>
      <c r="F804" s="36" t="s">
        <v>1877</v>
      </c>
      <c r="G804" s="36" t="s">
        <v>1878</v>
      </c>
      <c r="H804" s="37" t="s">
        <v>95</v>
      </c>
      <c r="I804" s="37" t="s">
        <v>375</v>
      </c>
      <c r="J804" s="37" t="s">
        <v>82</v>
      </c>
      <c r="K804" s="37" t="s">
        <v>87</v>
      </c>
      <c r="L804" s="36" t="s">
        <v>84</v>
      </c>
      <c r="M804" s="34">
        <v>4172.7700000000004</v>
      </c>
      <c r="N804" s="34">
        <v>2118.12</v>
      </c>
      <c r="O804" s="34">
        <v>2054.65</v>
      </c>
      <c r="P804" s="34">
        <v>17.14</v>
      </c>
      <c r="Q804" s="34">
        <v>1.54</v>
      </c>
      <c r="R804" s="34">
        <v>0.82</v>
      </c>
      <c r="S804" s="34">
        <v>0.82</v>
      </c>
      <c r="T804" s="34">
        <v>-0.01</v>
      </c>
      <c r="U804" s="34">
        <v>635.70000000000005</v>
      </c>
      <c r="V804" s="34">
        <v>-22280.12</v>
      </c>
      <c r="W804" s="34">
        <v>0.22</v>
      </c>
      <c r="X804" s="34">
        <v>1.03</v>
      </c>
      <c r="Y804" s="35">
        <v>-5.0000000000000001E-4</v>
      </c>
      <c r="Z804" s="35">
        <v>-1E-3</v>
      </c>
      <c r="AA804" s="35">
        <v>-0.1177</v>
      </c>
    </row>
    <row r="805" spans="1:27" ht="15.75" hidden="1" customHeight="1" x14ac:dyDescent="0.2">
      <c r="A805" s="2"/>
      <c r="B805" s="31">
        <v>800</v>
      </c>
      <c r="C805" s="36" t="s">
        <v>1694</v>
      </c>
      <c r="D805" s="36" t="s">
        <v>1695</v>
      </c>
      <c r="E805" s="36" t="s">
        <v>1696</v>
      </c>
      <c r="F805" s="36" t="s">
        <v>1879</v>
      </c>
      <c r="G805" s="36" t="s">
        <v>1880</v>
      </c>
      <c r="H805" s="37" t="s">
        <v>80</v>
      </c>
      <c r="I805" s="37" t="s">
        <v>81</v>
      </c>
      <c r="J805" s="37" t="s">
        <v>82</v>
      </c>
      <c r="K805" s="37" t="s">
        <v>87</v>
      </c>
      <c r="L805" s="36" t="s">
        <v>84</v>
      </c>
      <c r="M805" s="34">
        <v>505.76</v>
      </c>
      <c r="N805" s="34">
        <v>118.82</v>
      </c>
      <c r="O805" s="34">
        <v>386.94</v>
      </c>
      <c r="P805" s="34">
        <v>19.190000000000001</v>
      </c>
      <c r="Q805" s="34">
        <v>7.4</v>
      </c>
      <c r="R805" s="34">
        <v>7.39</v>
      </c>
      <c r="S805" s="34">
        <v>7.39</v>
      </c>
      <c r="T805" s="34">
        <v>5.46</v>
      </c>
      <c r="U805" s="34">
        <v>126.63</v>
      </c>
      <c r="V805" s="34">
        <v>35.53</v>
      </c>
      <c r="W805" s="34">
        <v>1.53</v>
      </c>
      <c r="X805" s="34">
        <v>0.31</v>
      </c>
      <c r="Y805" s="35">
        <v>3.2988</v>
      </c>
      <c r="Z805" s="35">
        <v>4.3117000000000001</v>
      </c>
      <c r="AA805" s="35">
        <v>86.951099999999997</v>
      </c>
    </row>
    <row r="806" spans="1:27" ht="15.75" hidden="1" customHeight="1" x14ac:dyDescent="0.2">
      <c r="A806" s="2"/>
      <c r="B806" s="31">
        <v>801</v>
      </c>
      <c r="C806" s="36" t="s">
        <v>1694</v>
      </c>
      <c r="D806" s="36" t="s">
        <v>1695</v>
      </c>
      <c r="E806" s="36" t="s">
        <v>1696</v>
      </c>
      <c r="F806" s="36" t="s">
        <v>1881</v>
      </c>
      <c r="G806" s="36" t="s">
        <v>1882</v>
      </c>
      <c r="H806" s="37" t="s">
        <v>80</v>
      </c>
      <c r="I806" s="37" t="s">
        <v>81</v>
      </c>
      <c r="J806" s="37" t="s">
        <v>82</v>
      </c>
      <c r="K806" s="37" t="s">
        <v>87</v>
      </c>
      <c r="L806" s="36" t="s">
        <v>84</v>
      </c>
      <c r="M806" s="34">
        <v>484.53</v>
      </c>
      <c r="N806" s="34">
        <v>107.74</v>
      </c>
      <c r="O806" s="34">
        <v>376.79</v>
      </c>
      <c r="P806" s="34">
        <v>23.22</v>
      </c>
      <c r="Q806" s="34">
        <v>10.77</v>
      </c>
      <c r="R806" s="34">
        <v>10.16</v>
      </c>
      <c r="S806" s="34">
        <v>10.28</v>
      </c>
      <c r="T806" s="34">
        <v>3.38</v>
      </c>
      <c r="U806" s="34">
        <v>71.97</v>
      </c>
      <c r="V806" s="34">
        <v>13.31</v>
      </c>
      <c r="W806" s="34">
        <v>0.63</v>
      </c>
      <c r="X806" s="34">
        <v>0.28999999999999998</v>
      </c>
      <c r="Y806" s="35">
        <v>3.6541999999999999</v>
      </c>
      <c r="Z806" s="35">
        <v>4.6990999999999996</v>
      </c>
      <c r="AA806" s="35">
        <v>76.263999999999996</v>
      </c>
    </row>
    <row r="807" spans="1:27" ht="15.75" hidden="1" customHeight="1" x14ac:dyDescent="0.2">
      <c r="A807" s="2"/>
      <c r="B807" s="31">
        <v>802</v>
      </c>
      <c r="C807" s="36" t="s">
        <v>1883</v>
      </c>
      <c r="D807" s="36" t="s">
        <v>1884</v>
      </c>
      <c r="E807" s="36" t="s">
        <v>1885</v>
      </c>
      <c r="F807" s="36" t="s">
        <v>1886</v>
      </c>
      <c r="G807" s="36" t="s">
        <v>1887</v>
      </c>
      <c r="H807" s="37" t="s">
        <v>80</v>
      </c>
      <c r="I807" s="37" t="s">
        <v>81</v>
      </c>
      <c r="J807" s="37" t="s">
        <v>82</v>
      </c>
      <c r="K807" s="37" t="s">
        <v>87</v>
      </c>
      <c r="L807" s="36" t="s">
        <v>84</v>
      </c>
      <c r="M807" s="34">
        <v>299.70999999999998</v>
      </c>
      <c r="N807" s="34">
        <v>63.5</v>
      </c>
      <c r="O807" s="34">
        <v>236.21</v>
      </c>
      <c r="P807" s="34">
        <v>29.39</v>
      </c>
      <c r="Q807" s="34">
        <v>4.46</v>
      </c>
      <c r="R807" s="34">
        <v>3.78</v>
      </c>
      <c r="S807" s="34">
        <v>3.78</v>
      </c>
      <c r="T807" s="34">
        <v>4.13</v>
      </c>
      <c r="U807" s="34">
        <v>93.01</v>
      </c>
      <c r="V807" s="34">
        <v>146.63</v>
      </c>
      <c r="W807" s="34">
        <v>6.5</v>
      </c>
      <c r="X807" s="34">
        <v>0.27</v>
      </c>
      <c r="Y807" s="35">
        <v>3.4964</v>
      </c>
      <c r="Z807" s="35">
        <v>4.4363000000000001</v>
      </c>
      <c r="AA807" s="35">
        <v>35.6526</v>
      </c>
    </row>
    <row r="808" spans="1:27" ht="15.75" hidden="1" customHeight="1" x14ac:dyDescent="0.2">
      <c r="A808" s="2"/>
      <c r="B808" s="31">
        <v>803</v>
      </c>
      <c r="C808" s="36" t="s">
        <v>1883</v>
      </c>
      <c r="D808" s="36" t="s">
        <v>1884</v>
      </c>
      <c r="E808" s="36" t="s">
        <v>1885</v>
      </c>
      <c r="F808" s="36" t="s">
        <v>1888</v>
      </c>
      <c r="G808" s="36" t="s">
        <v>1889</v>
      </c>
      <c r="H808" s="37" t="s">
        <v>80</v>
      </c>
      <c r="I808" s="37" t="s">
        <v>81</v>
      </c>
      <c r="J808" s="37" t="s">
        <v>82</v>
      </c>
      <c r="K808" s="37" t="s">
        <v>87</v>
      </c>
      <c r="L808" s="36" t="s">
        <v>84</v>
      </c>
      <c r="M808" s="34">
        <v>4814.5</v>
      </c>
      <c r="N808" s="34">
        <v>4160.3900000000003</v>
      </c>
      <c r="O808" s="34">
        <v>654.11</v>
      </c>
      <c r="P808" s="34">
        <v>3457.11</v>
      </c>
      <c r="Q808" s="34">
        <v>224.73</v>
      </c>
      <c r="R808" s="34">
        <v>162.76</v>
      </c>
      <c r="S808" s="34">
        <v>109.92</v>
      </c>
      <c r="T808" s="34">
        <v>92.71</v>
      </c>
      <c r="U808" s="34">
        <v>282.51</v>
      </c>
      <c r="V808" s="34">
        <v>4.66</v>
      </c>
      <c r="W808" s="34">
        <v>1.53</v>
      </c>
      <c r="X808" s="34">
        <v>6.36</v>
      </c>
      <c r="Y808" s="35">
        <v>4.4588000000000001</v>
      </c>
      <c r="Z808" s="35">
        <v>32.818100000000001</v>
      </c>
      <c r="AA808" s="35">
        <v>6.2093999999999996</v>
      </c>
    </row>
    <row r="809" spans="1:27" ht="15.75" hidden="1" customHeight="1" x14ac:dyDescent="0.2">
      <c r="A809" s="2"/>
      <c r="B809" s="31">
        <v>804</v>
      </c>
      <c r="C809" s="36" t="s">
        <v>1883</v>
      </c>
      <c r="D809" s="36" t="s">
        <v>1890</v>
      </c>
      <c r="E809" s="36" t="s">
        <v>1891</v>
      </c>
      <c r="F809" s="36" t="s">
        <v>1892</v>
      </c>
      <c r="G809" s="36" t="s">
        <v>1893</v>
      </c>
      <c r="H809" s="37" t="s">
        <v>80</v>
      </c>
      <c r="I809" s="37" t="s">
        <v>81</v>
      </c>
      <c r="J809" s="37" t="s">
        <v>82</v>
      </c>
      <c r="K809" s="37" t="s">
        <v>87</v>
      </c>
      <c r="L809" s="36" t="s">
        <v>84</v>
      </c>
      <c r="M809" s="34">
        <v>107.73</v>
      </c>
      <c r="N809" s="34">
        <v>22.35</v>
      </c>
      <c r="O809" s="34">
        <v>85.38</v>
      </c>
      <c r="P809" s="34">
        <v>37.450000000000003</v>
      </c>
      <c r="Q809" s="34">
        <v>4.99</v>
      </c>
      <c r="R809" s="34">
        <v>4.22</v>
      </c>
      <c r="S809" s="34">
        <v>3.75</v>
      </c>
      <c r="T809" s="34">
        <v>0.78</v>
      </c>
      <c r="U809" s="34">
        <v>24.86</v>
      </c>
      <c r="V809" s="34">
        <v>325.41000000000003</v>
      </c>
      <c r="W809" s="34">
        <v>10.220000000000001</v>
      </c>
      <c r="X809" s="34">
        <v>0.26</v>
      </c>
      <c r="Y809" s="35">
        <v>2.4887000000000001</v>
      </c>
      <c r="Z809" s="35">
        <v>3.1402999999999999</v>
      </c>
      <c r="AA809" s="35">
        <v>7.1589</v>
      </c>
    </row>
    <row r="810" spans="1:27" ht="15.75" hidden="1" customHeight="1" x14ac:dyDescent="0.2">
      <c r="A810" s="2"/>
      <c r="B810" s="31">
        <v>805</v>
      </c>
      <c r="C810" s="36" t="s">
        <v>1883</v>
      </c>
      <c r="D810" s="36" t="s">
        <v>1890</v>
      </c>
      <c r="E810" s="36" t="s">
        <v>1891</v>
      </c>
      <c r="F810" s="36" t="s">
        <v>1894</v>
      </c>
      <c r="G810" s="36" t="s">
        <v>1895</v>
      </c>
      <c r="H810" s="37" t="s">
        <v>80</v>
      </c>
      <c r="I810" s="37" t="s">
        <v>81</v>
      </c>
      <c r="J810" s="37" t="s">
        <v>82</v>
      </c>
      <c r="K810" s="37" t="s">
        <v>87</v>
      </c>
      <c r="L810" s="36" t="s">
        <v>84</v>
      </c>
      <c r="M810" s="34">
        <v>17393.14</v>
      </c>
      <c r="N810" s="34">
        <v>7681.62</v>
      </c>
      <c r="O810" s="34">
        <v>9711.52</v>
      </c>
      <c r="P810" s="34">
        <v>9595.69</v>
      </c>
      <c r="Q810" s="34">
        <v>-1218.21</v>
      </c>
      <c r="R810" s="34">
        <v>-1266.8499999999999</v>
      </c>
      <c r="S810" s="34">
        <v>-1252.3699999999999</v>
      </c>
      <c r="T810" s="34">
        <v>-19.309999999999999</v>
      </c>
      <c r="U810" s="34">
        <v>71.819999999999993</v>
      </c>
      <c r="V810" s="34">
        <v>-18.64</v>
      </c>
      <c r="W810" s="34">
        <v>5.01</v>
      </c>
      <c r="X810" s="34">
        <v>0.79</v>
      </c>
      <c r="Y810" s="35">
        <v>-14.8619</v>
      </c>
      <c r="Z810" s="35">
        <v>-26.6174</v>
      </c>
      <c r="AA810" s="35">
        <v>-26.938700000000001</v>
      </c>
    </row>
    <row r="811" spans="1:27" ht="15.75" hidden="1" customHeight="1" x14ac:dyDescent="0.2">
      <c r="A811" s="2"/>
      <c r="B811" s="31">
        <v>806</v>
      </c>
      <c r="C811" s="36" t="s">
        <v>1883</v>
      </c>
      <c r="D811" s="36" t="s">
        <v>1890</v>
      </c>
      <c r="E811" s="36" t="s">
        <v>1891</v>
      </c>
      <c r="F811" s="36" t="s">
        <v>1896</v>
      </c>
      <c r="G811" s="36" t="s">
        <v>1897</v>
      </c>
      <c r="H811" s="37" t="s">
        <v>95</v>
      </c>
      <c r="I811" s="37" t="s">
        <v>81</v>
      </c>
      <c r="J811" s="37" t="s">
        <v>82</v>
      </c>
      <c r="K811" s="37" t="s">
        <v>87</v>
      </c>
      <c r="L811" s="36" t="s">
        <v>84</v>
      </c>
      <c r="M811" s="34">
        <v>24070.03</v>
      </c>
      <c r="N811" s="34">
        <v>717.57</v>
      </c>
      <c r="O811" s="34">
        <v>23352.47</v>
      </c>
      <c r="P811" s="34">
        <v>3087.13</v>
      </c>
      <c r="Q811" s="34">
        <v>479.08</v>
      </c>
      <c r="R811" s="34">
        <v>467.12</v>
      </c>
      <c r="S811" s="34">
        <v>464.45</v>
      </c>
      <c r="T811" s="34">
        <v>-3.2</v>
      </c>
      <c r="U811" s="34">
        <v>226.42</v>
      </c>
      <c r="V811" s="34">
        <v>-53.07</v>
      </c>
      <c r="W811" s="34">
        <v>0.75</v>
      </c>
      <c r="X811" s="34">
        <v>0.03</v>
      </c>
      <c r="Y811" s="35">
        <v>-1.3726</v>
      </c>
      <c r="Z811" s="35">
        <v>-1.4147000000000001</v>
      </c>
      <c r="AA811" s="35">
        <v>-10.7018</v>
      </c>
    </row>
    <row r="812" spans="1:27" ht="15.75" hidden="1" customHeight="1" x14ac:dyDescent="0.2">
      <c r="A812" s="2"/>
      <c r="B812" s="31">
        <v>807</v>
      </c>
      <c r="C812" s="36" t="s">
        <v>1883</v>
      </c>
      <c r="D812" s="36" t="s">
        <v>1890</v>
      </c>
      <c r="E812" s="36" t="s">
        <v>1891</v>
      </c>
      <c r="F812" s="36" t="s">
        <v>1898</v>
      </c>
      <c r="G812" s="36" t="s">
        <v>1899</v>
      </c>
      <c r="H812" s="37" t="s">
        <v>95</v>
      </c>
      <c r="I812" s="37" t="s">
        <v>81</v>
      </c>
      <c r="J812" s="37" t="s">
        <v>82</v>
      </c>
      <c r="K812" s="37" t="s">
        <v>83</v>
      </c>
      <c r="L812" s="36" t="s">
        <v>84</v>
      </c>
      <c r="M812" s="34">
        <v>231.44</v>
      </c>
      <c r="N812" s="34">
        <v>129.93</v>
      </c>
      <c r="O812" s="34">
        <v>101.51</v>
      </c>
      <c r="P812" s="34">
        <v>58.53</v>
      </c>
      <c r="Q812" s="34">
        <v>-20.65</v>
      </c>
      <c r="R812" s="34">
        <v>-19.690000000000001</v>
      </c>
      <c r="S812" s="34">
        <v>-20.23</v>
      </c>
      <c r="T812" s="34">
        <v>-26.53</v>
      </c>
      <c r="U812" s="34">
        <v>70.930000000000007</v>
      </c>
      <c r="V812" s="34">
        <v>-5.28</v>
      </c>
      <c r="W812" s="34">
        <v>1.97</v>
      </c>
      <c r="X812" s="34">
        <v>1.28</v>
      </c>
      <c r="Y812" s="35">
        <v>-16.403099999999998</v>
      </c>
      <c r="Z812" s="35">
        <v>-37.399700000000003</v>
      </c>
      <c r="AA812" s="35">
        <v>-64.859899999999996</v>
      </c>
    </row>
    <row r="813" spans="1:27" ht="15.75" hidden="1" customHeight="1" x14ac:dyDescent="0.2">
      <c r="A813" s="2"/>
      <c r="B813" s="31">
        <v>808</v>
      </c>
      <c r="C813" s="36" t="s">
        <v>1883</v>
      </c>
      <c r="D813" s="36" t="s">
        <v>1884</v>
      </c>
      <c r="E813" s="36" t="s">
        <v>1885</v>
      </c>
      <c r="F813" s="36" t="s">
        <v>1900</v>
      </c>
      <c r="G813" s="36" t="s">
        <v>1901</v>
      </c>
      <c r="H813" s="37" t="s">
        <v>80</v>
      </c>
      <c r="I813" s="37" t="s">
        <v>81</v>
      </c>
      <c r="J813" s="37" t="s">
        <v>82</v>
      </c>
      <c r="K813" s="37" t="s">
        <v>87</v>
      </c>
      <c r="L813" s="36" t="s">
        <v>84</v>
      </c>
      <c r="M813" s="34">
        <v>331.22</v>
      </c>
      <c r="N813" s="34">
        <v>121.05</v>
      </c>
      <c r="O813" s="34">
        <v>210.18</v>
      </c>
      <c r="P813" s="34">
        <v>230.45</v>
      </c>
      <c r="Q813" s="34">
        <v>41.81</v>
      </c>
      <c r="R813" s="34">
        <v>36.74</v>
      </c>
      <c r="S813" s="34">
        <v>36.75</v>
      </c>
      <c r="T813" s="34">
        <v>9.86</v>
      </c>
      <c r="U813" s="34">
        <v>31.62</v>
      </c>
      <c r="V813" s="34">
        <v>109.01</v>
      </c>
      <c r="W813" s="34">
        <v>33.99</v>
      </c>
      <c r="X813" s="34">
        <v>0.57999999999999996</v>
      </c>
      <c r="Y813" s="35">
        <v>19.787800000000001</v>
      </c>
      <c r="Z813" s="35">
        <v>31.184100000000001</v>
      </c>
      <c r="AA813" s="35">
        <v>28.441400000000002</v>
      </c>
    </row>
    <row r="814" spans="1:27" ht="15.75" hidden="1" customHeight="1" x14ac:dyDescent="0.2">
      <c r="A814" s="2"/>
      <c r="B814" s="31">
        <v>809</v>
      </c>
      <c r="C814" s="36" t="s">
        <v>1883</v>
      </c>
      <c r="D814" s="36" t="s">
        <v>1884</v>
      </c>
      <c r="E814" s="36" t="s">
        <v>1885</v>
      </c>
      <c r="F814" s="36" t="s">
        <v>1902</v>
      </c>
      <c r="G814" s="36" t="s">
        <v>1903</v>
      </c>
      <c r="H814" s="37" t="s">
        <v>80</v>
      </c>
      <c r="I814" s="37" t="s">
        <v>81</v>
      </c>
      <c r="J814" s="37" t="s">
        <v>82</v>
      </c>
      <c r="K814" s="37" t="s">
        <v>87</v>
      </c>
      <c r="L814" s="36" t="s">
        <v>84</v>
      </c>
      <c r="M814" s="34">
        <v>5578.3</v>
      </c>
      <c r="N814" s="34">
        <v>1957.68</v>
      </c>
      <c r="O814" s="34">
        <v>3620.62</v>
      </c>
      <c r="P814" s="34">
        <v>1334.12</v>
      </c>
      <c r="Q814" s="34">
        <v>701.03</v>
      </c>
      <c r="R814" s="34">
        <v>616.96</v>
      </c>
      <c r="S814" s="34">
        <v>616.95000000000005</v>
      </c>
      <c r="T814" s="34">
        <v>467.3</v>
      </c>
      <c r="U814" s="34">
        <v>1518.88</v>
      </c>
      <c r="V814" s="34">
        <v>585.6</v>
      </c>
      <c r="W814" s="34">
        <v>180.17</v>
      </c>
      <c r="X814" s="34">
        <v>0.54</v>
      </c>
      <c r="Y814" s="35">
        <v>19.969000000000001</v>
      </c>
      <c r="Z814" s="35">
        <v>30.766200000000001</v>
      </c>
      <c r="AA814" s="35">
        <v>83.495500000000007</v>
      </c>
    </row>
    <row r="815" spans="1:27" ht="15.75" hidden="1" customHeight="1" x14ac:dyDescent="0.2">
      <c r="A815" s="2"/>
      <c r="B815" s="31">
        <v>810</v>
      </c>
      <c r="C815" s="36" t="s">
        <v>1883</v>
      </c>
      <c r="D815" s="36" t="s">
        <v>1890</v>
      </c>
      <c r="E815" s="36" t="s">
        <v>1891</v>
      </c>
      <c r="F815" s="36" t="s">
        <v>1904</v>
      </c>
      <c r="G815" s="36" t="s">
        <v>1905</v>
      </c>
      <c r="H815" s="37" t="s">
        <v>80</v>
      </c>
      <c r="I815" s="37" t="s">
        <v>81</v>
      </c>
      <c r="J815" s="37" t="s">
        <v>82</v>
      </c>
      <c r="K815" s="37" t="s">
        <v>87</v>
      </c>
      <c r="L815" s="36" t="s">
        <v>84</v>
      </c>
      <c r="M815" s="34">
        <v>732.63</v>
      </c>
      <c r="N815" s="34">
        <v>55.85</v>
      </c>
      <c r="O815" s="34">
        <v>676.78</v>
      </c>
      <c r="P815" s="34">
        <v>1751.37</v>
      </c>
      <c r="Q815" s="34">
        <v>25.6</v>
      </c>
      <c r="R815" s="34">
        <v>22.38</v>
      </c>
      <c r="S815" s="34">
        <v>17.05</v>
      </c>
      <c r="T815" s="34">
        <v>18.63</v>
      </c>
      <c r="U815" s="34">
        <v>473.75</v>
      </c>
      <c r="V815" s="34">
        <v>6.98</v>
      </c>
      <c r="W815" s="34">
        <v>0.27</v>
      </c>
      <c r="X815" s="34">
        <v>0.08</v>
      </c>
      <c r="Y815" s="35">
        <v>3.6322999999999999</v>
      </c>
      <c r="Z815" s="35">
        <v>3.9319999999999999</v>
      </c>
      <c r="AA815" s="35">
        <v>1.5195000000000001</v>
      </c>
    </row>
    <row r="816" spans="1:27" ht="15.75" hidden="1" customHeight="1" x14ac:dyDescent="0.2">
      <c r="A816" s="2"/>
      <c r="B816" s="31">
        <v>811</v>
      </c>
      <c r="C816" s="36" t="s">
        <v>1883</v>
      </c>
      <c r="D816" s="36" t="s">
        <v>1884</v>
      </c>
      <c r="E816" s="36" t="s">
        <v>1885</v>
      </c>
      <c r="F816" s="36" t="s">
        <v>1906</v>
      </c>
      <c r="G816" s="36" t="s">
        <v>1907</v>
      </c>
      <c r="H816" s="37" t="s">
        <v>80</v>
      </c>
      <c r="I816" s="37" t="s">
        <v>81</v>
      </c>
      <c r="J816" s="37" t="s">
        <v>82</v>
      </c>
      <c r="K816" s="37" t="s">
        <v>87</v>
      </c>
      <c r="L816" s="36" t="s">
        <v>84</v>
      </c>
      <c r="M816" s="34">
        <v>863.2</v>
      </c>
      <c r="N816" s="34">
        <v>213.25</v>
      </c>
      <c r="O816" s="34">
        <v>649.95000000000005</v>
      </c>
      <c r="P816" s="34">
        <v>345.75</v>
      </c>
      <c r="Q816" s="34">
        <v>22.66</v>
      </c>
      <c r="R816" s="34">
        <v>18.16</v>
      </c>
      <c r="S816" s="34">
        <v>18.190000000000001</v>
      </c>
      <c r="T816" s="34">
        <v>3.54</v>
      </c>
      <c r="U816" s="34">
        <v>84.49</v>
      </c>
      <c r="V816" s="34">
        <v>109.12</v>
      </c>
      <c r="W816" s="34">
        <v>4.57</v>
      </c>
      <c r="X816" s="34">
        <v>0.33</v>
      </c>
      <c r="Y816" s="35">
        <v>3.1522000000000001</v>
      </c>
      <c r="Z816" s="35">
        <v>4.1864999999999997</v>
      </c>
      <c r="AA816" s="35">
        <v>7.8696999999999999</v>
      </c>
    </row>
    <row r="817" spans="1:27" ht="15.75" hidden="1" customHeight="1" x14ac:dyDescent="0.2">
      <c r="A817" s="2"/>
      <c r="B817" s="31">
        <v>812</v>
      </c>
      <c r="C817" s="36" t="s">
        <v>1883</v>
      </c>
      <c r="D817" s="36" t="s">
        <v>1884</v>
      </c>
      <c r="E817" s="36" t="s">
        <v>1885</v>
      </c>
      <c r="F817" s="36" t="s">
        <v>1908</v>
      </c>
      <c r="G817" s="36" t="s">
        <v>1909</v>
      </c>
      <c r="H817" s="37" t="s">
        <v>80</v>
      </c>
      <c r="I817" s="37" t="s">
        <v>81</v>
      </c>
      <c r="J817" s="37" t="s">
        <v>82</v>
      </c>
      <c r="K817" s="37" t="s">
        <v>87</v>
      </c>
      <c r="L817" s="36" t="s">
        <v>84</v>
      </c>
      <c r="M817" s="34">
        <v>3898.74</v>
      </c>
      <c r="N817" s="34">
        <v>2135.4299999999998</v>
      </c>
      <c r="O817" s="34">
        <v>1763.31</v>
      </c>
      <c r="P817" s="34">
        <v>375.06</v>
      </c>
      <c r="Q817" s="34">
        <v>66.260000000000005</v>
      </c>
      <c r="R817" s="34">
        <v>54.36</v>
      </c>
      <c r="S817" s="34">
        <v>54.48</v>
      </c>
      <c r="T817" s="34">
        <v>74.12</v>
      </c>
      <c r="U817" s="34">
        <v>872.82</v>
      </c>
      <c r="V817" s="34">
        <v>58.15</v>
      </c>
      <c r="W817" s="34">
        <v>4.9400000000000004</v>
      </c>
      <c r="X817" s="34">
        <v>1.21</v>
      </c>
      <c r="Y817" s="35">
        <v>3.8410000000000002</v>
      </c>
      <c r="Z817" s="35">
        <v>8.4925999999999995</v>
      </c>
      <c r="AA817" s="35">
        <v>39.926600000000001</v>
      </c>
    </row>
    <row r="818" spans="1:27" ht="15.75" hidden="1" customHeight="1" x14ac:dyDescent="0.2">
      <c r="A818" s="2"/>
      <c r="B818" s="31">
        <v>813</v>
      </c>
      <c r="C818" s="36" t="s">
        <v>1883</v>
      </c>
      <c r="D818" s="36" t="s">
        <v>1884</v>
      </c>
      <c r="E818" s="36" t="s">
        <v>1885</v>
      </c>
      <c r="F818" s="36" t="s">
        <v>1910</v>
      </c>
      <c r="G818" s="36" t="s">
        <v>1911</v>
      </c>
      <c r="H818" s="37" t="s">
        <v>80</v>
      </c>
      <c r="I818" s="37" t="s">
        <v>81</v>
      </c>
      <c r="J818" s="37" t="s">
        <v>82</v>
      </c>
      <c r="K818" s="37" t="s">
        <v>87</v>
      </c>
      <c r="L818" s="36" t="s">
        <v>84</v>
      </c>
      <c r="M818" s="34">
        <v>326.77999999999997</v>
      </c>
      <c r="N818" s="34">
        <v>185.38</v>
      </c>
      <c r="O818" s="34">
        <v>141.4</v>
      </c>
      <c r="P818" s="34">
        <v>249.23</v>
      </c>
      <c r="Q818" s="34">
        <v>22.85</v>
      </c>
      <c r="R818" s="34">
        <v>17.670000000000002</v>
      </c>
      <c r="S818" s="34">
        <v>17.670000000000002</v>
      </c>
      <c r="T818" s="34">
        <v>14.29</v>
      </c>
      <c r="U818" s="34">
        <v>69.599999999999994</v>
      </c>
      <c r="V818" s="34">
        <v>13.29</v>
      </c>
      <c r="W818" s="34">
        <v>2.73</v>
      </c>
      <c r="X818" s="34">
        <v>1.31</v>
      </c>
      <c r="Y818" s="35">
        <v>8.8864999999999998</v>
      </c>
      <c r="Z818" s="35">
        <v>20.537600000000001</v>
      </c>
      <c r="AA818" s="35">
        <v>11.6516</v>
      </c>
    </row>
    <row r="819" spans="1:27" ht="15.75" hidden="1" customHeight="1" x14ac:dyDescent="0.2">
      <c r="A819" s="2"/>
      <c r="B819" s="31">
        <v>814</v>
      </c>
      <c r="C819" s="36" t="s">
        <v>1883</v>
      </c>
      <c r="D819" s="36" t="s">
        <v>1890</v>
      </c>
      <c r="E819" s="36" t="s">
        <v>1891</v>
      </c>
      <c r="F819" s="36" t="s">
        <v>1912</v>
      </c>
      <c r="G819" s="36" t="s">
        <v>1913</v>
      </c>
      <c r="H819" s="37" t="s">
        <v>80</v>
      </c>
      <c r="I819" s="37" t="s">
        <v>81</v>
      </c>
      <c r="J819" s="37" t="s">
        <v>82</v>
      </c>
      <c r="K819" s="37" t="s">
        <v>87</v>
      </c>
      <c r="L819" s="36" t="s">
        <v>84</v>
      </c>
      <c r="M819" s="34">
        <v>57740.31</v>
      </c>
      <c r="N819" s="34">
        <v>6075.3</v>
      </c>
      <c r="O819" s="34">
        <v>51665.01</v>
      </c>
      <c r="P819" s="34">
        <v>8809.52</v>
      </c>
      <c r="Q819" s="34">
        <v>5006.1099999999997</v>
      </c>
      <c r="R819" s="34">
        <v>4657.5</v>
      </c>
      <c r="S819" s="34">
        <v>4225.72</v>
      </c>
      <c r="T819" s="34">
        <v>90.33</v>
      </c>
      <c r="U819" s="34">
        <v>841.56</v>
      </c>
      <c r="V819" s="34">
        <v>13.89</v>
      </c>
      <c r="W819" s="34">
        <v>1.49</v>
      </c>
      <c r="X819" s="34">
        <v>0.12</v>
      </c>
      <c r="Y819" s="35">
        <v>9.6044999999999998</v>
      </c>
      <c r="Z819" s="35">
        <v>10.7339</v>
      </c>
      <c r="AA819" s="35">
        <v>62.951000000000001</v>
      </c>
    </row>
    <row r="820" spans="1:27" ht="15.75" hidden="1" customHeight="1" x14ac:dyDescent="0.2">
      <c r="A820" s="2"/>
      <c r="B820" s="31">
        <v>815</v>
      </c>
      <c r="C820" s="36" t="s">
        <v>1883</v>
      </c>
      <c r="D820" s="36" t="s">
        <v>1884</v>
      </c>
      <c r="E820" s="36" t="s">
        <v>1885</v>
      </c>
      <c r="F820" s="36" t="s">
        <v>1914</v>
      </c>
      <c r="G820" s="36" t="s">
        <v>1915</v>
      </c>
      <c r="H820" s="37" t="s">
        <v>95</v>
      </c>
      <c r="I820" s="37" t="s">
        <v>81</v>
      </c>
      <c r="J820" s="37" t="s">
        <v>82</v>
      </c>
      <c r="K820" s="37" t="s">
        <v>87</v>
      </c>
      <c r="L820" s="36" t="s">
        <v>84</v>
      </c>
      <c r="M820" s="34">
        <v>15.37</v>
      </c>
      <c r="N820" s="34">
        <v>67.66</v>
      </c>
      <c r="O820" s="34">
        <v>-52.29</v>
      </c>
      <c r="P820" s="34">
        <v>0.42</v>
      </c>
      <c r="Q820" s="34">
        <v>-2.14</v>
      </c>
      <c r="R820" s="34">
        <v>-2.14</v>
      </c>
      <c r="S820" s="34">
        <v>-2.14</v>
      </c>
      <c r="T820" s="34">
        <v>-6.81</v>
      </c>
      <c r="U820" s="34">
        <v>-29.05</v>
      </c>
      <c r="V820" s="34">
        <v>-7.35</v>
      </c>
      <c r="W820" s="34">
        <v>-1.72</v>
      </c>
      <c r="X820" s="34">
        <v>-1.29</v>
      </c>
      <c r="Y820" s="35">
        <v>-79.702799999999996</v>
      </c>
      <c r="Z820" s="35" t="s">
        <v>95</v>
      </c>
      <c r="AA820" s="35">
        <v>-2915.6079</v>
      </c>
    </row>
    <row r="821" spans="1:27" ht="15.75" hidden="1" customHeight="1" x14ac:dyDescent="0.2">
      <c r="A821" s="2"/>
      <c r="B821" s="31">
        <v>816</v>
      </c>
      <c r="C821" s="36" t="s">
        <v>1883</v>
      </c>
      <c r="D821" s="36" t="s">
        <v>1890</v>
      </c>
      <c r="E821" s="36" t="s">
        <v>1891</v>
      </c>
      <c r="F821" s="36" t="s">
        <v>1916</v>
      </c>
      <c r="G821" s="36" t="s">
        <v>1917</v>
      </c>
      <c r="H821" s="37" t="s">
        <v>95</v>
      </c>
      <c r="I821" s="37" t="s">
        <v>81</v>
      </c>
      <c r="J821" s="37" t="s">
        <v>82</v>
      </c>
      <c r="K821" s="37" t="s">
        <v>83</v>
      </c>
      <c r="L821" s="36" t="s">
        <v>84</v>
      </c>
      <c r="M821" s="34">
        <v>42318.879999999997</v>
      </c>
      <c r="N821" s="34">
        <v>13124.21</v>
      </c>
      <c r="O821" s="34">
        <v>29194.68</v>
      </c>
      <c r="P821" s="34">
        <v>8558.9699999999993</v>
      </c>
      <c r="Q821" s="34">
        <v>-499.48</v>
      </c>
      <c r="R821" s="34">
        <v>-741.96</v>
      </c>
      <c r="S821" s="34">
        <v>-580.01</v>
      </c>
      <c r="T821" s="34">
        <v>-2.66</v>
      </c>
      <c r="U821" s="34">
        <v>25.6</v>
      </c>
      <c r="V821" s="34">
        <v>-20.29</v>
      </c>
      <c r="W821" s="34">
        <v>2.11</v>
      </c>
      <c r="X821" s="34">
        <v>0.45</v>
      </c>
      <c r="Y821" s="35">
        <v>-7.1726000000000001</v>
      </c>
      <c r="Z821" s="35">
        <v>-10.3969</v>
      </c>
      <c r="AA821" s="35">
        <v>-35.463999999999999</v>
      </c>
    </row>
    <row r="822" spans="1:27" ht="15.75" hidden="1" customHeight="1" x14ac:dyDescent="0.2">
      <c r="A822" s="2"/>
      <c r="B822" s="31">
        <v>817</v>
      </c>
      <c r="C822" s="36" t="s">
        <v>1883</v>
      </c>
      <c r="D822" s="36" t="s">
        <v>1890</v>
      </c>
      <c r="E822" s="36" t="s">
        <v>1891</v>
      </c>
      <c r="F822" s="36" t="s">
        <v>1918</v>
      </c>
      <c r="G822" s="36" t="s">
        <v>1919</v>
      </c>
      <c r="H822" s="37" t="s">
        <v>95</v>
      </c>
      <c r="I822" s="37" t="s">
        <v>81</v>
      </c>
      <c r="J822" s="37" t="s">
        <v>82</v>
      </c>
      <c r="K822" s="37" t="s">
        <v>83</v>
      </c>
      <c r="L822" s="36" t="s">
        <v>84</v>
      </c>
      <c r="M822" s="34">
        <v>42318.879999999997</v>
      </c>
      <c r="N822" s="34">
        <v>13124.21</v>
      </c>
      <c r="O822" s="34">
        <v>29194.68</v>
      </c>
      <c r="P822" s="34">
        <v>8558.9699999999993</v>
      </c>
      <c r="Q822" s="34">
        <v>-499.48</v>
      </c>
      <c r="R822" s="34">
        <v>-741.96</v>
      </c>
      <c r="S822" s="34">
        <v>-580.01</v>
      </c>
      <c r="T822" s="34">
        <v>-60.02</v>
      </c>
      <c r="U822" s="34">
        <v>577.29</v>
      </c>
      <c r="V822" s="34">
        <v>-1.1299999999999999</v>
      </c>
      <c r="W822" s="34">
        <v>0.12</v>
      </c>
      <c r="X822" s="34">
        <v>0.45</v>
      </c>
      <c r="Y822" s="35">
        <v>-7.1726000000000001</v>
      </c>
      <c r="Z822" s="35">
        <v>-10.3969</v>
      </c>
      <c r="AA822" s="35">
        <v>-35.463999999999999</v>
      </c>
    </row>
    <row r="823" spans="1:27" ht="15.75" hidden="1" customHeight="1" x14ac:dyDescent="0.2">
      <c r="A823" s="2"/>
      <c r="B823" s="31">
        <v>818</v>
      </c>
      <c r="C823" s="36" t="s">
        <v>1883</v>
      </c>
      <c r="D823" s="36" t="s">
        <v>1890</v>
      </c>
      <c r="E823" s="36" t="s">
        <v>1891</v>
      </c>
      <c r="F823" s="36" t="s">
        <v>1920</v>
      </c>
      <c r="G823" s="36" t="s">
        <v>1921</v>
      </c>
      <c r="H823" s="37" t="s">
        <v>80</v>
      </c>
      <c r="I823" s="37" t="s">
        <v>81</v>
      </c>
      <c r="J823" s="37" t="s">
        <v>82</v>
      </c>
      <c r="K823" s="37" t="s">
        <v>87</v>
      </c>
      <c r="L823" s="36" t="s">
        <v>84</v>
      </c>
      <c r="M823" s="34">
        <v>324.11</v>
      </c>
      <c r="N823" s="34">
        <v>64.06</v>
      </c>
      <c r="O823" s="34">
        <v>260.05</v>
      </c>
      <c r="P823" s="34">
        <v>0.25</v>
      </c>
      <c r="Q823" s="34">
        <v>-9.81</v>
      </c>
      <c r="R823" s="34">
        <v>-9.81</v>
      </c>
      <c r="S823" s="34">
        <v>-9.81</v>
      </c>
      <c r="T823" s="34">
        <v>-15.76</v>
      </c>
      <c r="U823" s="34">
        <v>170.56</v>
      </c>
      <c r="V823" s="34">
        <v>-4.12</v>
      </c>
      <c r="W823" s="34">
        <v>0.38</v>
      </c>
      <c r="X823" s="34">
        <v>0.25</v>
      </c>
      <c r="Y823" s="35">
        <v>-7.4132999999999996</v>
      </c>
      <c r="Z823" s="35">
        <v>-9.2393000000000001</v>
      </c>
      <c r="AA823" s="35">
        <v>-9764.1823999999997</v>
      </c>
    </row>
    <row r="824" spans="1:27" ht="15.75" hidden="1" customHeight="1" x14ac:dyDescent="0.2">
      <c r="A824" s="2"/>
      <c r="B824" s="31">
        <v>819</v>
      </c>
      <c r="C824" s="36" t="s">
        <v>1883</v>
      </c>
      <c r="D824" s="36" t="s">
        <v>1922</v>
      </c>
      <c r="E824" s="36" t="s">
        <v>1923</v>
      </c>
      <c r="F824" s="36" t="s">
        <v>1924</v>
      </c>
      <c r="G824" s="36" t="s">
        <v>1925</v>
      </c>
      <c r="H824" s="37" t="s">
        <v>80</v>
      </c>
      <c r="I824" s="37" t="s">
        <v>81</v>
      </c>
      <c r="J824" s="37" t="s">
        <v>82</v>
      </c>
      <c r="K824" s="37" t="s">
        <v>87</v>
      </c>
      <c r="L824" s="36" t="s">
        <v>84</v>
      </c>
      <c r="M824" s="34">
        <v>165.08</v>
      </c>
      <c r="N824" s="34">
        <v>3.08</v>
      </c>
      <c r="O824" s="34">
        <v>162</v>
      </c>
      <c r="P824" s="34">
        <v>100.43</v>
      </c>
      <c r="Q824" s="34">
        <v>-1.38</v>
      </c>
      <c r="R824" s="34">
        <v>-1.59</v>
      </c>
      <c r="S824" s="34">
        <v>-1.59</v>
      </c>
      <c r="T824" s="34">
        <v>-0.55000000000000004</v>
      </c>
      <c r="U824" s="34">
        <v>26.15</v>
      </c>
      <c r="V824" s="34">
        <v>-525</v>
      </c>
      <c r="W824" s="34">
        <v>11.09</v>
      </c>
      <c r="X824" s="34">
        <v>0.02</v>
      </c>
      <c r="Y824" s="35">
        <v>-2.073</v>
      </c>
      <c r="Z824" s="35">
        <v>-2.1124000000000001</v>
      </c>
      <c r="AA824" s="35">
        <v>-3.4074</v>
      </c>
    </row>
    <row r="825" spans="1:27" ht="15.75" hidden="1" customHeight="1" x14ac:dyDescent="0.2">
      <c r="A825" s="2"/>
      <c r="B825" s="31">
        <v>820</v>
      </c>
      <c r="C825" s="36" t="s">
        <v>1883</v>
      </c>
      <c r="D825" s="36" t="s">
        <v>1890</v>
      </c>
      <c r="E825" s="36" t="s">
        <v>1891</v>
      </c>
      <c r="F825" s="36" t="s">
        <v>1926</v>
      </c>
      <c r="G825" s="36" t="s">
        <v>1927</v>
      </c>
      <c r="H825" s="37" t="s">
        <v>80</v>
      </c>
      <c r="I825" s="37" t="s">
        <v>81</v>
      </c>
      <c r="J825" s="37" t="s">
        <v>82</v>
      </c>
      <c r="K825" s="37" t="s">
        <v>87</v>
      </c>
      <c r="L825" s="36" t="s">
        <v>84</v>
      </c>
      <c r="M825" s="34">
        <v>333.39</v>
      </c>
      <c r="N825" s="34">
        <v>153.28</v>
      </c>
      <c r="O825" s="34">
        <v>180.1</v>
      </c>
      <c r="P825" s="34">
        <v>280.77</v>
      </c>
      <c r="Q825" s="34">
        <v>13.22</v>
      </c>
      <c r="R825" s="34">
        <v>10.11</v>
      </c>
      <c r="S825" s="34">
        <v>10.11</v>
      </c>
      <c r="T825" s="34">
        <v>4.46</v>
      </c>
      <c r="U825" s="34">
        <v>55.2</v>
      </c>
      <c r="V825" s="34">
        <v>27.14</v>
      </c>
      <c r="W825" s="34">
        <v>2.19</v>
      </c>
      <c r="X825" s="34">
        <v>0.85</v>
      </c>
      <c r="Y825" s="35">
        <v>4.3628</v>
      </c>
      <c r="Z825" s="35">
        <v>8.0759000000000007</v>
      </c>
      <c r="AA825" s="35">
        <v>5.1803999999999997</v>
      </c>
    </row>
    <row r="826" spans="1:27" ht="15.75" hidden="1" customHeight="1" x14ac:dyDescent="0.2">
      <c r="A826" s="2"/>
      <c r="B826" s="31">
        <v>821</v>
      </c>
      <c r="C826" s="36" t="s">
        <v>1883</v>
      </c>
      <c r="D826" s="36" t="s">
        <v>1890</v>
      </c>
      <c r="E826" s="36" t="s">
        <v>1891</v>
      </c>
      <c r="F826" s="36" t="s">
        <v>1928</v>
      </c>
      <c r="G826" s="36" t="s">
        <v>1929</v>
      </c>
      <c r="H826" s="37" t="s">
        <v>80</v>
      </c>
      <c r="I826" s="37" t="s">
        <v>81</v>
      </c>
      <c r="J826" s="37" t="s">
        <v>82</v>
      </c>
      <c r="K826" s="37" t="s">
        <v>87</v>
      </c>
      <c r="L826" s="36" t="s">
        <v>84</v>
      </c>
      <c r="M826" s="34">
        <v>151.56</v>
      </c>
      <c r="N826" s="34">
        <v>14.9</v>
      </c>
      <c r="O826" s="34">
        <v>136.66</v>
      </c>
      <c r="P826" s="34">
        <v>6.04</v>
      </c>
      <c r="Q826" s="34">
        <v>-1.73</v>
      </c>
      <c r="R826" s="34">
        <v>-1.39</v>
      </c>
      <c r="S826" s="34">
        <v>-1.47</v>
      </c>
      <c r="T826" s="34">
        <v>-6.29</v>
      </c>
      <c r="U826" s="34">
        <v>127.02</v>
      </c>
      <c r="V826" s="34">
        <v>-15.27</v>
      </c>
      <c r="W826" s="34">
        <v>0.76</v>
      </c>
      <c r="X826" s="34">
        <v>0.11</v>
      </c>
      <c r="Y826" s="35">
        <v>-4.4626999999999999</v>
      </c>
      <c r="Z826" s="35">
        <v>-4.9493</v>
      </c>
      <c r="AA826" s="35">
        <v>-111.9383</v>
      </c>
    </row>
    <row r="827" spans="1:27" ht="15.75" hidden="1" customHeight="1" x14ac:dyDescent="0.2">
      <c r="A827" s="2"/>
      <c r="B827" s="31">
        <v>822</v>
      </c>
      <c r="C827" s="36" t="s">
        <v>1883</v>
      </c>
      <c r="D827" s="36" t="s">
        <v>1890</v>
      </c>
      <c r="E827" s="36" t="s">
        <v>1891</v>
      </c>
      <c r="F827" s="36" t="s">
        <v>1930</v>
      </c>
      <c r="G827" s="36" t="s">
        <v>1931</v>
      </c>
      <c r="H827" s="37" t="s">
        <v>80</v>
      </c>
      <c r="I827" s="37" t="s">
        <v>81</v>
      </c>
      <c r="J827" s="37" t="s">
        <v>82</v>
      </c>
      <c r="K827" s="37" t="s">
        <v>87</v>
      </c>
      <c r="L827" s="36" t="s">
        <v>84</v>
      </c>
      <c r="M827" s="34">
        <v>2824.39</v>
      </c>
      <c r="N827" s="34">
        <v>853.13</v>
      </c>
      <c r="O827" s="34">
        <v>1971.26</v>
      </c>
      <c r="P827" s="34">
        <v>2447.98</v>
      </c>
      <c r="Q827" s="34">
        <v>-43.91</v>
      </c>
      <c r="R827" s="34">
        <v>-48.84</v>
      </c>
      <c r="S827" s="34">
        <v>-31.26</v>
      </c>
      <c r="T827" s="34">
        <v>-2.1</v>
      </c>
      <c r="U827" s="34">
        <v>108.26</v>
      </c>
      <c r="V827" s="34">
        <v>-12.4</v>
      </c>
      <c r="W827" s="34">
        <v>0.24</v>
      </c>
      <c r="X827" s="34">
        <v>0.43</v>
      </c>
      <c r="Y827" s="35">
        <v>-1.3514999999999999</v>
      </c>
      <c r="Z827" s="35">
        <v>-1.9363999999999999</v>
      </c>
      <c r="AA827" s="35">
        <v>-1.5592999999999999</v>
      </c>
    </row>
    <row r="828" spans="1:27" ht="15.75" hidden="1" customHeight="1" x14ac:dyDescent="0.2">
      <c r="A828" s="2"/>
      <c r="B828" s="31">
        <v>823</v>
      </c>
      <c r="C828" s="36" t="s">
        <v>1883</v>
      </c>
      <c r="D828" s="36" t="s">
        <v>1884</v>
      </c>
      <c r="E828" s="36" t="s">
        <v>1885</v>
      </c>
      <c r="F828" s="36" t="s">
        <v>1932</v>
      </c>
      <c r="G828" s="36" t="s">
        <v>1933</v>
      </c>
      <c r="H828" s="37" t="s">
        <v>95</v>
      </c>
      <c r="I828" s="37" t="s">
        <v>691</v>
      </c>
      <c r="J828" s="37" t="s">
        <v>82</v>
      </c>
      <c r="K828" s="37" t="s">
        <v>87</v>
      </c>
      <c r="L828" s="36" t="s">
        <v>84</v>
      </c>
      <c r="M828" s="34">
        <v>338.84</v>
      </c>
      <c r="N828" s="34">
        <v>215.44</v>
      </c>
      <c r="O828" s="34">
        <v>123.4</v>
      </c>
      <c r="P828" s="34">
        <v>31.4</v>
      </c>
      <c r="Q828" s="34">
        <v>-1.1299999999999999</v>
      </c>
      <c r="R828" s="34">
        <v>-0.82</v>
      </c>
      <c r="S828" s="34">
        <v>-0.94</v>
      </c>
      <c r="T828" s="34">
        <v>2.5299999999999998</v>
      </c>
      <c r="U828" s="34">
        <v>156.63</v>
      </c>
      <c r="V828" s="34">
        <v>19.73</v>
      </c>
      <c r="W828" s="34">
        <v>0.32</v>
      </c>
      <c r="X828" s="34">
        <v>1.75</v>
      </c>
      <c r="Y828" s="35">
        <v>0.58909999999999996</v>
      </c>
      <c r="Z828" s="35">
        <v>1.6176999999999999</v>
      </c>
      <c r="AA828" s="35">
        <v>6.3578000000000001</v>
      </c>
    </row>
    <row r="829" spans="1:27" ht="15.75" hidden="1" customHeight="1" x14ac:dyDescent="0.2">
      <c r="A829" s="2"/>
      <c r="B829" s="31">
        <v>824</v>
      </c>
      <c r="C829" s="36" t="s">
        <v>1883</v>
      </c>
      <c r="D829" s="36" t="s">
        <v>1890</v>
      </c>
      <c r="E829" s="36" t="s">
        <v>1891</v>
      </c>
      <c r="F829" s="36" t="s">
        <v>1934</v>
      </c>
      <c r="G829" s="36" t="s">
        <v>1935</v>
      </c>
      <c r="H829" s="37" t="s">
        <v>80</v>
      </c>
      <c r="I829" s="37" t="s">
        <v>81</v>
      </c>
      <c r="J829" s="37" t="s">
        <v>82</v>
      </c>
      <c r="K829" s="37" t="s">
        <v>87</v>
      </c>
      <c r="L829" s="36" t="s">
        <v>84</v>
      </c>
      <c r="M829" s="34">
        <v>1964.24</v>
      </c>
      <c r="N829" s="34">
        <v>842.9</v>
      </c>
      <c r="O829" s="34">
        <v>1121.3399999999999</v>
      </c>
      <c r="P829" s="34">
        <v>2472.92</v>
      </c>
      <c r="Q829" s="34">
        <v>-13.19</v>
      </c>
      <c r="R829" s="34">
        <v>-18.690000000000001</v>
      </c>
      <c r="S829" s="34">
        <v>-7.89</v>
      </c>
      <c r="T829" s="34">
        <v>-9.5399999999999991</v>
      </c>
      <c r="U829" s="34">
        <v>1291.96</v>
      </c>
      <c r="V829" s="34">
        <v>-83.32</v>
      </c>
      <c r="W829" s="34">
        <v>0.62</v>
      </c>
      <c r="X829" s="34">
        <v>0.75</v>
      </c>
      <c r="Y829" s="35">
        <v>-0.42159999999999997</v>
      </c>
      <c r="Z829" s="35">
        <v>-0.73850000000000005</v>
      </c>
      <c r="AA829" s="35">
        <v>-0.33489999999999998</v>
      </c>
    </row>
    <row r="830" spans="1:27" ht="15.75" hidden="1" customHeight="1" x14ac:dyDescent="0.2">
      <c r="A830" s="2"/>
      <c r="B830" s="31">
        <v>825</v>
      </c>
      <c r="C830" s="36" t="s">
        <v>1883</v>
      </c>
      <c r="D830" s="36" t="s">
        <v>1884</v>
      </c>
      <c r="E830" s="36" t="s">
        <v>1885</v>
      </c>
      <c r="F830" s="36" t="s">
        <v>1936</v>
      </c>
      <c r="G830" s="36" t="s">
        <v>1937</v>
      </c>
      <c r="H830" s="37" t="s">
        <v>80</v>
      </c>
      <c r="I830" s="37" t="s">
        <v>81</v>
      </c>
      <c r="J830" s="37" t="s">
        <v>82</v>
      </c>
      <c r="K830" s="37" t="s">
        <v>87</v>
      </c>
      <c r="L830" s="36" t="s">
        <v>84</v>
      </c>
      <c r="M830" s="34">
        <v>3274.46</v>
      </c>
      <c r="N830" s="34">
        <v>2650.84</v>
      </c>
      <c r="O830" s="34">
        <v>623.61</v>
      </c>
      <c r="P830" s="34">
        <v>1689.02</v>
      </c>
      <c r="Q830" s="34">
        <v>139.80000000000001</v>
      </c>
      <c r="R830" s="34">
        <v>104.54</v>
      </c>
      <c r="S830" s="34">
        <v>104.54</v>
      </c>
      <c r="T830" s="34">
        <v>124.67</v>
      </c>
      <c r="U830" s="34">
        <v>332.59</v>
      </c>
      <c r="V830" s="34">
        <v>1179.0999999999999</v>
      </c>
      <c r="W830" s="34">
        <v>441.98</v>
      </c>
      <c r="X830" s="34">
        <v>4.25</v>
      </c>
      <c r="Y830" s="35">
        <v>7.1388999999999996</v>
      </c>
      <c r="Z830" s="35">
        <v>37.4846</v>
      </c>
      <c r="AA830" s="35">
        <v>13.8399</v>
      </c>
    </row>
    <row r="831" spans="1:27" ht="15.75" hidden="1" customHeight="1" x14ac:dyDescent="0.2">
      <c r="A831" s="2"/>
      <c r="B831" s="31">
        <v>826</v>
      </c>
      <c r="C831" s="36" t="s">
        <v>1883</v>
      </c>
      <c r="D831" s="36" t="s">
        <v>1890</v>
      </c>
      <c r="E831" s="36" t="s">
        <v>1891</v>
      </c>
      <c r="F831" s="36" t="s">
        <v>1938</v>
      </c>
      <c r="G831" s="36" t="s">
        <v>1939</v>
      </c>
      <c r="H831" s="37" t="s">
        <v>80</v>
      </c>
      <c r="I831" s="37" t="s">
        <v>81</v>
      </c>
      <c r="J831" s="37" t="s">
        <v>82</v>
      </c>
      <c r="K831" s="37" t="s">
        <v>87</v>
      </c>
      <c r="L831" s="36" t="s">
        <v>84</v>
      </c>
      <c r="M831" s="34">
        <v>169.93</v>
      </c>
      <c r="N831" s="34">
        <v>19.8</v>
      </c>
      <c r="O831" s="34">
        <v>150.13999999999999</v>
      </c>
      <c r="P831" s="34">
        <v>860.34</v>
      </c>
      <c r="Q831" s="34">
        <v>9</v>
      </c>
      <c r="R831" s="34">
        <v>6.89</v>
      </c>
      <c r="S831" s="34">
        <v>6.89</v>
      </c>
      <c r="T831" s="34">
        <v>10.88</v>
      </c>
      <c r="U831" s="34">
        <v>96.09</v>
      </c>
      <c r="V831" s="34">
        <v>6.8</v>
      </c>
      <c r="W831" s="34">
        <v>0.77</v>
      </c>
      <c r="X831" s="34">
        <v>0.13</v>
      </c>
      <c r="Y831" s="35">
        <v>10.0014</v>
      </c>
      <c r="Z831" s="35">
        <v>11.3201</v>
      </c>
      <c r="AA831" s="35">
        <v>1.9755</v>
      </c>
    </row>
    <row r="832" spans="1:27" ht="15.75" hidden="1" customHeight="1" x14ac:dyDescent="0.2">
      <c r="A832" s="2"/>
      <c r="B832" s="31">
        <v>827</v>
      </c>
      <c r="C832" s="36" t="s">
        <v>1883</v>
      </c>
      <c r="D832" s="36" t="s">
        <v>1890</v>
      </c>
      <c r="E832" s="36" t="s">
        <v>1891</v>
      </c>
      <c r="F832" s="36" t="s">
        <v>1940</v>
      </c>
      <c r="G832" s="36" t="s">
        <v>1941</v>
      </c>
      <c r="H832" s="37" t="s">
        <v>80</v>
      </c>
      <c r="I832" s="37" t="s">
        <v>81</v>
      </c>
      <c r="J832" s="37" t="s">
        <v>82</v>
      </c>
      <c r="K832" s="37" t="s">
        <v>87</v>
      </c>
      <c r="L832" s="36" t="s">
        <v>84</v>
      </c>
      <c r="M832" s="34">
        <v>1404.39</v>
      </c>
      <c r="N832" s="34">
        <v>661.21</v>
      </c>
      <c r="O832" s="34">
        <v>743.19</v>
      </c>
      <c r="P832" s="34">
        <v>2135.46</v>
      </c>
      <c r="Q832" s="34">
        <v>-4.13</v>
      </c>
      <c r="R832" s="34">
        <v>-9.67</v>
      </c>
      <c r="S832" s="34">
        <v>-3.84</v>
      </c>
      <c r="T832" s="34">
        <v>-9.68</v>
      </c>
      <c r="U832" s="34">
        <v>1114.78</v>
      </c>
      <c r="V832" s="34">
        <v>-174.59</v>
      </c>
      <c r="W832" s="34">
        <v>1.52</v>
      </c>
      <c r="X832" s="34">
        <v>0.89</v>
      </c>
      <c r="Y832" s="35">
        <v>-0.45950000000000002</v>
      </c>
      <c r="Z832" s="35">
        <v>-0.86829999999999996</v>
      </c>
      <c r="AA832" s="35">
        <v>-0.30220000000000002</v>
      </c>
    </row>
    <row r="833" spans="1:27" ht="15.75" hidden="1" customHeight="1" x14ac:dyDescent="0.2">
      <c r="A833" s="2"/>
      <c r="B833" s="31">
        <v>828</v>
      </c>
      <c r="C833" s="36" t="s">
        <v>1883</v>
      </c>
      <c r="D833" s="36" t="s">
        <v>1890</v>
      </c>
      <c r="E833" s="36" t="s">
        <v>1891</v>
      </c>
      <c r="F833" s="36" t="s">
        <v>1942</v>
      </c>
      <c r="G833" s="36" t="s">
        <v>1943</v>
      </c>
      <c r="H833" s="37" t="s">
        <v>95</v>
      </c>
      <c r="I833" s="37" t="s">
        <v>81</v>
      </c>
      <c r="J833" s="37" t="s">
        <v>82</v>
      </c>
      <c r="K833" s="37" t="s">
        <v>87</v>
      </c>
      <c r="L833" s="36" t="s">
        <v>84</v>
      </c>
      <c r="M833" s="34">
        <v>4.8600000000000003</v>
      </c>
      <c r="N833" s="34">
        <v>1.99</v>
      </c>
      <c r="O833" s="34">
        <v>2.87</v>
      </c>
      <c r="P833" s="34">
        <v>0.31</v>
      </c>
      <c r="Q833" s="34">
        <v>-1.93</v>
      </c>
      <c r="R833" s="34">
        <v>-1.93</v>
      </c>
      <c r="S833" s="34">
        <v>-1.93</v>
      </c>
      <c r="T833" s="34">
        <v>-5.58</v>
      </c>
      <c r="U833" s="34">
        <v>3.6</v>
      </c>
      <c r="V833" s="34">
        <v>-145.22</v>
      </c>
      <c r="W833" s="34">
        <v>224.77</v>
      </c>
      <c r="X833" s="34">
        <v>0.69</v>
      </c>
      <c r="Y833" s="35">
        <v>-91.3142</v>
      </c>
      <c r="Z833" s="35">
        <v>-154.7766</v>
      </c>
      <c r="AA833" s="35">
        <v>-1410.3903</v>
      </c>
    </row>
    <row r="834" spans="1:27" ht="15.75" hidden="1" customHeight="1" x14ac:dyDescent="0.2">
      <c r="A834" s="2"/>
      <c r="B834" s="31">
        <v>829</v>
      </c>
      <c r="C834" s="36" t="s">
        <v>1883</v>
      </c>
      <c r="D834" s="36" t="s">
        <v>1922</v>
      </c>
      <c r="E834" s="36" t="s">
        <v>1923</v>
      </c>
      <c r="F834" s="36" t="s">
        <v>1944</v>
      </c>
      <c r="G834" s="36" t="s">
        <v>1945</v>
      </c>
      <c r="H834" s="37" t="s">
        <v>95</v>
      </c>
      <c r="I834" s="37" t="s">
        <v>81</v>
      </c>
      <c r="J834" s="37" t="s">
        <v>82</v>
      </c>
      <c r="K834" s="37" t="s">
        <v>87</v>
      </c>
      <c r="L834" s="36" t="s">
        <v>84</v>
      </c>
      <c r="M834" s="34">
        <v>88.41</v>
      </c>
      <c r="N834" s="34">
        <v>22.59</v>
      </c>
      <c r="O834" s="34">
        <v>65.819999999999993</v>
      </c>
      <c r="P834" s="34">
        <v>11.83</v>
      </c>
      <c r="Q834" s="34">
        <v>-0.56000000000000005</v>
      </c>
      <c r="R834" s="34">
        <v>-0.56000000000000005</v>
      </c>
      <c r="S834" s="34">
        <v>-0.68</v>
      </c>
      <c r="T834" s="34">
        <v>0.08</v>
      </c>
      <c r="U834" s="34">
        <v>66.92</v>
      </c>
      <c r="V834" s="34">
        <v>1629.57</v>
      </c>
      <c r="W834" s="34">
        <v>1.91</v>
      </c>
      <c r="X834" s="34">
        <v>0.34</v>
      </c>
      <c r="Y834" s="35">
        <v>8.7400000000000005E-2</v>
      </c>
      <c r="Z834" s="35">
        <v>0.1174</v>
      </c>
      <c r="AA834" s="35">
        <v>0.6532</v>
      </c>
    </row>
    <row r="835" spans="1:27" ht="15.75" hidden="1" customHeight="1" x14ac:dyDescent="0.2">
      <c r="A835" s="2"/>
      <c r="B835" s="31">
        <v>830</v>
      </c>
      <c r="C835" s="36" t="s">
        <v>1883</v>
      </c>
      <c r="D835" s="36" t="s">
        <v>1922</v>
      </c>
      <c r="E835" s="36" t="s">
        <v>1923</v>
      </c>
      <c r="F835" s="36" t="s">
        <v>1946</v>
      </c>
      <c r="G835" s="36" t="s">
        <v>1947</v>
      </c>
      <c r="H835" s="37" t="s">
        <v>95</v>
      </c>
      <c r="I835" s="37" t="s">
        <v>435</v>
      </c>
      <c r="J835" s="37" t="s">
        <v>82</v>
      </c>
      <c r="K835" s="37" t="s">
        <v>87</v>
      </c>
      <c r="L835" s="36" t="s">
        <v>84</v>
      </c>
      <c r="M835" s="34">
        <v>38.15</v>
      </c>
      <c r="N835" s="34">
        <v>7.94</v>
      </c>
      <c r="O835" s="34">
        <v>30.21</v>
      </c>
      <c r="P835" s="34">
        <v>3.66</v>
      </c>
      <c r="Q835" s="34">
        <v>-0.37</v>
      </c>
      <c r="R835" s="34">
        <v>-0.02</v>
      </c>
      <c r="S835" s="34">
        <v>-0.03</v>
      </c>
      <c r="T835" s="34">
        <v>-1.46</v>
      </c>
      <c r="U835" s="34">
        <v>51.65</v>
      </c>
      <c r="V835" s="34">
        <v>-34.950000000000003</v>
      </c>
      <c r="W835" s="34">
        <v>0.99</v>
      </c>
      <c r="X835" s="34">
        <v>0.26</v>
      </c>
      <c r="Y835" s="35">
        <v>-2.2372000000000001</v>
      </c>
      <c r="Z835" s="35">
        <v>-2.8250999999999999</v>
      </c>
      <c r="AA835" s="35">
        <v>-23.345199999999998</v>
      </c>
    </row>
    <row r="836" spans="1:27" ht="15.75" hidden="1" customHeight="1" x14ac:dyDescent="0.2">
      <c r="A836" s="2"/>
      <c r="B836" s="31">
        <v>831</v>
      </c>
      <c r="C836" s="36" t="s">
        <v>1883</v>
      </c>
      <c r="D836" s="36" t="s">
        <v>1884</v>
      </c>
      <c r="E836" s="36" t="s">
        <v>1885</v>
      </c>
      <c r="F836" s="36" t="s">
        <v>1948</v>
      </c>
      <c r="G836" s="36" t="s">
        <v>1949</v>
      </c>
      <c r="H836" s="37" t="s">
        <v>95</v>
      </c>
      <c r="I836" s="37" t="s">
        <v>398</v>
      </c>
      <c r="J836" s="37" t="s">
        <v>82</v>
      </c>
      <c r="K836" s="37" t="s">
        <v>87</v>
      </c>
      <c r="L836" s="36" t="s">
        <v>84</v>
      </c>
      <c r="M836" s="34">
        <v>74.069999999999993</v>
      </c>
      <c r="N836" s="34">
        <v>9.6</v>
      </c>
      <c r="O836" s="34">
        <v>64.47</v>
      </c>
      <c r="P836" s="34">
        <v>0.37</v>
      </c>
      <c r="Q836" s="34">
        <v>-1.28</v>
      </c>
      <c r="R836" s="34">
        <v>-1.21</v>
      </c>
      <c r="S836" s="34">
        <v>-1.19</v>
      </c>
      <c r="T836" s="34">
        <v>1.02</v>
      </c>
      <c r="U836" s="34">
        <v>51.32</v>
      </c>
      <c r="V836" s="34">
        <v>48.85</v>
      </c>
      <c r="W836" s="34">
        <v>0.97</v>
      </c>
      <c r="X836" s="34">
        <v>0.15</v>
      </c>
      <c r="Y836" s="35">
        <v>1.7359</v>
      </c>
      <c r="Z836" s="35">
        <v>1.9944</v>
      </c>
      <c r="AA836" s="35">
        <v>346.76150000000001</v>
      </c>
    </row>
    <row r="837" spans="1:27" ht="15.75" hidden="1" customHeight="1" x14ac:dyDescent="0.2">
      <c r="A837" s="2"/>
      <c r="B837" s="31">
        <v>832</v>
      </c>
      <c r="C837" s="36" t="s">
        <v>1883</v>
      </c>
      <c r="D837" s="36" t="s">
        <v>1890</v>
      </c>
      <c r="E837" s="36" t="s">
        <v>1891</v>
      </c>
      <c r="F837" s="36" t="s">
        <v>1950</v>
      </c>
      <c r="G837" s="36" t="s">
        <v>1951</v>
      </c>
      <c r="H837" s="37" t="s">
        <v>80</v>
      </c>
      <c r="I837" s="37" t="s">
        <v>81</v>
      </c>
      <c r="J837" s="37" t="s">
        <v>82</v>
      </c>
      <c r="K837" s="37" t="s">
        <v>87</v>
      </c>
      <c r="L837" s="36" t="s">
        <v>84</v>
      </c>
      <c r="M837" s="34">
        <v>247.89</v>
      </c>
      <c r="N837" s="34">
        <v>73.36</v>
      </c>
      <c r="O837" s="34">
        <v>174.53</v>
      </c>
      <c r="P837" s="34">
        <v>156.69</v>
      </c>
      <c r="Q837" s="34">
        <v>-4.18</v>
      </c>
      <c r="R837" s="34">
        <v>-4.18</v>
      </c>
      <c r="S837" s="34">
        <v>-4.12</v>
      </c>
      <c r="T837" s="34">
        <v>-4.21</v>
      </c>
      <c r="U837" s="34">
        <v>104.72</v>
      </c>
      <c r="V837" s="34">
        <v>-39.64</v>
      </c>
      <c r="W837" s="34">
        <v>1.59</v>
      </c>
      <c r="X837" s="34">
        <v>0.42</v>
      </c>
      <c r="Y837" s="35">
        <v>-2.8323</v>
      </c>
      <c r="Z837" s="35">
        <v>-4.0228000000000002</v>
      </c>
      <c r="AA837" s="35">
        <v>-4.4808000000000003</v>
      </c>
    </row>
    <row r="838" spans="1:27" ht="15.75" hidden="1" customHeight="1" x14ac:dyDescent="0.2">
      <c r="A838" s="2"/>
      <c r="B838" s="31">
        <v>833</v>
      </c>
      <c r="C838" s="36" t="s">
        <v>1883</v>
      </c>
      <c r="D838" s="36" t="s">
        <v>1890</v>
      </c>
      <c r="E838" s="36" t="s">
        <v>1891</v>
      </c>
      <c r="F838" s="36" t="s">
        <v>1952</v>
      </c>
      <c r="G838" s="36" t="s">
        <v>1953</v>
      </c>
      <c r="H838" s="37" t="s">
        <v>80</v>
      </c>
      <c r="I838" s="37" t="s">
        <v>81</v>
      </c>
      <c r="J838" s="37" t="s">
        <v>82</v>
      </c>
      <c r="K838" s="37" t="s">
        <v>87</v>
      </c>
      <c r="L838" s="36" t="s">
        <v>84</v>
      </c>
      <c r="M838" s="34">
        <v>218.69</v>
      </c>
      <c r="N838" s="34">
        <v>59.12</v>
      </c>
      <c r="O838" s="34">
        <v>159.57</v>
      </c>
      <c r="P838" s="34">
        <v>859.87</v>
      </c>
      <c r="Q838" s="34">
        <v>4.96</v>
      </c>
      <c r="R838" s="34">
        <v>3.73</v>
      </c>
      <c r="S838" s="34">
        <v>3.75</v>
      </c>
      <c r="T838" s="34">
        <v>1.73</v>
      </c>
      <c r="U838" s="34">
        <v>36.47</v>
      </c>
      <c r="V838" s="34">
        <v>58.27</v>
      </c>
      <c r="W838" s="34">
        <v>2.77</v>
      </c>
      <c r="X838" s="34">
        <v>0.37</v>
      </c>
      <c r="Y838" s="35">
        <v>3.4676999999999998</v>
      </c>
      <c r="Z838" s="35">
        <v>4.7526000000000002</v>
      </c>
      <c r="AA838" s="35">
        <v>0.88190000000000002</v>
      </c>
    </row>
    <row r="839" spans="1:27" ht="15.75" hidden="1" customHeight="1" x14ac:dyDescent="0.2">
      <c r="A839" s="2"/>
      <c r="B839" s="31">
        <v>834</v>
      </c>
      <c r="C839" s="36" t="s">
        <v>1883</v>
      </c>
      <c r="D839" s="36" t="s">
        <v>1922</v>
      </c>
      <c r="E839" s="36" t="s">
        <v>1923</v>
      </c>
      <c r="F839" s="36" t="s">
        <v>1954</v>
      </c>
      <c r="G839" s="36" t="s">
        <v>1955</v>
      </c>
      <c r="H839" s="37" t="s">
        <v>80</v>
      </c>
      <c r="I839" s="37" t="s">
        <v>81</v>
      </c>
      <c r="J839" s="37" t="s">
        <v>82</v>
      </c>
      <c r="K839" s="37" t="s">
        <v>87</v>
      </c>
      <c r="L839" s="36" t="s">
        <v>84</v>
      </c>
      <c r="M839" s="34">
        <v>295.33999999999997</v>
      </c>
      <c r="N839" s="34">
        <v>82.77</v>
      </c>
      <c r="O839" s="34">
        <v>212.57</v>
      </c>
      <c r="P839" s="34">
        <v>56.71</v>
      </c>
      <c r="Q839" s="34">
        <v>-6.86</v>
      </c>
      <c r="R839" s="34">
        <v>-6.86</v>
      </c>
      <c r="S839" s="34">
        <v>-6.5</v>
      </c>
      <c r="T839" s="34">
        <v>-2.95</v>
      </c>
      <c r="U839" s="34">
        <v>72.02</v>
      </c>
      <c r="V839" s="34">
        <v>-30.15</v>
      </c>
      <c r="W839" s="34">
        <v>1.24</v>
      </c>
      <c r="X839" s="34">
        <v>0.39</v>
      </c>
      <c r="Y839" s="35">
        <v>-2.9502999999999999</v>
      </c>
      <c r="Z839" s="35">
        <v>-4.0991</v>
      </c>
      <c r="AA839" s="35">
        <v>-15.3635</v>
      </c>
    </row>
    <row r="840" spans="1:27" ht="15.75" hidden="1" customHeight="1" x14ac:dyDescent="0.2">
      <c r="A840" s="2"/>
      <c r="B840" s="31">
        <v>835</v>
      </c>
      <c r="C840" s="36" t="s">
        <v>1883</v>
      </c>
      <c r="D840" s="36" t="s">
        <v>1890</v>
      </c>
      <c r="E840" s="36" t="s">
        <v>1891</v>
      </c>
      <c r="F840" s="36" t="s">
        <v>1956</v>
      </c>
      <c r="G840" s="36" t="s">
        <v>1957</v>
      </c>
      <c r="H840" s="37" t="s">
        <v>80</v>
      </c>
      <c r="I840" s="37" t="s">
        <v>81</v>
      </c>
      <c r="J840" s="37" t="s">
        <v>82</v>
      </c>
      <c r="K840" s="37" t="s">
        <v>87</v>
      </c>
      <c r="L840" s="36" t="s">
        <v>84</v>
      </c>
      <c r="M840" s="34">
        <v>220.73</v>
      </c>
      <c r="N840" s="34">
        <v>121.48</v>
      </c>
      <c r="O840" s="34">
        <v>99.25</v>
      </c>
      <c r="P840" s="34">
        <v>441.44</v>
      </c>
      <c r="Q840" s="34">
        <v>1.63</v>
      </c>
      <c r="R840" s="34">
        <v>1.19</v>
      </c>
      <c r="S840" s="34">
        <v>1.19</v>
      </c>
      <c r="T840" s="34">
        <v>-0.56999999999999995</v>
      </c>
      <c r="U840" s="34">
        <v>49.62</v>
      </c>
      <c r="V840" s="34">
        <v>-129.62</v>
      </c>
      <c r="W840" s="34">
        <v>1.49</v>
      </c>
      <c r="X840" s="34">
        <v>1.22</v>
      </c>
      <c r="Y840" s="35">
        <v>-0.51729999999999998</v>
      </c>
      <c r="Z840" s="35">
        <v>-1.1505000000000001</v>
      </c>
      <c r="AA840" s="35">
        <v>-0.25869999999999999</v>
      </c>
    </row>
    <row r="841" spans="1:27" ht="15.75" hidden="1" customHeight="1" x14ac:dyDescent="0.2">
      <c r="A841" s="2"/>
      <c r="B841" s="31">
        <v>836</v>
      </c>
      <c r="C841" s="36" t="s">
        <v>1883</v>
      </c>
      <c r="D841" s="36" t="s">
        <v>1922</v>
      </c>
      <c r="E841" s="36" t="s">
        <v>1923</v>
      </c>
      <c r="F841" s="36" t="s">
        <v>1958</v>
      </c>
      <c r="G841" s="36" t="s">
        <v>1959</v>
      </c>
      <c r="H841" s="37" t="s">
        <v>95</v>
      </c>
      <c r="I841" s="37" t="s">
        <v>81</v>
      </c>
      <c r="J841" s="37" t="s">
        <v>82</v>
      </c>
      <c r="K841" s="37" t="s">
        <v>87</v>
      </c>
      <c r="L841" s="36" t="s">
        <v>84</v>
      </c>
      <c r="M841" s="34">
        <v>93.64</v>
      </c>
      <c r="N841" s="34">
        <v>17.98</v>
      </c>
      <c r="O841" s="34">
        <v>75.66</v>
      </c>
      <c r="P841" s="34">
        <v>15.15</v>
      </c>
      <c r="Q841" s="34">
        <v>3.65</v>
      </c>
      <c r="R841" s="34">
        <v>2.94</v>
      </c>
      <c r="S841" s="34">
        <v>2.94</v>
      </c>
      <c r="T841" s="34">
        <v>5.0599999999999996</v>
      </c>
      <c r="U841" s="34">
        <v>72.569999999999993</v>
      </c>
      <c r="V841" s="34">
        <v>42.72</v>
      </c>
      <c r="W841" s="34">
        <v>2.98</v>
      </c>
      <c r="X841" s="34">
        <v>0.24</v>
      </c>
      <c r="Y841" s="35">
        <v>5.6295999999999999</v>
      </c>
      <c r="Z841" s="35">
        <v>6.9675000000000002</v>
      </c>
      <c r="AA841" s="35">
        <v>34.786099999999998</v>
      </c>
    </row>
    <row r="842" spans="1:27" ht="15.75" hidden="1" customHeight="1" x14ac:dyDescent="0.2">
      <c r="A842" s="2"/>
      <c r="B842" s="31">
        <v>837</v>
      </c>
      <c r="C842" s="36" t="s">
        <v>1883</v>
      </c>
      <c r="D842" s="36" t="s">
        <v>1890</v>
      </c>
      <c r="E842" s="36" t="s">
        <v>1891</v>
      </c>
      <c r="F842" s="36" t="s">
        <v>1960</v>
      </c>
      <c r="G842" s="36" t="s">
        <v>1961</v>
      </c>
      <c r="H842" s="37" t="s">
        <v>80</v>
      </c>
      <c r="I842" s="37" t="s">
        <v>81</v>
      </c>
      <c r="J842" s="37" t="s">
        <v>82</v>
      </c>
      <c r="K842" s="37" t="s">
        <v>87</v>
      </c>
      <c r="L842" s="36" t="s">
        <v>84</v>
      </c>
      <c r="M842" s="34">
        <v>5257.73</v>
      </c>
      <c r="N842" s="34">
        <v>3058.91</v>
      </c>
      <c r="O842" s="34">
        <v>2198.8200000000002</v>
      </c>
      <c r="P842" s="34">
        <v>513.46</v>
      </c>
      <c r="Q842" s="34">
        <v>293.51</v>
      </c>
      <c r="R842" s="34">
        <v>227.78</v>
      </c>
      <c r="S842" s="34">
        <v>227.91</v>
      </c>
      <c r="T842" s="34">
        <v>69.56</v>
      </c>
      <c r="U842" s="34">
        <v>414.2</v>
      </c>
      <c r="V842" s="34">
        <v>40.4</v>
      </c>
      <c r="W842" s="34">
        <v>6.78</v>
      </c>
      <c r="X842" s="34">
        <v>1.39</v>
      </c>
      <c r="Y842" s="35">
        <v>7.0228000000000002</v>
      </c>
      <c r="Z842" s="35">
        <v>16.7925</v>
      </c>
      <c r="AA842" s="35">
        <v>71.911000000000001</v>
      </c>
    </row>
    <row r="843" spans="1:27" ht="15.75" hidden="1" customHeight="1" x14ac:dyDescent="0.2">
      <c r="A843" s="2"/>
      <c r="B843" s="31">
        <v>838</v>
      </c>
      <c r="C843" s="36" t="s">
        <v>1883</v>
      </c>
      <c r="D843" s="36" t="s">
        <v>1922</v>
      </c>
      <c r="E843" s="36" t="s">
        <v>1923</v>
      </c>
      <c r="F843" s="36" t="s">
        <v>1962</v>
      </c>
      <c r="G843" s="36" t="s">
        <v>1963</v>
      </c>
      <c r="H843" s="37" t="s">
        <v>80</v>
      </c>
      <c r="I843" s="37" t="s">
        <v>81</v>
      </c>
      <c r="J843" s="37" t="s">
        <v>82</v>
      </c>
      <c r="K843" s="37" t="s">
        <v>87</v>
      </c>
      <c r="L843" s="36" t="s">
        <v>84</v>
      </c>
      <c r="M843" s="34">
        <v>1451.56</v>
      </c>
      <c r="N843" s="34">
        <v>582.4</v>
      </c>
      <c r="O843" s="34">
        <v>869.16</v>
      </c>
      <c r="P843" s="34">
        <v>1284.9000000000001</v>
      </c>
      <c r="Q843" s="34">
        <v>75.55</v>
      </c>
      <c r="R843" s="34">
        <v>56.43</v>
      </c>
      <c r="S843" s="34">
        <v>49.82</v>
      </c>
      <c r="T843" s="34">
        <v>6.6</v>
      </c>
      <c r="U843" s="34">
        <v>72.8</v>
      </c>
      <c r="V843" s="34">
        <v>21.06</v>
      </c>
      <c r="W843" s="34">
        <v>1.91</v>
      </c>
      <c r="X843" s="34">
        <v>0.67</v>
      </c>
      <c r="Y843" s="35">
        <v>5.4272</v>
      </c>
      <c r="Z843" s="35">
        <v>9.0639000000000003</v>
      </c>
      <c r="AA843" s="35">
        <v>6.1311999999999998</v>
      </c>
    </row>
    <row r="844" spans="1:27" ht="15.75" hidden="1" customHeight="1" x14ac:dyDescent="0.2">
      <c r="A844" s="2"/>
      <c r="B844" s="31">
        <v>839</v>
      </c>
      <c r="C844" s="36" t="s">
        <v>1883</v>
      </c>
      <c r="D844" s="36" t="s">
        <v>1964</v>
      </c>
      <c r="E844" s="36" t="s">
        <v>1965</v>
      </c>
      <c r="F844" s="36" t="s">
        <v>1966</v>
      </c>
      <c r="G844" s="36" t="s">
        <v>1967</v>
      </c>
      <c r="H844" s="37" t="s">
        <v>80</v>
      </c>
      <c r="I844" s="37" t="s">
        <v>81</v>
      </c>
      <c r="J844" s="37" t="s">
        <v>82</v>
      </c>
      <c r="K844" s="37" t="s">
        <v>87</v>
      </c>
      <c r="L844" s="36" t="s">
        <v>84</v>
      </c>
      <c r="M844" s="34">
        <v>1150.1600000000001</v>
      </c>
      <c r="N844" s="34">
        <v>618.30999999999995</v>
      </c>
      <c r="O844" s="34">
        <v>531.84</v>
      </c>
      <c r="P844" s="34">
        <v>617.51</v>
      </c>
      <c r="Q844" s="34">
        <v>18.68</v>
      </c>
      <c r="R844" s="34">
        <v>15.4</v>
      </c>
      <c r="S844" s="34">
        <v>14.37</v>
      </c>
      <c r="T844" s="34">
        <v>10.46</v>
      </c>
      <c r="U844" s="34">
        <v>91.07</v>
      </c>
      <c r="V844" s="34">
        <v>12.53</v>
      </c>
      <c r="W844" s="34">
        <v>1.44</v>
      </c>
      <c r="X844" s="34">
        <v>1.1599999999999999</v>
      </c>
      <c r="Y844" s="35">
        <v>5.3101000000000003</v>
      </c>
      <c r="Z844" s="35">
        <v>11.483499999999999</v>
      </c>
      <c r="AA844" s="35">
        <v>9.8903999999999996</v>
      </c>
    </row>
    <row r="845" spans="1:27" ht="15.75" hidden="1" customHeight="1" x14ac:dyDescent="0.2">
      <c r="A845" s="2"/>
      <c r="B845" s="31">
        <v>840</v>
      </c>
      <c r="C845" s="36" t="s">
        <v>1883</v>
      </c>
      <c r="D845" s="36" t="s">
        <v>1968</v>
      </c>
      <c r="E845" s="36" t="s">
        <v>1969</v>
      </c>
      <c r="F845" s="36" t="s">
        <v>1970</v>
      </c>
      <c r="G845" s="36" t="s">
        <v>1971</v>
      </c>
      <c r="H845" s="37" t="s">
        <v>95</v>
      </c>
      <c r="I845" s="37" t="s">
        <v>81</v>
      </c>
      <c r="J845" s="37" t="s">
        <v>82</v>
      </c>
      <c r="K845" s="37" t="s">
        <v>87</v>
      </c>
      <c r="L845" s="36" t="s">
        <v>84</v>
      </c>
      <c r="M845" s="34">
        <v>104.63</v>
      </c>
      <c r="N845" s="34">
        <v>37.69</v>
      </c>
      <c r="O845" s="34">
        <v>66.95</v>
      </c>
      <c r="P845" s="34">
        <v>56.69</v>
      </c>
      <c r="Q845" s="34">
        <v>4.3899999999999997</v>
      </c>
      <c r="R845" s="34">
        <v>3.08</v>
      </c>
      <c r="S845" s="34">
        <v>3.08</v>
      </c>
      <c r="T845" s="34">
        <v>7.37</v>
      </c>
      <c r="U845" s="34">
        <v>83.06</v>
      </c>
      <c r="V845" s="34">
        <v>187.99</v>
      </c>
      <c r="W845" s="34">
        <v>16.670000000000002</v>
      </c>
      <c r="X845" s="34">
        <v>0.56000000000000005</v>
      </c>
      <c r="Y845" s="35">
        <v>5.6753</v>
      </c>
      <c r="Z845" s="35">
        <v>8.8701000000000008</v>
      </c>
      <c r="AA845" s="35">
        <v>10.4742</v>
      </c>
    </row>
    <row r="846" spans="1:27" ht="15.75" hidden="1" customHeight="1" x14ac:dyDescent="0.2">
      <c r="A846" s="2"/>
      <c r="B846" s="31">
        <v>841</v>
      </c>
      <c r="C846" s="36" t="s">
        <v>1883</v>
      </c>
      <c r="D846" s="36" t="s">
        <v>1968</v>
      </c>
      <c r="E846" s="36" t="s">
        <v>1969</v>
      </c>
      <c r="F846" s="36" t="s">
        <v>1972</v>
      </c>
      <c r="G846" s="36" t="s">
        <v>1973</v>
      </c>
      <c r="H846" s="37" t="s">
        <v>80</v>
      </c>
      <c r="I846" s="37" t="s">
        <v>81</v>
      </c>
      <c r="J846" s="37" t="s">
        <v>82</v>
      </c>
      <c r="K846" s="37" t="s">
        <v>87</v>
      </c>
      <c r="L846" s="36" t="s">
        <v>84</v>
      </c>
      <c r="M846" s="34">
        <v>1124.32</v>
      </c>
      <c r="N846" s="34">
        <v>686.21</v>
      </c>
      <c r="O846" s="34">
        <v>438.12</v>
      </c>
      <c r="P846" s="34">
        <v>803.24</v>
      </c>
      <c r="Q846" s="34">
        <v>20.95</v>
      </c>
      <c r="R846" s="34">
        <v>16.829999999999998</v>
      </c>
      <c r="S846" s="34">
        <v>14.49</v>
      </c>
      <c r="T846" s="34">
        <v>44.22</v>
      </c>
      <c r="U846" s="34">
        <v>292.08</v>
      </c>
      <c r="V846" s="34">
        <v>7.55</v>
      </c>
      <c r="W846" s="34">
        <v>1.1399999999999999</v>
      </c>
      <c r="X846" s="34">
        <v>1.57</v>
      </c>
      <c r="Y846" s="35">
        <v>5.8990999999999998</v>
      </c>
      <c r="Z846" s="35">
        <v>15.1387</v>
      </c>
      <c r="AA846" s="35">
        <v>8.2571999999999992</v>
      </c>
    </row>
    <row r="847" spans="1:27" ht="15.75" hidden="1" customHeight="1" x14ac:dyDescent="0.2">
      <c r="A847" s="2"/>
      <c r="B847" s="31">
        <v>842</v>
      </c>
      <c r="C847" s="36" t="s">
        <v>1883</v>
      </c>
      <c r="D847" s="36" t="s">
        <v>1968</v>
      </c>
      <c r="E847" s="36" t="s">
        <v>1969</v>
      </c>
      <c r="F847" s="36" t="s">
        <v>1974</v>
      </c>
      <c r="G847" s="36" t="s">
        <v>1975</v>
      </c>
      <c r="H847" s="37" t="s">
        <v>80</v>
      </c>
      <c r="I847" s="37" t="s">
        <v>81</v>
      </c>
      <c r="J847" s="37" t="s">
        <v>82</v>
      </c>
      <c r="K847" s="37" t="s">
        <v>87</v>
      </c>
      <c r="L847" s="36" t="s">
        <v>84</v>
      </c>
      <c r="M847" s="34">
        <v>180.25</v>
      </c>
      <c r="N847" s="34">
        <v>24.19</v>
      </c>
      <c r="O847" s="34">
        <v>156.06</v>
      </c>
      <c r="P847" s="34">
        <v>29.81</v>
      </c>
      <c r="Q847" s="34">
        <v>0.17</v>
      </c>
      <c r="R847" s="34">
        <v>0.17</v>
      </c>
      <c r="S847" s="34">
        <v>0.16</v>
      </c>
      <c r="T847" s="34">
        <v>0.06</v>
      </c>
      <c r="U847" s="34">
        <v>29.5</v>
      </c>
      <c r="V847" s="34">
        <v>1503.25</v>
      </c>
      <c r="W847" s="34">
        <v>3.12</v>
      </c>
      <c r="X847" s="34">
        <v>0.15</v>
      </c>
      <c r="Y847" s="35">
        <v>0.17960000000000001</v>
      </c>
      <c r="Z847" s="35">
        <v>0.20749999999999999</v>
      </c>
      <c r="AA847" s="35">
        <v>1.0861000000000001</v>
      </c>
    </row>
    <row r="848" spans="1:27" ht="15.75" hidden="1" customHeight="1" x14ac:dyDescent="0.2">
      <c r="A848" s="2"/>
      <c r="B848" s="31">
        <v>843</v>
      </c>
      <c r="C848" s="36" t="s">
        <v>1883</v>
      </c>
      <c r="D848" s="36" t="s">
        <v>1964</v>
      </c>
      <c r="E848" s="36" t="s">
        <v>1965</v>
      </c>
      <c r="F848" s="36" t="s">
        <v>1976</v>
      </c>
      <c r="G848" s="36" t="s">
        <v>1977</v>
      </c>
      <c r="H848" s="37" t="s">
        <v>80</v>
      </c>
      <c r="I848" s="37" t="s">
        <v>81</v>
      </c>
      <c r="J848" s="37" t="s">
        <v>82</v>
      </c>
      <c r="K848" s="37" t="s">
        <v>87</v>
      </c>
      <c r="L848" s="36" t="s">
        <v>84</v>
      </c>
      <c r="M848" s="34">
        <v>150.97999999999999</v>
      </c>
      <c r="N848" s="34">
        <v>22.81</v>
      </c>
      <c r="O848" s="34">
        <v>128.16</v>
      </c>
      <c r="P848" s="34">
        <v>38.75</v>
      </c>
      <c r="Q848" s="34">
        <v>-4.05</v>
      </c>
      <c r="R848" s="34">
        <v>-3.25</v>
      </c>
      <c r="S848" s="34">
        <v>-3.24</v>
      </c>
      <c r="T848" s="34">
        <v>-12.71</v>
      </c>
      <c r="U848" s="34">
        <v>179.06</v>
      </c>
      <c r="V848" s="34">
        <v>-8.73</v>
      </c>
      <c r="W848" s="34">
        <v>0.62</v>
      </c>
      <c r="X848" s="34">
        <v>0.18</v>
      </c>
      <c r="Y848" s="35">
        <v>-6.0259999999999998</v>
      </c>
      <c r="Z848" s="35">
        <v>-7.0987</v>
      </c>
      <c r="AA848" s="35">
        <v>-23.4788</v>
      </c>
    </row>
    <row r="849" spans="1:27" ht="15.75" hidden="1" customHeight="1" x14ac:dyDescent="0.2">
      <c r="A849" s="2"/>
      <c r="B849" s="31">
        <v>844</v>
      </c>
      <c r="C849" s="36" t="s">
        <v>1883</v>
      </c>
      <c r="D849" s="36" t="s">
        <v>1968</v>
      </c>
      <c r="E849" s="36" t="s">
        <v>1969</v>
      </c>
      <c r="F849" s="36" t="s">
        <v>1978</v>
      </c>
      <c r="G849" s="36" t="s">
        <v>1979</v>
      </c>
      <c r="H849" s="37" t="s">
        <v>95</v>
      </c>
      <c r="I849" s="37" t="s">
        <v>81</v>
      </c>
      <c r="J849" s="37" t="s">
        <v>82</v>
      </c>
      <c r="K849" s="37" t="s">
        <v>87</v>
      </c>
      <c r="L849" s="36" t="s">
        <v>84</v>
      </c>
      <c r="M849" s="34">
        <v>39.25</v>
      </c>
      <c r="N849" s="34">
        <v>0.03</v>
      </c>
      <c r="O849" s="34">
        <v>39.21</v>
      </c>
      <c r="P849" s="34">
        <v>0.73</v>
      </c>
      <c r="Q849" s="34">
        <v>-3.79</v>
      </c>
      <c r="R849" s="34">
        <v>-3.79</v>
      </c>
      <c r="S849" s="34">
        <v>-3.79</v>
      </c>
      <c r="T849" s="34">
        <v>-2.62</v>
      </c>
      <c r="U849" s="34">
        <v>27.35</v>
      </c>
      <c r="V849" s="34">
        <v>-21.76</v>
      </c>
      <c r="W849" s="34">
        <v>2.08</v>
      </c>
      <c r="X849" s="34" t="s">
        <v>95</v>
      </c>
      <c r="Y849" s="35">
        <v>-9.5719999999999992</v>
      </c>
      <c r="Z849" s="35">
        <v>-9.58</v>
      </c>
      <c r="AA849" s="35">
        <v>-515.94330000000002</v>
      </c>
    </row>
    <row r="850" spans="1:27" ht="15.75" hidden="1" customHeight="1" x14ac:dyDescent="0.2">
      <c r="A850" s="2"/>
      <c r="B850" s="31">
        <v>845</v>
      </c>
      <c r="C850" s="36" t="s">
        <v>1883</v>
      </c>
      <c r="D850" s="36" t="s">
        <v>1980</v>
      </c>
      <c r="E850" s="36" t="s">
        <v>1981</v>
      </c>
      <c r="F850" s="36" t="s">
        <v>1982</v>
      </c>
      <c r="G850" s="36" t="s">
        <v>1983</v>
      </c>
      <c r="H850" s="37" t="s">
        <v>80</v>
      </c>
      <c r="I850" s="37" t="s">
        <v>81</v>
      </c>
      <c r="J850" s="37" t="s">
        <v>82</v>
      </c>
      <c r="K850" s="37" t="s">
        <v>87</v>
      </c>
      <c r="L850" s="36" t="s">
        <v>84</v>
      </c>
      <c r="M850" s="34">
        <v>2779.09</v>
      </c>
      <c r="N850" s="34">
        <v>787.32</v>
      </c>
      <c r="O850" s="34">
        <v>1991.77</v>
      </c>
      <c r="P850" s="34">
        <v>2071</v>
      </c>
      <c r="Q850" s="34">
        <v>242.71</v>
      </c>
      <c r="R850" s="34">
        <v>196.8</v>
      </c>
      <c r="S850" s="34">
        <v>196.8</v>
      </c>
      <c r="T850" s="34">
        <v>179.57</v>
      </c>
      <c r="U850" s="34">
        <v>634.44000000000005</v>
      </c>
      <c r="V850" s="34">
        <v>8.7200000000000006</v>
      </c>
      <c r="W850" s="34">
        <v>2.4700000000000002</v>
      </c>
      <c r="X850" s="34">
        <v>0.4</v>
      </c>
      <c r="Y850" s="35">
        <v>20.2852</v>
      </c>
      <c r="Z850" s="35">
        <v>28.303699999999999</v>
      </c>
      <c r="AA850" s="35">
        <v>27.220800000000001</v>
      </c>
    </row>
    <row r="851" spans="1:27" ht="15.75" hidden="1" customHeight="1" x14ac:dyDescent="0.2">
      <c r="A851" s="2"/>
      <c r="B851" s="31">
        <v>846</v>
      </c>
      <c r="C851" s="36" t="s">
        <v>1883</v>
      </c>
      <c r="D851" s="36" t="s">
        <v>1964</v>
      </c>
      <c r="E851" s="36" t="s">
        <v>1965</v>
      </c>
      <c r="F851" s="36" t="s">
        <v>1984</v>
      </c>
      <c r="G851" s="36" t="s">
        <v>1985</v>
      </c>
      <c r="H851" s="37" t="s">
        <v>80</v>
      </c>
      <c r="I851" s="37" t="s">
        <v>81</v>
      </c>
      <c r="J851" s="37" t="s">
        <v>82</v>
      </c>
      <c r="K851" s="37" t="s">
        <v>87</v>
      </c>
      <c r="L851" s="36" t="s">
        <v>84</v>
      </c>
      <c r="M851" s="34">
        <v>11926.24</v>
      </c>
      <c r="N851" s="34">
        <v>6146.92</v>
      </c>
      <c r="O851" s="34">
        <v>5779.31</v>
      </c>
      <c r="P851" s="34">
        <v>11675.96</v>
      </c>
      <c r="Q851" s="34">
        <v>520.85</v>
      </c>
      <c r="R851" s="34">
        <v>412.25</v>
      </c>
      <c r="S851" s="34">
        <v>294.3</v>
      </c>
      <c r="T851" s="34">
        <v>61.75</v>
      </c>
      <c r="U851" s="34">
        <v>470.75</v>
      </c>
      <c r="V851" s="34">
        <v>9.7200000000000006</v>
      </c>
      <c r="W851" s="34">
        <v>1.27</v>
      </c>
      <c r="X851" s="34">
        <v>1.06</v>
      </c>
      <c r="Y851" s="35">
        <v>6.3560999999999996</v>
      </c>
      <c r="Z851" s="35">
        <v>13.1166</v>
      </c>
      <c r="AA851" s="35">
        <v>6.4923999999999999</v>
      </c>
    </row>
    <row r="852" spans="1:27" ht="15.75" hidden="1" customHeight="1" x14ac:dyDescent="0.2">
      <c r="A852" s="2"/>
      <c r="B852" s="31">
        <v>847</v>
      </c>
      <c r="C852" s="36" t="s">
        <v>1883</v>
      </c>
      <c r="D852" s="36" t="s">
        <v>1964</v>
      </c>
      <c r="E852" s="36" t="s">
        <v>1965</v>
      </c>
      <c r="F852" s="36" t="s">
        <v>1986</v>
      </c>
      <c r="G852" s="36" t="s">
        <v>1987</v>
      </c>
      <c r="H852" s="37" t="s">
        <v>95</v>
      </c>
      <c r="I852" s="37" t="s">
        <v>81</v>
      </c>
      <c r="J852" s="37" t="s">
        <v>82</v>
      </c>
      <c r="K852" s="37" t="s">
        <v>87</v>
      </c>
      <c r="L852" s="36" t="s">
        <v>84</v>
      </c>
      <c r="M852" s="34">
        <v>35.67</v>
      </c>
      <c r="N852" s="34">
        <v>2.87</v>
      </c>
      <c r="O852" s="34">
        <v>32.81</v>
      </c>
      <c r="P852" s="34">
        <v>1.19</v>
      </c>
      <c r="Q852" s="34">
        <v>-3.56</v>
      </c>
      <c r="R852" s="34">
        <v>-2.79</v>
      </c>
      <c r="S852" s="34">
        <v>-2.79</v>
      </c>
      <c r="T852" s="34">
        <v>-3.08</v>
      </c>
      <c r="U852" s="34">
        <v>15.21</v>
      </c>
      <c r="V852" s="34">
        <v>-100.65</v>
      </c>
      <c r="W852" s="34">
        <v>20.38</v>
      </c>
      <c r="X852" s="34">
        <v>0.09</v>
      </c>
      <c r="Y852" s="35">
        <v>-18.6234</v>
      </c>
      <c r="Z852" s="35">
        <v>-20.251999999999999</v>
      </c>
      <c r="AA852" s="35">
        <v>-560.14329999999995</v>
      </c>
    </row>
    <row r="853" spans="1:27" ht="15.75" hidden="1" customHeight="1" x14ac:dyDescent="0.2">
      <c r="A853" s="2"/>
      <c r="B853" s="31">
        <v>848</v>
      </c>
      <c r="C853" s="36" t="s">
        <v>1883</v>
      </c>
      <c r="D853" s="36" t="s">
        <v>1980</v>
      </c>
      <c r="E853" s="36" t="s">
        <v>1981</v>
      </c>
      <c r="F853" s="36" t="s">
        <v>1988</v>
      </c>
      <c r="G853" s="36" t="s">
        <v>1989</v>
      </c>
      <c r="H853" s="37" t="s">
        <v>80</v>
      </c>
      <c r="I853" s="37" t="s">
        <v>81</v>
      </c>
      <c r="J853" s="37" t="s">
        <v>82</v>
      </c>
      <c r="K853" s="37" t="s">
        <v>87</v>
      </c>
      <c r="L853" s="36" t="s">
        <v>84</v>
      </c>
      <c r="M853" s="34">
        <v>3556.72</v>
      </c>
      <c r="N853" s="34">
        <v>1605.73</v>
      </c>
      <c r="O853" s="34">
        <v>1950.99</v>
      </c>
      <c r="P853" s="34">
        <v>1790.57</v>
      </c>
      <c r="Q853" s="34">
        <v>140.24</v>
      </c>
      <c r="R853" s="34">
        <v>109.4</v>
      </c>
      <c r="S853" s="34">
        <v>109.4</v>
      </c>
      <c r="T853" s="34">
        <v>31.45</v>
      </c>
      <c r="U853" s="34">
        <v>367.12</v>
      </c>
      <c r="V853" s="34">
        <v>13.67</v>
      </c>
      <c r="W853" s="34">
        <v>1.17</v>
      </c>
      <c r="X853" s="34">
        <v>0.82</v>
      </c>
      <c r="Y853" s="35">
        <v>4.6992000000000003</v>
      </c>
      <c r="Z853" s="35">
        <v>8.5668000000000006</v>
      </c>
      <c r="AA853" s="35">
        <v>9.3343000000000007</v>
      </c>
    </row>
    <row r="854" spans="1:27" ht="15.75" hidden="1" customHeight="1" x14ac:dyDescent="0.2">
      <c r="A854" s="2"/>
      <c r="B854" s="31">
        <v>849</v>
      </c>
      <c r="C854" s="36" t="s">
        <v>1883</v>
      </c>
      <c r="D854" s="36" t="s">
        <v>1964</v>
      </c>
      <c r="E854" s="36" t="s">
        <v>1965</v>
      </c>
      <c r="F854" s="36" t="s">
        <v>1990</v>
      </c>
      <c r="G854" s="36" t="s">
        <v>1991</v>
      </c>
      <c r="H854" s="37" t="s">
        <v>80</v>
      </c>
      <c r="I854" s="37" t="s">
        <v>81</v>
      </c>
      <c r="J854" s="37" t="s">
        <v>82</v>
      </c>
      <c r="K854" s="37" t="s">
        <v>87</v>
      </c>
      <c r="L854" s="36" t="s">
        <v>84</v>
      </c>
      <c r="M854" s="34">
        <v>454.93</v>
      </c>
      <c r="N854" s="34">
        <v>156.55000000000001</v>
      </c>
      <c r="O854" s="34">
        <v>298.37</v>
      </c>
      <c r="P854" s="34">
        <v>114.86</v>
      </c>
      <c r="Q854" s="34">
        <v>1.02</v>
      </c>
      <c r="R854" s="34">
        <v>0.4</v>
      </c>
      <c r="S854" s="34">
        <v>0.4</v>
      </c>
      <c r="T854" s="34">
        <v>10.69</v>
      </c>
      <c r="U854" s="34">
        <v>223.78</v>
      </c>
      <c r="V854" s="34">
        <v>14.6</v>
      </c>
      <c r="W854" s="34">
        <v>0.7</v>
      </c>
      <c r="X854" s="34">
        <v>0.52</v>
      </c>
      <c r="Y854" s="35">
        <v>3.1322000000000001</v>
      </c>
      <c r="Z854" s="35">
        <v>4.7755999999999998</v>
      </c>
      <c r="AA854" s="35">
        <v>12.4056</v>
      </c>
    </row>
    <row r="855" spans="1:27" ht="15.75" hidden="1" customHeight="1" x14ac:dyDescent="0.2">
      <c r="A855" s="2"/>
      <c r="B855" s="31">
        <v>850</v>
      </c>
      <c r="C855" s="36" t="s">
        <v>1992</v>
      </c>
      <c r="D855" s="36" t="s">
        <v>1993</v>
      </c>
      <c r="E855" s="36" t="s">
        <v>1994</v>
      </c>
      <c r="F855" s="36" t="s">
        <v>1995</v>
      </c>
      <c r="G855" s="36" t="s">
        <v>1996</v>
      </c>
      <c r="H855" s="37" t="s">
        <v>80</v>
      </c>
      <c r="I855" s="37" t="s">
        <v>81</v>
      </c>
      <c r="J855" s="37" t="s">
        <v>82</v>
      </c>
      <c r="K855" s="37" t="s">
        <v>87</v>
      </c>
      <c r="L855" s="36" t="s">
        <v>84</v>
      </c>
      <c r="M855" s="34">
        <v>2662.4</v>
      </c>
      <c r="N855" s="34">
        <v>905.6</v>
      </c>
      <c r="O855" s="34">
        <v>1756.8</v>
      </c>
      <c r="P855" s="34">
        <v>1540.44</v>
      </c>
      <c r="Q855" s="34">
        <v>465.13</v>
      </c>
      <c r="R855" s="34">
        <v>365.79</v>
      </c>
      <c r="S855" s="34">
        <v>195.9</v>
      </c>
      <c r="T855" s="34">
        <v>186.81</v>
      </c>
      <c r="U855" s="34">
        <v>841.8</v>
      </c>
      <c r="V855" s="34">
        <v>13.86</v>
      </c>
      <c r="W855" s="34">
        <v>3.08</v>
      </c>
      <c r="X855" s="34">
        <v>0.52</v>
      </c>
      <c r="Y855" s="35">
        <v>14.6433</v>
      </c>
      <c r="Z855" s="35">
        <v>22.191600000000001</v>
      </c>
      <c r="AA855" s="35">
        <v>25.308599999999998</v>
      </c>
    </row>
    <row r="856" spans="1:27" ht="15.75" hidden="1" customHeight="1" x14ac:dyDescent="0.2">
      <c r="A856" s="2"/>
      <c r="B856" s="31">
        <v>851</v>
      </c>
      <c r="C856" s="36" t="s">
        <v>1992</v>
      </c>
      <c r="D856" s="36" t="s">
        <v>1997</v>
      </c>
      <c r="E856" s="36" t="s">
        <v>1998</v>
      </c>
      <c r="F856" s="36" t="s">
        <v>1999</v>
      </c>
      <c r="G856" s="36" t="s">
        <v>2000</v>
      </c>
      <c r="H856" s="37" t="s">
        <v>80</v>
      </c>
      <c r="I856" s="37" t="s">
        <v>81</v>
      </c>
      <c r="J856" s="37" t="s">
        <v>82</v>
      </c>
      <c r="K856" s="37" t="s">
        <v>87</v>
      </c>
      <c r="L856" s="36" t="s">
        <v>84</v>
      </c>
      <c r="M856" s="34">
        <v>24120.85</v>
      </c>
      <c r="N856" s="34">
        <v>9071.56</v>
      </c>
      <c r="O856" s="34">
        <v>15049.29</v>
      </c>
      <c r="P856" s="34">
        <v>2192.09</v>
      </c>
      <c r="Q856" s="34">
        <v>594.12</v>
      </c>
      <c r="R856" s="34">
        <v>472.44</v>
      </c>
      <c r="S856" s="34">
        <v>528.58000000000004</v>
      </c>
      <c r="T856" s="34">
        <v>166.06</v>
      </c>
      <c r="U856" s="34">
        <v>2491.7600000000002</v>
      </c>
      <c r="V856" s="34">
        <v>7.74</v>
      </c>
      <c r="W856" s="34">
        <v>0.52</v>
      </c>
      <c r="X856" s="34">
        <v>0.6</v>
      </c>
      <c r="Y856" s="35">
        <v>4.1581000000000001</v>
      </c>
      <c r="Z856" s="35">
        <v>6.6645000000000003</v>
      </c>
      <c r="AA856" s="35">
        <v>45.753599999999999</v>
      </c>
    </row>
    <row r="857" spans="1:27" ht="15.75" hidden="1" customHeight="1" x14ac:dyDescent="0.2">
      <c r="A857" s="2"/>
      <c r="B857" s="31">
        <v>852</v>
      </c>
      <c r="C857" s="36" t="s">
        <v>1992</v>
      </c>
      <c r="D857" s="36" t="s">
        <v>1993</v>
      </c>
      <c r="E857" s="36" t="s">
        <v>1994</v>
      </c>
      <c r="F857" s="36" t="s">
        <v>2001</v>
      </c>
      <c r="G857" s="36" t="s">
        <v>2002</v>
      </c>
      <c r="H857" s="37" t="s">
        <v>95</v>
      </c>
      <c r="I857" s="37" t="s">
        <v>81</v>
      </c>
      <c r="J857" s="37" t="s">
        <v>82</v>
      </c>
      <c r="K857" s="37" t="s">
        <v>104</v>
      </c>
      <c r="L857" s="36" t="s">
        <v>90</v>
      </c>
      <c r="M857" s="34">
        <v>6654.51</v>
      </c>
      <c r="N857" s="34">
        <v>10695.91</v>
      </c>
      <c r="O857" s="34">
        <v>-4041.4</v>
      </c>
      <c r="P857" s="34">
        <v>2904.62</v>
      </c>
      <c r="Q857" s="34">
        <v>161.01</v>
      </c>
      <c r="R857" s="34">
        <v>142.27000000000001</v>
      </c>
      <c r="S857" s="34">
        <v>142.16</v>
      </c>
      <c r="T857" s="34">
        <v>9.5500000000000007</v>
      </c>
      <c r="U857" s="34">
        <v>-107.58</v>
      </c>
      <c r="V857" s="34">
        <v>8.59</v>
      </c>
      <c r="W857" s="34">
        <v>-0.76</v>
      </c>
      <c r="X857" s="34">
        <v>-2.65</v>
      </c>
      <c r="Y857" s="35">
        <v>5.3901000000000003</v>
      </c>
      <c r="Z857" s="35" t="s">
        <v>95</v>
      </c>
      <c r="AA857" s="35">
        <v>12.348800000000001</v>
      </c>
    </row>
    <row r="858" spans="1:27" ht="15.75" hidden="1" customHeight="1" x14ac:dyDescent="0.2">
      <c r="A858" s="2"/>
      <c r="B858" s="31">
        <v>853</v>
      </c>
      <c r="C858" s="36" t="s">
        <v>1992</v>
      </c>
      <c r="D858" s="36" t="s">
        <v>2003</v>
      </c>
      <c r="E858" s="36" t="s">
        <v>2004</v>
      </c>
      <c r="F858" s="36" t="s">
        <v>2005</v>
      </c>
      <c r="G858" s="36" t="s">
        <v>2006</v>
      </c>
      <c r="H858" s="37" t="s">
        <v>80</v>
      </c>
      <c r="I858" s="37" t="s">
        <v>81</v>
      </c>
      <c r="J858" s="37" t="s">
        <v>82</v>
      </c>
      <c r="K858" s="37" t="s">
        <v>87</v>
      </c>
      <c r="L858" s="36" t="s">
        <v>84</v>
      </c>
      <c r="M858" s="34">
        <v>1950.12</v>
      </c>
      <c r="N858" s="34">
        <v>684.41</v>
      </c>
      <c r="O858" s="34">
        <v>1265.71</v>
      </c>
      <c r="P858" s="34">
        <v>415.55</v>
      </c>
      <c r="Q858" s="34">
        <v>138.13999999999999</v>
      </c>
      <c r="R858" s="34">
        <v>113.85</v>
      </c>
      <c r="S858" s="34">
        <v>113.85</v>
      </c>
      <c r="T858" s="34">
        <v>134.94</v>
      </c>
      <c r="U858" s="34">
        <v>696.06</v>
      </c>
      <c r="V858" s="34">
        <v>7.89</v>
      </c>
      <c r="W858" s="34">
        <v>1.53</v>
      </c>
      <c r="X858" s="34">
        <v>0.54</v>
      </c>
      <c r="Y858" s="35">
        <v>12.582599999999999</v>
      </c>
      <c r="Z858" s="35">
        <v>19.386399999999998</v>
      </c>
      <c r="AA858" s="35">
        <v>59.048299999999998</v>
      </c>
    </row>
    <row r="859" spans="1:27" ht="15.75" hidden="1" customHeight="1" x14ac:dyDescent="0.2">
      <c r="A859" s="2"/>
      <c r="B859" s="31">
        <v>854</v>
      </c>
      <c r="C859" s="36" t="s">
        <v>1992</v>
      </c>
      <c r="D859" s="36" t="s">
        <v>2003</v>
      </c>
      <c r="E859" s="36" t="s">
        <v>2004</v>
      </c>
      <c r="F859" s="36" t="s">
        <v>2007</v>
      </c>
      <c r="G859" s="36" t="s">
        <v>2008</v>
      </c>
      <c r="H859" s="37" t="s">
        <v>80</v>
      </c>
      <c r="I859" s="37" t="s">
        <v>81</v>
      </c>
      <c r="J859" s="37" t="s">
        <v>82</v>
      </c>
      <c r="K859" s="37" t="s">
        <v>87</v>
      </c>
      <c r="L859" s="36" t="s">
        <v>84</v>
      </c>
      <c r="M859" s="34">
        <v>1737.53</v>
      </c>
      <c r="N859" s="34">
        <v>358.39</v>
      </c>
      <c r="O859" s="34">
        <v>1379.13</v>
      </c>
      <c r="P859" s="34">
        <v>714</v>
      </c>
      <c r="Q859" s="34">
        <v>115.25</v>
      </c>
      <c r="R859" s="34">
        <v>90.02</v>
      </c>
      <c r="S859" s="34">
        <v>90.02</v>
      </c>
      <c r="T859" s="34">
        <v>33.79</v>
      </c>
      <c r="U859" s="34">
        <v>260.95999999999998</v>
      </c>
      <c r="V859" s="34">
        <v>9.11</v>
      </c>
      <c r="W859" s="34">
        <v>1.18</v>
      </c>
      <c r="X859" s="34">
        <v>0.26</v>
      </c>
      <c r="Y859" s="35">
        <v>10.2788</v>
      </c>
      <c r="Z859" s="35">
        <v>12.9499</v>
      </c>
      <c r="AA859" s="35">
        <v>25.013500000000001</v>
      </c>
    </row>
    <row r="860" spans="1:27" ht="15.75" hidden="1" customHeight="1" x14ac:dyDescent="0.2">
      <c r="A860" s="2"/>
      <c r="B860" s="31">
        <v>855</v>
      </c>
      <c r="C860" s="36" t="s">
        <v>1992</v>
      </c>
      <c r="D860" s="36" t="s">
        <v>1997</v>
      </c>
      <c r="E860" s="36" t="s">
        <v>1998</v>
      </c>
      <c r="F860" s="36" t="s">
        <v>2009</v>
      </c>
      <c r="G860" s="36" t="s">
        <v>2010</v>
      </c>
      <c r="H860" s="37" t="s">
        <v>80</v>
      </c>
      <c r="I860" s="37" t="s">
        <v>81</v>
      </c>
      <c r="J860" s="37" t="s">
        <v>82</v>
      </c>
      <c r="K860" s="37" t="s">
        <v>87</v>
      </c>
      <c r="L860" s="36" t="s">
        <v>84</v>
      </c>
      <c r="M860" s="34">
        <v>145385.88</v>
      </c>
      <c r="N860" s="34">
        <v>87100.2</v>
      </c>
      <c r="O860" s="34">
        <v>58285.69</v>
      </c>
      <c r="P860" s="34">
        <v>12942.07</v>
      </c>
      <c r="Q860" s="34">
        <v>3241.65</v>
      </c>
      <c r="R860" s="34">
        <v>2478.73</v>
      </c>
      <c r="S860" s="34">
        <v>1871.18</v>
      </c>
      <c r="T860" s="34">
        <v>559.36</v>
      </c>
      <c r="U860" s="34">
        <v>8030.69</v>
      </c>
      <c r="V860" s="34">
        <v>6.22</v>
      </c>
      <c r="W860" s="34">
        <v>0.43</v>
      </c>
      <c r="X860" s="34">
        <v>1.49</v>
      </c>
      <c r="Y860" s="35">
        <v>2.7924000000000002</v>
      </c>
      <c r="Z860" s="35">
        <v>6.9652000000000003</v>
      </c>
      <c r="AA860" s="35">
        <v>31.368500000000001</v>
      </c>
    </row>
    <row r="861" spans="1:27" ht="15.75" hidden="1" customHeight="1" x14ac:dyDescent="0.2">
      <c r="A861" s="2"/>
      <c r="B861" s="31">
        <v>856</v>
      </c>
      <c r="C861" s="36" t="s">
        <v>1992</v>
      </c>
      <c r="D861" s="36" t="s">
        <v>2003</v>
      </c>
      <c r="E861" s="36" t="s">
        <v>2004</v>
      </c>
      <c r="F861" s="36" t="s">
        <v>2011</v>
      </c>
      <c r="G861" s="36" t="s">
        <v>2012</v>
      </c>
      <c r="H861" s="37" t="s">
        <v>80</v>
      </c>
      <c r="I861" s="37" t="s">
        <v>81</v>
      </c>
      <c r="J861" s="37" t="s">
        <v>82</v>
      </c>
      <c r="K861" s="37" t="s">
        <v>87</v>
      </c>
      <c r="L861" s="36" t="s">
        <v>84</v>
      </c>
      <c r="M861" s="34">
        <v>240.28</v>
      </c>
      <c r="N861" s="34">
        <v>762.78</v>
      </c>
      <c r="O861" s="34">
        <v>-522.5</v>
      </c>
      <c r="P861" s="34">
        <v>45.58</v>
      </c>
      <c r="Q861" s="34">
        <v>0.34</v>
      </c>
      <c r="R861" s="34">
        <v>0.56000000000000005</v>
      </c>
      <c r="S861" s="34">
        <v>0.55000000000000004</v>
      </c>
      <c r="T861" s="34">
        <v>4.93</v>
      </c>
      <c r="U861" s="34">
        <v>-889.9</v>
      </c>
      <c r="V861" s="34">
        <v>117.73</v>
      </c>
      <c r="W861" s="34">
        <v>-0.65</v>
      </c>
      <c r="X861" s="34">
        <v>-1.46</v>
      </c>
      <c r="Y861" s="35">
        <v>1.2039</v>
      </c>
      <c r="Z861" s="35" t="s">
        <v>95</v>
      </c>
      <c r="AA861" s="35">
        <v>6.3464999999999998</v>
      </c>
    </row>
    <row r="862" spans="1:27" ht="15.75" hidden="1" customHeight="1" x14ac:dyDescent="0.2">
      <c r="A862" s="2"/>
      <c r="B862" s="31">
        <v>857</v>
      </c>
      <c r="C862" s="36" t="s">
        <v>1992</v>
      </c>
      <c r="D862" s="36" t="s">
        <v>1997</v>
      </c>
      <c r="E862" s="36" t="s">
        <v>1998</v>
      </c>
      <c r="F862" s="36" t="s">
        <v>2013</v>
      </c>
      <c r="G862" s="36" t="s">
        <v>2014</v>
      </c>
      <c r="H862" s="37" t="s">
        <v>80</v>
      </c>
      <c r="I862" s="37" t="s">
        <v>81</v>
      </c>
      <c r="J862" s="37" t="s">
        <v>82</v>
      </c>
      <c r="K862" s="37" t="s">
        <v>87</v>
      </c>
      <c r="L862" s="36" t="s">
        <v>84</v>
      </c>
      <c r="M862" s="34">
        <v>4619.83</v>
      </c>
      <c r="N862" s="34">
        <v>529.92999999999995</v>
      </c>
      <c r="O862" s="34">
        <v>4089.9</v>
      </c>
      <c r="P862" s="34">
        <v>144.05000000000001</v>
      </c>
      <c r="Q862" s="34">
        <v>60.75</v>
      </c>
      <c r="R862" s="34">
        <v>55.15</v>
      </c>
      <c r="S862" s="34">
        <v>50.82</v>
      </c>
      <c r="T862" s="34">
        <v>16.64</v>
      </c>
      <c r="U862" s="34">
        <v>228.62</v>
      </c>
      <c r="V862" s="34">
        <v>14.31</v>
      </c>
      <c r="W862" s="34">
        <v>1.04</v>
      </c>
      <c r="X862" s="34">
        <v>0.13</v>
      </c>
      <c r="Y862" s="35">
        <v>6.3775000000000004</v>
      </c>
      <c r="Z862" s="35">
        <v>7.2038000000000002</v>
      </c>
      <c r="AA862" s="35">
        <v>204.52690000000001</v>
      </c>
    </row>
    <row r="863" spans="1:27" ht="15.75" hidden="1" customHeight="1" x14ac:dyDescent="0.2">
      <c r="A863" s="2"/>
      <c r="B863" s="31">
        <v>858</v>
      </c>
      <c r="C863" s="36" t="s">
        <v>1992</v>
      </c>
      <c r="D863" s="36" t="s">
        <v>2003</v>
      </c>
      <c r="E863" s="36" t="s">
        <v>2004</v>
      </c>
      <c r="F863" s="36" t="s">
        <v>2015</v>
      </c>
      <c r="G863" s="36" t="s">
        <v>2016</v>
      </c>
      <c r="H863" s="37" t="s">
        <v>80</v>
      </c>
      <c r="I863" s="37" t="s">
        <v>81</v>
      </c>
      <c r="J863" s="37" t="s">
        <v>82</v>
      </c>
      <c r="K863" s="37" t="s">
        <v>87</v>
      </c>
      <c r="L863" s="36" t="s">
        <v>84</v>
      </c>
      <c r="M863" s="34">
        <v>2289.84</v>
      </c>
      <c r="N863" s="34">
        <v>1188.47</v>
      </c>
      <c r="O863" s="34">
        <v>1101.3800000000001</v>
      </c>
      <c r="P863" s="34">
        <v>590.01</v>
      </c>
      <c r="Q863" s="34">
        <v>88.48</v>
      </c>
      <c r="R863" s="34">
        <v>69.959999999999994</v>
      </c>
      <c r="S863" s="34">
        <v>66.61</v>
      </c>
      <c r="T863" s="34">
        <v>48.22</v>
      </c>
      <c r="U863" s="34">
        <v>391.4</v>
      </c>
      <c r="V863" s="34">
        <v>20.43</v>
      </c>
      <c r="W863" s="34">
        <v>2.52</v>
      </c>
      <c r="X863" s="34">
        <v>1.08</v>
      </c>
      <c r="Y863" s="35">
        <v>5.9260000000000002</v>
      </c>
      <c r="Z863" s="35">
        <v>12.320600000000001</v>
      </c>
      <c r="AA863" s="35">
        <v>22.998899999999999</v>
      </c>
    </row>
    <row r="864" spans="1:27" ht="15.75" hidden="1" customHeight="1" x14ac:dyDescent="0.2">
      <c r="A864" s="2"/>
      <c r="B864" s="31">
        <v>859</v>
      </c>
      <c r="C864" s="36" t="s">
        <v>1992</v>
      </c>
      <c r="D864" s="36" t="s">
        <v>2017</v>
      </c>
      <c r="E864" s="36" t="s">
        <v>2018</v>
      </c>
      <c r="F864" s="36" t="s">
        <v>2019</v>
      </c>
      <c r="G864" s="36" t="s">
        <v>2020</v>
      </c>
      <c r="H864" s="37" t="s">
        <v>80</v>
      </c>
      <c r="I864" s="37" t="s">
        <v>81</v>
      </c>
      <c r="J864" s="37" t="s">
        <v>82</v>
      </c>
      <c r="K864" s="37" t="s">
        <v>87</v>
      </c>
      <c r="L864" s="36" t="s">
        <v>84</v>
      </c>
      <c r="M864" s="34">
        <v>2562.48</v>
      </c>
      <c r="N864" s="34">
        <v>2226.8200000000002</v>
      </c>
      <c r="O864" s="34">
        <v>335.67</v>
      </c>
      <c r="P864" s="34">
        <v>1217.08</v>
      </c>
      <c r="Q864" s="34">
        <v>-22.94</v>
      </c>
      <c r="R864" s="34">
        <v>-22.94</v>
      </c>
      <c r="S864" s="34">
        <v>-31.82</v>
      </c>
      <c r="T864" s="34">
        <v>-25.07</v>
      </c>
      <c r="U864" s="34">
        <v>18.989999999999998</v>
      </c>
      <c r="V864" s="34">
        <v>-5.26</v>
      </c>
      <c r="W864" s="34">
        <v>6.95</v>
      </c>
      <c r="X864" s="34">
        <v>6.63</v>
      </c>
      <c r="Y864" s="35">
        <v>-17.2942</v>
      </c>
      <c r="Z864" s="35">
        <v>-132.02359999999999</v>
      </c>
      <c r="AA864" s="35">
        <v>-36.411900000000003</v>
      </c>
    </row>
    <row r="865" spans="1:27" ht="15.75" hidden="1" customHeight="1" x14ac:dyDescent="0.2">
      <c r="A865" s="2"/>
      <c r="B865" s="31">
        <v>860</v>
      </c>
      <c r="C865" s="36" t="s">
        <v>1992</v>
      </c>
      <c r="D865" s="36" t="s">
        <v>2017</v>
      </c>
      <c r="E865" s="36" t="s">
        <v>2018</v>
      </c>
      <c r="F865" s="36" t="s">
        <v>2021</v>
      </c>
      <c r="G865" s="36" t="s">
        <v>2022</v>
      </c>
      <c r="H865" s="37" t="s">
        <v>80</v>
      </c>
      <c r="I865" s="37" t="s">
        <v>81</v>
      </c>
      <c r="J865" s="37" t="s">
        <v>82</v>
      </c>
      <c r="K865" s="37" t="s">
        <v>87</v>
      </c>
      <c r="L865" s="36" t="s">
        <v>84</v>
      </c>
      <c r="M865" s="34">
        <v>34382.239999999998</v>
      </c>
      <c r="N865" s="34">
        <v>24687.46</v>
      </c>
      <c r="O865" s="34">
        <v>9694.7800000000007</v>
      </c>
      <c r="P865" s="34">
        <v>3812.31</v>
      </c>
      <c r="Q865" s="34">
        <v>24.8</v>
      </c>
      <c r="R865" s="34">
        <v>19.59</v>
      </c>
      <c r="S865" s="34">
        <v>7.54</v>
      </c>
      <c r="T865" s="34">
        <v>29.29</v>
      </c>
      <c r="U865" s="34">
        <v>1153.0999999999999</v>
      </c>
      <c r="V865" s="34">
        <v>9.56</v>
      </c>
      <c r="W865" s="34">
        <v>0.24</v>
      </c>
      <c r="X865" s="34">
        <v>2.5499999999999998</v>
      </c>
      <c r="Y865" s="35">
        <v>0.71630000000000005</v>
      </c>
      <c r="Z865" s="35">
        <v>2.5402</v>
      </c>
      <c r="AA865" s="35">
        <v>6.4598000000000004</v>
      </c>
    </row>
    <row r="866" spans="1:27" ht="15.75" hidden="1" customHeight="1" x14ac:dyDescent="0.2">
      <c r="A866" s="2"/>
      <c r="B866" s="31">
        <v>861</v>
      </c>
      <c r="C866" s="36" t="s">
        <v>1992</v>
      </c>
      <c r="D866" s="36" t="s">
        <v>2017</v>
      </c>
      <c r="E866" s="36" t="s">
        <v>2018</v>
      </c>
      <c r="F866" s="36" t="s">
        <v>2023</v>
      </c>
      <c r="G866" s="36" t="s">
        <v>2024</v>
      </c>
      <c r="H866" s="37" t="s">
        <v>95</v>
      </c>
      <c r="I866" s="37" t="s">
        <v>81</v>
      </c>
      <c r="J866" s="37" t="s">
        <v>82</v>
      </c>
      <c r="K866" s="37" t="s">
        <v>87</v>
      </c>
      <c r="L866" s="36" t="s">
        <v>90</v>
      </c>
      <c r="M866" s="34">
        <v>556.11</v>
      </c>
      <c r="N866" s="34">
        <v>88.21</v>
      </c>
      <c r="O866" s="34">
        <v>467.91</v>
      </c>
      <c r="P866" s="34">
        <v>115.02</v>
      </c>
      <c r="Q866" s="34">
        <v>-17.690000000000001</v>
      </c>
      <c r="R866" s="34">
        <v>-19.95</v>
      </c>
      <c r="S866" s="34">
        <v>-19.91</v>
      </c>
      <c r="T866" s="34">
        <v>-0.51</v>
      </c>
      <c r="U866" s="34">
        <v>74.87</v>
      </c>
      <c r="V866" s="34">
        <v>-130.75</v>
      </c>
      <c r="W866" s="34">
        <v>0.89</v>
      </c>
      <c r="X866" s="34">
        <v>0.19</v>
      </c>
      <c r="Y866" s="35">
        <v>-0.57589999999999997</v>
      </c>
      <c r="Z866" s="35">
        <v>-0.6845</v>
      </c>
      <c r="AA866" s="35">
        <v>-2.7844000000000002</v>
      </c>
    </row>
    <row r="867" spans="1:27" ht="15.75" hidden="1" customHeight="1" x14ac:dyDescent="0.2">
      <c r="A867" s="2"/>
      <c r="B867" s="31">
        <v>862</v>
      </c>
      <c r="C867" s="36" t="s">
        <v>1992</v>
      </c>
      <c r="D867" s="36" t="s">
        <v>2017</v>
      </c>
      <c r="E867" s="36" t="s">
        <v>2018</v>
      </c>
      <c r="F867" s="36" t="s">
        <v>2025</v>
      </c>
      <c r="G867" s="36" t="s">
        <v>2026</v>
      </c>
      <c r="H867" s="37" t="s">
        <v>80</v>
      </c>
      <c r="I867" s="37" t="s">
        <v>81</v>
      </c>
      <c r="J867" s="37" t="s">
        <v>82</v>
      </c>
      <c r="K867" s="37" t="s">
        <v>87</v>
      </c>
      <c r="L867" s="36" t="s">
        <v>84</v>
      </c>
      <c r="M867" s="34">
        <v>1224.8499999999999</v>
      </c>
      <c r="N867" s="34">
        <v>435.07</v>
      </c>
      <c r="O867" s="34">
        <v>789.78</v>
      </c>
      <c r="P867" s="34">
        <v>198.86</v>
      </c>
      <c r="Q867" s="34">
        <v>13.73</v>
      </c>
      <c r="R867" s="34">
        <v>9.0399999999999991</v>
      </c>
      <c r="S867" s="34">
        <v>9.0399999999999991</v>
      </c>
      <c r="T867" s="34">
        <v>-0.92</v>
      </c>
      <c r="U867" s="34">
        <v>165.47</v>
      </c>
      <c r="V867" s="34">
        <v>-187.52</v>
      </c>
      <c r="W867" s="34">
        <v>1.04</v>
      </c>
      <c r="X867" s="34">
        <v>0.55000000000000004</v>
      </c>
      <c r="Y867" s="35">
        <v>-0.3538</v>
      </c>
      <c r="Z867" s="35">
        <v>-0.54879999999999995</v>
      </c>
      <c r="AA867" s="35">
        <v>-2.1795</v>
      </c>
    </row>
    <row r="868" spans="1:27" ht="15.75" hidden="1" customHeight="1" x14ac:dyDescent="0.2">
      <c r="A868" s="2"/>
      <c r="B868" s="31">
        <v>863</v>
      </c>
      <c r="C868" s="36" t="s">
        <v>1992</v>
      </c>
      <c r="D868" s="36" t="s">
        <v>2017</v>
      </c>
      <c r="E868" s="36" t="s">
        <v>2018</v>
      </c>
      <c r="F868" s="36" t="s">
        <v>2027</v>
      </c>
      <c r="G868" s="36" t="s">
        <v>2028</v>
      </c>
      <c r="H868" s="37" t="s">
        <v>80</v>
      </c>
      <c r="I868" s="37" t="s">
        <v>81</v>
      </c>
      <c r="J868" s="37" t="s">
        <v>82</v>
      </c>
      <c r="K868" s="37" t="s">
        <v>87</v>
      </c>
      <c r="L868" s="36" t="s">
        <v>84</v>
      </c>
      <c r="M868" s="34">
        <v>9520.25</v>
      </c>
      <c r="N868" s="34">
        <v>4073.49</v>
      </c>
      <c r="O868" s="34">
        <v>5446.76</v>
      </c>
      <c r="P868" s="34">
        <v>1156.82</v>
      </c>
      <c r="Q868" s="34">
        <v>383.03</v>
      </c>
      <c r="R868" s="34">
        <v>363.09</v>
      </c>
      <c r="S868" s="34">
        <v>359.89</v>
      </c>
      <c r="T868" s="34">
        <v>200.86</v>
      </c>
      <c r="U868" s="34">
        <v>2062.81</v>
      </c>
      <c r="V868" s="34">
        <v>5.3</v>
      </c>
      <c r="W868" s="34">
        <v>0.52</v>
      </c>
      <c r="X868" s="34">
        <v>0.75</v>
      </c>
      <c r="Y868" s="35">
        <v>5.5709</v>
      </c>
      <c r="Z868" s="35">
        <v>9.7371999999999996</v>
      </c>
      <c r="AA868" s="35">
        <v>45.846600000000002</v>
      </c>
    </row>
    <row r="869" spans="1:27" ht="15.75" hidden="1" customHeight="1" x14ac:dyDescent="0.2">
      <c r="A869" s="2"/>
      <c r="B869" s="31">
        <v>864</v>
      </c>
      <c r="C869" s="36" t="s">
        <v>1992</v>
      </c>
      <c r="D869" s="36" t="s">
        <v>2017</v>
      </c>
      <c r="E869" s="36" t="s">
        <v>2018</v>
      </c>
      <c r="F869" s="36" t="s">
        <v>2029</v>
      </c>
      <c r="G869" s="36" t="s">
        <v>2030</v>
      </c>
      <c r="H869" s="37" t="s">
        <v>80</v>
      </c>
      <c r="I869" s="37" t="s">
        <v>81</v>
      </c>
      <c r="J869" s="37" t="s">
        <v>82</v>
      </c>
      <c r="K869" s="37" t="s">
        <v>87</v>
      </c>
      <c r="L869" s="36" t="s">
        <v>84</v>
      </c>
      <c r="M869" s="34">
        <v>1299.42</v>
      </c>
      <c r="N869" s="34">
        <v>594.59</v>
      </c>
      <c r="O869" s="34">
        <v>704.84</v>
      </c>
      <c r="P869" s="34">
        <v>421.83</v>
      </c>
      <c r="Q869" s="34">
        <v>30.56</v>
      </c>
      <c r="R869" s="34">
        <v>22.62</v>
      </c>
      <c r="S869" s="34">
        <v>22.62</v>
      </c>
      <c r="T869" s="34">
        <v>10.9</v>
      </c>
      <c r="U869" s="34">
        <v>127.2</v>
      </c>
      <c r="V869" s="34">
        <v>8.7100000000000009</v>
      </c>
      <c r="W869" s="34">
        <v>0.75</v>
      </c>
      <c r="X869" s="34">
        <v>0.84</v>
      </c>
      <c r="Y869" s="35">
        <v>4.6493000000000002</v>
      </c>
      <c r="Z869" s="35">
        <v>8.5714000000000006</v>
      </c>
      <c r="AA869" s="35">
        <v>14.322100000000001</v>
      </c>
    </row>
    <row r="870" spans="1:27" ht="15.75" hidden="1" customHeight="1" x14ac:dyDescent="0.2">
      <c r="A870" s="2"/>
      <c r="B870" s="31">
        <v>865</v>
      </c>
      <c r="C870" s="36" t="s">
        <v>1992</v>
      </c>
      <c r="D870" s="36" t="s">
        <v>2017</v>
      </c>
      <c r="E870" s="36" t="s">
        <v>2018</v>
      </c>
      <c r="F870" s="36" t="s">
        <v>2031</v>
      </c>
      <c r="G870" s="36" t="s">
        <v>2032</v>
      </c>
      <c r="H870" s="37" t="s">
        <v>95</v>
      </c>
      <c r="I870" s="37" t="s">
        <v>81</v>
      </c>
      <c r="J870" s="37" t="s">
        <v>82</v>
      </c>
      <c r="K870" s="37" t="s">
        <v>87</v>
      </c>
      <c r="L870" s="36" t="s">
        <v>84</v>
      </c>
      <c r="M870" s="34">
        <v>35.82</v>
      </c>
      <c r="N870" s="34">
        <v>5.07</v>
      </c>
      <c r="O870" s="34">
        <v>30.75</v>
      </c>
      <c r="P870" s="34">
        <v>4</v>
      </c>
      <c r="Q870" s="34">
        <v>-0.27</v>
      </c>
      <c r="R870" s="34">
        <v>-0.27</v>
      </c>
      <c r="S870" s="34">
        <v>-0.27</v>
      </c>
      <c r="T870" s="34">
        <v>6.69</v>
      </c>
      <c r="U870" s="34">
        <v>76.89</v>
      </c>
      <c r="V870" s="34">
        <v>10.32</v>
      </c>
      <c r="W870" s="34">
        <v>0.9</v>
      </c>
      <c r="X870" s="34">
        <v>0.16</v>
      </c>
      <c r="Y870" s="35">
        <v>7.4678000000000004</v>
      </c>
      <c r="Z870" s="35">
        <v>8.6982999999999997</v>
      </c>
      <c r="AA870" s="35">
        <v>66.878200000000007</v>
      </c>
    </row>
    <row r="871" spans="1:27" ht="15.75" hidden="1" customHeight="1" x14ac:dyDescent="0.2">
      <c r="A871" s="2"/>
      <c r="B871" s="31">
        <v>866</v>
      </c>
      <c r="C871" s="36" t="s">
        <v>1992</v>
      </c>
      <c r="D871" s="36" t="s">
        <v>2017</v>
      </c>
      <c r="E871" s="36" t="s">
        <v>2018</v>
      </c>
      <c r="F871" s="36" t="s">
        <v>2033</v>
      </c>
      <c r="G871" s="36" t="s">
        <v>2034</v>
      </c>
      <c r="H871" s="37" t="s">
        <v>80</v>
      </c>
      <c r="I871" s="37" t="s">
        <v>81</v>
      </c>
      <c r="J871" s="37" t="s">
        <v>82</v>
      </c>
      <c r="K871" s="37" t="s">
        <v>87</v>
      </c>
      <c r="L871" s="36" t="s">
        <v>84</v>
      </c>
      <c r="M871" s="34">
        <v>1547.52</v>
      </c>
      <c r="N871" s="34">
        <v>866.42</v>
      </c>
      <c r="O871" s="34">
        <v>681.1</v>
      </c>
      <c r="P871" s="34">
        <v>567.5</v>
      </c>
      <c r="Q871" s="34">
        <v>5.13</v>
      </c>
      <c r="R871" s="34">
        <v>2.8</v>
      </c>
      <c r="S871" s="34">
        <v>2.41</v>
      </c>
      <c r="T871" s="34">
        <v>13.2</v>
      </c>
      <c r="U871" s="34">
        <v>340.04</v>
      </c>
      <c r="V871" s="34">
        <v>28.79</v>
      </c>
      <c r="W871" s="34">
        <v>1.1200000000000001</v>
      </c>
      <c r="X871" s="34">
        <v>1.27</v>
      </c>
      <c r="Y871" s="35">
        <v>1.7081999999999999</v>
      </c>
      <c r="Z871" s="35">
        <v>3.8812000000000002</v>
      </c>
      <c r="AA871" s="35">
        <v>4.6580000000000004</v>
      </c>
    </row>
    <row r="872" spans="1:27" ht="15.75" hidden="1" customHeight="1" x14ac:dyDescent="0.2">
      <c r="A872" s="2"/>
      <c r="B872" s="31">
        <v>867</v>
      </c>
      <c r="C872" s="36" t="s">
        <v>1992</v>
      </c>
      <c r="D872" s="36" t="s">
        <v>2017</v>
      </c>
      <c r="E872" s="36" t="s">
        <v>2018</v>
      </c>
      <c r="F872" s="36" t="s">
        <v>2035</v>
      </c>
      <c r="G872" s="36" t="s">
        <v>2036</v>
      </c>
      <c r="H872" s="37" t="s">
        <v>80</v>
      </c>
      <c r="I872" s="37" t="s">
        <v>81</v>
      </c>
      <c r="J872" s="37" t="s">
        <v>82</v>
      </c>
      <c r="K872" s="37" t="s">
        <v>87</v>
      </c>
      <c r="L872" s="36" t="s">
        <v>84</v>
      </c>
      <c r="M872" s="34">
        <v>4150.95</v>
      </c>
      <c r="N872" s="34">
        <v>990.04</v>
      </c>
      <c r="O872" s="34">
        <v>3160.91</v>
      </c>
      <c r="P872" s="34">
        <v>1281.8800000000001</v>
      </c>
      <c r="Q872" s="34">
        <v>5.17</v>
      </c>
      <c r="R872" s="34">
        <v>-15.9</v>
      </c>
      <c r="S872" s="34">
        <v>-16.38</v>
      </c>
      <c r="T872" s="34">
        <v>8.9499999999999993</v>
      </c>
      <c r="U872" s="34">
        <v>193.82</v>
      </c>
      <c r="V872" s="34">
        <v>9.83</v>
      </c>
      <c r="W872" s="34">
        <v>0.45</v>
      </c>
      <c r="X872" s="34">
        <v>0.31</v>
      </c>
      <c r="Y872" s="35">
        <v>3.5181</v>
      </c>
      <c r="Z872" s="35">
        <v>4.62</v>
      </c>
      <c r="AA872" s="35">
        <v>11.392099999999999</v>
      </c>
    </row>
    <row r="873" spans="1:27" ht="15.75" hidden="1" customHeight="1" x14ac:dyDescent="0.2">
      <c r="A873" s="2"/>
      <c r="B873" s="31">
        <v>868</v>
      </c>
      <c r="C873" s="36" t="s">
        <v>1992</v>
      </c>
      <c r="D873" s="36" t="s">
        <v>2017</v>
      </c>
      <c r="E873" s="36" t="s">
        <v>2018</v>
      </c>
      <c r="F873" s="36" t="s">
        <v>2037</v>
      </c>
      <c r="G873" s="36" t="s">
        <v>2038</v>
      </c>
      <c r="H873" s="37" t="s">
        <v>80</v>
      </c>
      <c r="I873" s="37" t="s">
        <v>81</v>
      </c>
      <c r="J873" s="37" t="s">
        <v>82</v>
      </c>
      <c r="K873" s="37" t="s">
        <v>87</v>
      </c>
      <c r="L873" s="36" t="s">
        <v>84</v>
      </c>
      <c r="M873" s="34">
        <v>194.24</v>
      </c>
      <c r="N873" s="34">
        <v>32.03</v>
      </c>
      <c r="O873" s="34">
        <v>162.21</v>
      </c>
      <c r="P873" s="34">
        <v>9.58</v>
      </c>
      <c r="Q873" s="34">
        <v>-17.440000000000001</v>
      </c>
      <c r="R873" s="34">
        <v>-17.690000000000001</v>
      </c>
      <c r="S873" s="34">
        <v>-17.690000000000001</v>
      </c>
      <c r="T873" s="34">
        <v>-4.03</v>
      </c>
      <c r="U873" s="34">
        <v>56.69</v>
      </c>
      <c r="V873" s="34">
        <v>-76.83</v>
      </c>
      <c r="W873" s="34">
        <v>5.47</v>
      </c>
      <c r="X873" s="34">
        <v>0.2</v>
      </c>
      <c r="Y873" s="35">
        <v>-5.9438000000000004</v>
      </c>
      <c r="Z873" s="35">
        <v>-7.1174999999999997</v>
      </c>
      <c r="AA873" s="35">
        <v>-120.5279</v>
      </c>
    </row>
    <row r="874" spans="1:27" ht="15.75" hidden="1" customHeight="1" x14ac:dyDescent="0.2">
      <c r="A874" s="2"/>
      <c r="B874" s="31">
        <v>869</v>
      </c>
      <c r="C874" s="36" t="s">
        <v>1992</v>
      </c>
      <c r="D874" s="36" t="s">
        <v>2017</v>
      </c>
      <c r="E874" s="36" t="s">
        <v>2018</v>
      </c>
      <c r="F874" s="36" t="s">
        <v>2039</v>
      </c>
      <c r="G874" s="36" t="s">
        <v>2040</v>
      </c>
      <c r="H874" s="37" t="s">
        <v>80</v>
      </c>
      <c r="I874" s="37" t="s">
        <v>81</v>
      </c>
      <c r="J874" s="37" t="s">
        <v>82</v>
      </c>
      <c r="K874" s="37" t="s">
        <v>87</v>
      </c>
      <c r="L874" s="36" t="s">
        <v>84</v>
      </c>
      <c r="M874" s="34">
        <v>97.98</v>
      </c>
      <c r="N874" s="34">
        <v>51.9</v>
      </c>
      <c r="O874" s="34">
        <v>46.09</v>
      </c>
      <c r="P874" s="34">
        <v>57.99</v>
      </c>
      <c r="Q874" s="34">
        <v>-58.59</v>
      </c>
      <c r="R874" s="34">
        <v>-60.13</v>
      </c>
      <c r="S874" s="34">
        <v>-60.14</v>
      </c>
      <c r="T874" s="34">
        <v>-35.49</v>
      </c>
      <c r="U874" s="34">
        <v>27.7</v>
      </c>
      <c r="V874" s="34">
        <v>-5.69</v>
      </c>
      <c r="W874" s="34">
        <v>7.29</v>
      </c>
      <c r="X874" s="34">
        <v>1.1299999999999999</v>
      </c>
      <c r="Y874" s="35">
        <v>-60.2607</v>
      </c>
      <c r="Z874" s="35">
        <v>-128.1234</v>
      </c>
      <c r="AA874" s="35">
        <v>-101.82259999999999</v>
      </c>
    </row>
    <row r="875" spans="1:27" ht="15.75" hidden="1" customHeight="1" x14ac:dyDescent="0.2">
      <c r="A875" s="2"/>
      <c r="B875" s="31">
        <v>870</v>
      </c>
      <c r="C875" s="36" t="s">
        <v>1992</v>
      </c>
      <c r="D875" s="36" t="s">
        <v>2017</v>
      </c>
      <c r="E875" s="36" t="s">
        <v>2018</v>
      </c>
      <c r="F875" s="36" t="s">
        <v>2041</v>
      </c>
      <c r="G875" s="36" t="s">
        <v>2042</v>
      </c>
      <c r="H875" s="37" t="s">
        <v>95</v>
      </c>
      <c r="I875" s="37" t="s">
        <v>81</v>
      </c>
      <c r="J875" s="37" t="s">
        <v>82</v>
      </c>
      <c r="K875" s="37" t="s">
        <v>104</v>
      </c>
      <c r="L875" s="36" t="s">
        <v>90</v>
      </c>
      <c r="M875" s="34">
        <v>181.48</v>
      </c>
      <c r="N875" s="34">
        <v>34.26</v>
      </c>
      <c r="O875" s="34">
        <v>147.22999999999999</v>
      </c>
      <c r="P875" s="34">
        <v>25.3</v>
      </c>
      <c r="Q875" s="34">
        <v>-2.4300000000000002</v>
      </c>
      <c r="R875" s="34">
        <v>-2.38</v>
      </c>
      <c r="S875" s="34">
        <v>-2.38</v>
      </c>
      <c r="T875" s="34">
        <v>0.89</v>
      </c>
      <c r="U875" s="34">
        <v>38.619999999999997</v>
      </c>
      <c r="V875" s="34">
        <v>92.59</v>
      </c>
      <c r="W875" s="34">
        <v>2.12</v>
      </c>
      <c r="X875" s="34">
        <v>0.23</v>
      </c>
      <c r="Y875" s="35">
        <v>1.8604000000000001</v>
      </c>
      <c r="Z875" s="35">
        <v>2.2932999999999999</v>
      </c>
      <c r="AA875" s="35">
        <v>13.345599999999999</v>
      </c>
    </row>
    <row r="876" spans="1:27" ht="15.75" hidden="1" customHeight="1" x14ac:dyDescent="0.2">
      <c r="A876" s="2"/>
      <c r="B876" s="31">
        <v>871</v>
      </c>
      <c r="C876" s="36" t="s">
        <v>1992</v>
      </c>
      <c r="D876" s="36" t="s">
        <v>2017</v>
      </c>
      <c r="E876" s="36" t="s">
        <v>2018</v>
      </c>
      <c r="F876" s="36" t="s">
        <v>2043</v>
      </c>
      <c r="G876" s="36" t="s">
        <v>2044</v>
      </c>
      <c r="H876" s="37" t="s">
        <v>95</v>
      </c>
      <c r="I876" s="37" t="s">
        <v>81</v>
      </c>
      <c r="J876" s="37" t="s">
        <v>82</v>
      </c>
      <c r="K876" s="37" t="s">
        <v>87</v>
      </c>
      <c r="L876" s="36" t="s">
        <v>84</v>
      </c>
      <c r="M876" s="34">
        <v>72.3</v>
      </c>
      <c r="N876" s="34">
        <v>31.22</v>
      </c>
      <c r="O876" s="34">
        <v>41.08</v>
      </c>
      <c r="P876" s="34" t="s">
        <v>95</v>
      </c>
      <c r="Q876" s="34">
        <v>-2.5</v>
      </c>
      <c r="R876" s="34">
        <v>-2.64</v>
      </c>
      <c r="S876" s="34">
        <v>-2.64</v>
      </c>
      <c r="T876" s="34">
        <v>-1.7</v>
      </c>
      <c r="U876" s="34">
        <v>19.7</v>
      </c>
      <c r="V876" s="34">
        <v>-25.3</v>
      </c>
      <c r="W876" s="34">
        <v>2.1800000000000002</v>
      </c>
      <c r="X876" s="34">
        <v>0.76</v>
      </c>
      <c r="Y876" s="35">
        <v>-4.9002999999999997</v>
      </c>
      <c r="Z876" s="35">
        <v>-8.6250999999999998</v>
      </c>
      <c r="AA876" s="35" t="s">
        <v>95</v>
      </c>
    </row>
    <row r="877" spans="1:27" ht="15.75" hidden="1" customHeight="1" x14ac:dyDescent="0.2">
      <c r="A877" s="2"/>
      <c r="B877" s="31">
        <v>872</v>
      </c>
      <c r="C877" s="36" t="s">
        <v>1992</v>
      </c>
      <c r="D877" s="36" t="s">
        <v>2017</v>
      </c>
      <c r="E877" s="36" t="s">
        <v>2018</v>
      </c>
      <c r="F877" s="36" t="s">
        <v>2045</v>
      </c>
      <c r="G877" s="36" t="s">
        <v>2046</v>
      </c>
      <c r="H877" s="37" t="s">
        <v>95</v>
      </c>
      <c r="I877" s="37" t="s">
        <v>1683</v>
      </c>
      <c r="J877" s="37" t="s">
        <v>82</v>
      </c>
      <c r="K877" s="37" t="s">
        <v>87</v>
      </c>
      <c r="L877" s="36" t="s">
        <v>84</v>
      </c>
      <c r="M877" s="34">
        <v>134.66999999999999</v>
      </c>
      <c r="N877" s="34">
        <v>207</v>
      </c>
      <c r="O877" s="34">
        <v>-72.33</v>
      </c>
      <c r="P877" s="34">
        <v>5.21</v>
      </c>
      <c r="Q877" s="34">
        <v>-1.26</v>
      </c>
      <c r="R877" s="34">
        <v>-1.26</v>
      </c>
      <c r="S877" s="34">
        <v>-1.27</v>
      </c>
      <c r="T877" s="34">
        <v>-98.98</v>
      </c>
      <c r="U877" s="34">
        <v>-93.93</v>
      </c>
      <c r="V877" s="34">
        <v>-2.4700000000000002</v>
      </c>
      <c r="W877" s="34">
        <v>-2.6</v>
      </c>
      <c r="X877" s="34">
        <v>-2.86</v>
      </c>
      <c r="Y877" s="35">
        <v>-56.591999999999999</v>
      </c>
      <c r="Z877" s="35" t="s">
        <v>95</v>
      </c>
      <c r="AA877" s="35">
        <v>-1463.0003999999999</v>
      </c>
    </row>
    <row r="878" spans="1:27" ht="15.75" hidden="1" customHeight="1" x14ac:dyDescent="0.2">
      <c r="A878" s="2"/>
      <c r="B878" s="31">
        <v>873</v>
      </c>
      <c r="C878" s="36" t="s">
        <v>1992</v>
      </c>
      <c r="D878" s="36" t="s">
        <v>2017</v>
      </c>
      <c r="E878" s="36" t="s">
        <v>2018</v>
      </c>
      <c r="F878" s="36" t="s">
        <v>2047</v>
      </c>
      <c r="G878" s="36" t="s">
        <v>2048</v>
      </c>
      <c r="H878" s="37" t="s">
        <v>80</v>
      </c>
      <c r="I878" s="37" t="s">
        <v>81</v>
      </c>
      <c r="J878" s="37" t="s">
        <v>82</v>
      </c>
      <c r="K878" s="37" t="s">
        <v>87</v>
      </c>
      <c r="L878" s="36" t="s">
        <v>84</v>
      </c>
      <c r="M878" s="34">
        <v>2630.97</v>
      </c>
      <c r="N878" s="34">
        <v>1399.81</v>
      </c>
      <c r="O878" s="34">
        <v>1231.1600000000001</v>
      </c>
      <c r="P878" s="34">
        <v>1704.45</v>
      </c>
      <c r="Q878" s="34">
        <v>76.52</v>
      </c>
      <c r="R878" s="34">
        <v>76.52</v>
      </c>
      <c r="S878" s="34">
        <v>76.52</v>
      </c>
      <c r="T878" s="34">
        <v>39.46</v>
      </c>
      <c r="U878" s="34">
        <v>493.2</v>
      </c>
      <c r="V878" s="34">
        <v>22.94</v>
      </c>
      <c r="W878" s="34">
        <v>1.83</v>
      </c>
      <c r="X878" s="34">
        <v>1.1399999999999999</v>
      </c>
      <c r="Y878" s="35">
        <v>3.7437</v>
      </c>
      <c r="Z878" s="35">
        <v>8.0000999999999998</v>
      </c>
      <c r="AA878" s="35">
        <v>5.7786999999999997</v>
      </c>
    </row>
    <row r="879" spans="1:27" ht="15.75" hidden="1" customHeight="1" x14ac:dyDescent="0.2">
      <c r="A879" s="2"/>
      <c r="B879" s="31">
        <v>874</v>
      </c>
      <c r="C879" s="36" t="s">
        <v>1992</v>
      </c>
      <c r="D879" s="36" t="s">
        <v>2017</v>
      </c>
      <c r="E879" s="36" t="s">
        <v>2018</v>
      </c>
      <c r="F879" s="36" t="s">
        <v>2049</v>
      </c>
      <c r="G879" s="36" t="s">
        <v>2050</v>
      </c>
      <c r="H879" s="37" t="s">
        <v>80</v>
      </c>
      <c r="I879" s="37" t="s">
        <v>81</v>
      </c>
      <c r="J879" s="37" t="s">
        <v>82</v>
      </c>
      <c r="K879" s="37" t="s">
        <v>87</v>
      </c>
      <c r="L879" s="36" t="s">
        <v>84</v>
      </c>
      <c r="M879" s="34">
        <v>1344.78</v>
      </c>
      <c r="N879" s="34">
        <v>637.27</v>
      </c>
      <c r="O879" s="34">
        <v>707.51</v>
      </c>
      <c r="P879" s="34">
        <v>707.26</v>
      </c>
      <c r="Q879" s="34">
        <v>113.71</v>
      </c>
      <c r="R879" s="34">
        <v>96.71</v>
      </c>
      <c r="S879" s="34">
        <v>96.7</v>
      </c>
      <c r="T879" s="34">
        <v>88.82</v>
      </c>
      <c r="U879" s="34">
        <v>235.84</v>
      </c>
      <c r="V879" s="34">
        <v>11.09</v>
      </c>
      <c r="W879" s="34">
        <v>4.18</v>
      </c>
      <c r="X879" s="34">
        <v>0.9</v>
      </c>
      <c r="Y879" s="35">
        <v>19.814599999999999</v>
      </c>
      <c r="Z879" s="35">
        <v>37.661999999999999</v>
      </c>
      <c r="AA879" s="35">
        <v>37.6753</v>
      </c>
    </row>
    <row r="880" spans="1:27" ht="15.75" hidden="1" customHeight="1" x14ac:dyDescent="0.2">
      <c r="A880" s="2"/>
      <c r="B880" s="31">
        <v>875</v>
      </c>
      <c r="C880" s="36" t="s">
        <v>1992</v>
      </c>
      <c r="D880" s="36" t="s">
        <v>2017</v>
      </c>
      <c r="E880" s="36" t="s">
        <v>2018</v>
      </c>
      <c r="F880" s="36" t="s">
        <v>2051</v>
      </c>
      <c r="G880" s="36" t="s">
        <v>2052</v>
      </c>
      <c r="H880" s="37" t="s">
        <v>80</v>
      </c>
      <c r="I880" s="37" t="s">
        <v>81</v>
      </c>
      <c r="J880" s="37" t="s">
        <v>82</v>
      </c>
      <c r="K880" s="37" t="s">
        <v>87</v>
      </c>
      <c r="L880" s="36" t="s">
        <v>84</v>
      </c>
      <c r="M880" s="34">
        <v>7569.88</v>
      </c>
      <c r="N880" s="34">
        <v>3999.91</v>
      </c>
      <c r="O880" s="34">
        <v>3569.96</v>
      </c>
      <c r="P880" s="34">
        <v>1648.42</v>
      </c>
      <c r="Q880" s="34">
        <v>123.08</v>
      </c>
      <c r="R880" s="34">
        <v>75.400000000000006</v>
      </c>
      <c r="S880" s="34">
        <v>4.63</v>
      </c>
      <c r="T880" s="34">
        <v>9.18</v>
      </c>
      <c r="U880" s="34">
        <v>349.17</v>
      </c>
      <c r="V880" s="34">
        <v>10.130000000000001</v>
      </c>
      <c r="W880" s="34">
        <v>0.27</v>
      </c>
      <c r="X880" s="34">
        <v>1.1200000000000001</v>
      </c>
      <c r="Y880" s="35">
        <v>1.2403999999999999</v>
      </c>
      <c r="Z880" s="35">
        <v>2.6301999999999999</v>
      </c>
      <c r="AA880" s="35">
        <v>5.6961000000000004</v>
      </c>
    </row>
    <row r="881" spans="1:27" ht="15.75" hidden="1" customHeight="1" x14ac:dyDescent="0.2">
      <c r="A881" s="2"/>
      <c r="B881" s="31">
        <v>876</v>
      </c>
      <c r="C881" s="36" t="s">
        <v>1992</v>
      </c>
      <c r="D881" s="36" t="s">
        <v>2017</v>
      </c>
      <c r="E881" s="36" t="s">
        <v>2018</v>
      </c>
      <c r="F881" s="36" t="s">
        <v>2053</v>
      </c>
      <c r="G881" s="36" t="s">
        <v>2054</v>
      </c>
      <c r="H881" s="37" t="s">
        <v>95</v>
      </c>
      <c r="I881" s="37" t="s">
        <v>2055</v>
      </c>
      <c r="J881" s="37" t="s">
        <v>82</v>
      </c>
      <c r="K881" s="37" t="s">
        <v>104</v>
      </c>
      <c r="L881" s="36" t="s">
        <v>273</v>
      </c>
      <c r="M881" s="34">
        <v>149.09</v>
      </c>
      <c r="N881" s="34">
        <v>154.91</v>
      </c>
      <c r="O881" s="34">
        <v>-5.81</v>
      </c>
      <c r="P881" s="34">
        <v>43.84</v>
      </c>
      <c r="Q881" s="34">
        <v>-42.25</v>
      </c>
      <c r="R881" s="34">
        <v>-42.25</v>
      </c>
      <c r="S881" s="34">
        <v>-42.25</v>
      </c>
      <c r="T881" s="34">
        <v>-28.17</v>
      </c>
      <c r="U881" s="34">
        <v>-3.87</v>
      </c>
      <c r="V881" s="34">
        <v>-0.56999999999999995</v>
      </c>
      <c r="W881" s="34">
        <v>-4.13</v>
      </c>
      <c r="X881" s="34">
        <v>-26.65</v>
      </c>
      <c r="Y881" s="35">
        <v>-28.337199999999999</v>
      </c>
      <c r="Z881" s="35" t="s">
        <v>95</v>
      </c>
      <c r="AA881" s="35">
        <v>-96.366200000000006</v>
      </c>
    </row>
    <row r="882" spans="1:27" ht="15.75" hidden="1" customHeight="1" x14ac:dyDescent="0.2">
      <c r="A882" s="2"/>
      <c r="B882" s="31">
        <v>877</v>
      </c>
      <c r="C882" s="36" t="s">
        <v>1992</v>
      </c>
      <c r="D882" s="36" t="s">
        <v>2017</v>
      </c>
      <c r="E882" s="36" t="s">
        <v>2018</v>
      </c>
      <c r="F882" s="36" t="s">
        <v>2056</v>
      </c>
      <c r="G882" s="36" t="s">
        <v>2057</v>
      </c>
      <c r="H882" s="37" t="s">
        <v>80</v>
      </c>
      <c r="I882" s="37" t="s">
        <v>81</v>
      </c>
      <c r="J882" s="37" t="s">
        <v>82</v>
      </c>
      <c r="K882" s="37" t="s">
        <v>87</v>
      </c>
      <c r="L882" s="36" t="s">
        <v>84</v>
      </c>
      <c r="M882" s="34">
        <v>55531.72</v>
      </c>
      <c r="N882" s="34">
        <v>40221.620000000003</v>
      </c>
      <c r="O882" s="34">
        <v>15310.09</v>
      </c>
      <c r="P882" s="34">
        <v>6709.18</v>
      </c>
      <c r="Q882" s="34">
        <v>239.2</v>
      </c>
      <c r="R882" s="34">
        <v>51.27</v>
      </c>
      <c r="S882" s="34">
        <v>65.25</v>
      </c>
      <c r="T882" s="34">
        <v>53.86</v>
      </c>
      <c r="U882" s="34">
        <v>2469.41</v>
      </c>
      <c r="V882" s="34">
        <v>7.43</v>
      </c>
      <c r="W882" s="34">
        <v>0.16</v>
      </c>
      <c r="X882" s="34">
        <v>2.63</v>
      </c>
      <c r="Y882" s="35">
        <v>0.60129999999999995</v>
      </c>
      <c r="Z882" s="35">
        <v>2.1808999999999998</v>
      </c>
      <c r="AA882" s="35">
        <v>4.9767999999999999</v>
      </c>
    </row>
    <row r="883" spans="1:27" ht="15.75" hidden="1" customHeight="1" x14ac:dyDescent="0.2">
      <c r="A883" s="2"/>
      <c r="B883" s="31">
        <v>878</v>
      </c>
      <c r="C883" s="36" t="s">
        <v>1992</v>
      </c>
      <c r="D883" s="36" t="s">
        <v>2017</v>
      </c>
      <c r="E883" s="36" t="s">
        <v>2018</v>
      </c>
      <c r="F883" s="36" t="s">
        <v>2058</v>
      </c>
      <c r="G883" s="36" t="s">
        <v>2059</v>
      </c>
      <c r="H883" s="37" t="s">
        <v>80</v>
      </c>
      <c r="I883" s="37" t="s">
        <v>81</v>
      </c>
      <c r="J883" s="37" t="s">
        <v>82</v>
      </c>
      <c r="K883" s="37" t="s">
        <v>87</v>
      </c>
      <c r="L883" s="36" t="s">
        <v>84</v>
      </c>
      <c r="M883" s="34">
        <v>746.85</v>
      </c>
      <c r="N883" s="34">
        <v>99.81</v>
      </c>
      <c r="O883" s="34">
        <v>647.04</v>
      </c>
      <c r="P883" s="34">
        <v>163.22999999999999</v>
      </c>
      <c r="Q883" s="34">
        <v>22.16</v>
      </c>
      <c r="R883" s="34">
        <v>21.57</v>
      </c>
      <c r="S883" s="34">
        <v>21.03</v>
      </c>
      <c r="T883" s="34">
        <v>27.55</v>
      </c>
      <c r="U883" s="34">
        <v>736.8</v>
      </c>
      <c r="V883" s="34">
        <v>33.75</v>
      </c>
      <c r="W883" s="34">
        <v>1.26</v>
      </c>
      <c r="X883" s="34">
        <v>0.15</v>
      </c>
      <c r="Y883" s="35">
        <v>3.24</v>
      </c>
      <c r="Z883" s="35">
        <v>3.7397999999999998</v>
      </c>
      <c r="AA883" s="35">
        <v>14.824299999999999</v>
      </c>
    </row>
    <row r="884" spans="1:27" ht="15.75" hidden="1" customHeight="1" x14ac:dyDescent="0.2">
      <c r="A884" s="2"/>
      <c r="B884" s="31">
        <v>879</v>
      </c>
      <c r="C884" s="36" t="s">
        <v>1992</v>
      </c>
      <c r="D884" s="36" t="s">
        <v>2017</v>
      </c>
      <c r="E884" s="36" t="s">
        <v>2018</v>
      </c>
      <c r="F884" s="36" t="s">
        <v>2060</v>
      </c>
      <c r="G884" s="36" t="s">
        <v>2061</v>
      </c>
      <c r="H884" s="37" t="s">
        <v>80</v>
      </c>
      <c r="I884" s="37" t="s">
        <v>81</v>
      </c>
      <c r="J884" s="37" t="s">
        <v>82</v>
      </c>
      <c r="K884" s="37" t="s">
        <v>87</v>
      </c>
      <c r="L884" s="36" t="s">
        <v>84</v>
      </c>
      <c r="M884" s="34">
        <v>6.73</v>
      </c>
      <c r="N884" s="34">
        <v>1.77</v>
      </c>
      <c r="O884" s="34">
        <v>4.96</v>
      </c>
      <c r="P884" s="34">
        <v>0.43</v>
      </c>
      <c r="Q884" s="34">
        <v>-1.63</v>
      </c>
      <c r="R884" s="34">
        <v>-1.63</v>
      </c>
      <c r="S884" s="34">
        <v>-1.63</v>
      </c>
      <c r="T884" s="34">
        <v>0.12</v>
      </c>
      <c r="U884" s="34">
        <v>3.97</v>
      </c>
      <c r="V884" s="34">
        <v>30517.09</v>
      </c>
      <c r="W884" s="34">
        <v>930.31</v>
      </c>
      <c r="X884" s="34">
        <v>0.36</v>
      </c>
      <c r="Y884" s="35">
        <v>2.2467999999999999</v>
      </c>
      <c r="Z884" s="35">
        <v>3.0485000000000002</v>
      </c>
      <c r="AA884" s="35">
        <v>35.15</v>
      </c>
    </row>
    <row r="885" spans="1:27" ht="15.75" hidden="1" customHeight="1" x14ac:dyDescent="0.2">
      <c r="A885" s="2"/>
      <c r="B885" s="31">
        <v>880</v>
      </c>
      <c r="C885" s="36" t="s">
        <v>1992</v>
      </c>
      <c r="D885" s="36" t="s">
        <v>2017</v>
      </c>
      <c r="E885" s="36" t="s">
        <v>2018</v>
      </c>
      <c r="F885" s="36" t="s">
        <v>2062</v>
      </c>
      <c r="G885" s="36" t="s">
        <v>2063</v>
      </c>
      <c r="H885" s="37" t="s">
        <v>95</v>
      </c>
      <c r="I885" s="37" t="s">
        <v>81</v>
      </c>
      <c r="J885" s="37" t="s">
        <v>82</v>
      </c>
      <c r="K885" s="37" t="s">
        <v>87</v>
      </c>
      <c r="L885" s="36" t="s">
        <v>84</v>
      </c>
      <c r="M885" s="34">
        <v>212.2</v>
      </c>
      <c r="N885" s="34">
        <v>5.08</v>
      </c>
      <c r="O885" s="34">
        <v>207.12</v>
      </c>
      <c r="P885" s="34">
        <v>35.82</v>
      </c>
      <c r="Q885" s="34">
        <v>1.02</v>
      </c>
      <c r="R885" s="34">
        <v>1.02</v>
      </c>
      <c r="S885" s="34">
        <v>1.02</v>
      </c>
      <c r="T885" s="34">
        <v>2.57</v>
      </c>
      <c r="U885" s="34">
        <v>165.3</v>
      </c>
      <c r="V885" s="34">
        <v>75.739999999999995</v>
      </c>
      <c r="W885" s="34">
        <v>1.18</v>
      </c>
      <c r="X885" s="34">
        <v>0.02</v>
      </c>
      <c r="Y885" s="35">
        <v>1.5202</v>
      </c>
      <c r="Z885" s="35">
        <v>1.5575000000000001</v>
      </c>
      <c r="AA885" s="35">
        <v>9.0060000000000002</v>
      </c>
    </row>
    <row r="886" spans="1:27" ht="15.75" hidden="1" customHeight="1" x14ac:dyDescent="0.2">
      <c r="A886" s="2"/>
      <c r="B886" s="31">
        <v>881</v>
      </c>
      <c r="C886" s="36" t="s">
        <v>1992</v>
      </c>
      <c r="D886" s="36" t="s">
        <v>2017</v>
      </c>
      <c r="E886" s="36" t="s">
        <v>2018</v>
      </c>
      <c r="F886" s="36" t="s">
        <v>2064</v>
      </c>
      <c r="G886" s="36" t="s">
        <v>2065</v>
      </c>
      <c r="H886" s="37" t="s">
        <v>80</v>
      </c>
      <c r="I886" s="37" t="s">
        <v>81</v>
      </c>
      <c r="J886" s="37" t="s">
        <v>82</v>
      </c>
      <c r="K886" s="37" t="s">
        <v>87</v>
      </c>
      <c r="L886" s="36" t="s">
        <v>84</v>
      </c>
      <c r="M886" s="34">
        <v>11273.72</v>
      </c>
      <c r="N886" s="34">
        <v>3396.73</v>
      </c>
      <c r="O886" s="34">
        <v>7877</v>
      </c>
      <c r="P886" s="34">
        <v>2111.88</v>
      </c>
      <c r="Q886" s="34">
        <v>4.58</v>
      </c>
      <c r="R886" s="34">
        <v>21.13</v>
      </c>
      <c r="S886" s="34">
        <v>-32.340000000000003</v>
      </c>
      <c r="T886" s="34">
        <v>20.46</v>
      </c>
      <c r="U886" s="34">
        <v>1674.09</v>
      </c>
      <c r="V886" s="34">
        <v>88.23</v>
      </c>
      <c r="W886" s="34">
        <v>1.08</v>
      </c>
      <c r="X886" s="34">
        <v>0.43</v>
      </c>
      <c r="Y886" s="35">
        <v>0.8538</v>
      </c>
      <c r="Z886" s="35">
        <v>1.222</v>
      </c>
      <c r="AA886" s="35">
        <v>4.5579999999999998</v>
      </c>
    </row>
    <row r="887" spans="1:27" ht="15.75" hidden="1" customHeight="1" x14ac:dyDescent="0.2">
      <c r="A887" s="2"/>
      <c r="B887" s="31">
        <v>882</v>
      </c>
      <c r="C887" s="36" t="s">
        <v>1992</v>
      </c>
      <c r="D887" s="36" t="s">
        <v>2017</v>
      </c>
      <c r="E887" s="36" t="s">
        <v>2018</v>
      </c>
      <c r="F887" s="36" t="s">
        <v>2066</v>
      </c>
      <c r="G887" s="36" t="s">
        <v>2067</v>
      </c>
      <c r="H887" s="37" t="s">
        <v>80</v>
      </c>
      <c r="I887" s="37" t="s">
        <v>81</v>
      </c>
      <c r="J887" s="37" t="s">
        <v>82</v>
      </c>
      <c r="K887" s="37" t="s">
        <v>87</v>
      </c>
      <c r="L887" s="36" t="s">
        <v>84</v>
      </c>
      <c r="M887" s="34">
        <v>185.07</v>
      </c>
      <c r="N887" s="34">
        <v>144.94</v>
      </c>
      <c r="O887" s="34">
        <v>40.130000000000003</v>
      </c>
      <c r="P887" s="34">
        <v>14.05</v>
      </c>
      <c r="Q887" s="34">
        <v>-3.99</v>
      </c>
      <c r="R887" s="34">
        <v>-4.3600000000000003</v>
      </c>
      <c r="S887" s="34">
        <v>-4.3600000000000003</v>
      </c>
      <c r="T887" s="34">
        <v>-7.59</v>
      </c>
      <c r="U887" s="34">
        <v>33.44</v>
      </c>
      <c r="V887" s="34">
        <v>-5.93</v>
      </c>
      <c r="W887" s="34">
        <v>1.35</v>
      </c>
      <c r="X887" s="34">
        <v>3.61</v>
      </c>
      <c r="Y887" s="35">
        <v>-4.9198000000000004</v>
      </c>
      <c r="Z887" s="35">
        <v>-22.686699999999998</v>
      </c>
      <c r="AA887" s="35">
        <v>-64.801000000000002</v>
      </c>
    </row>
    <row r="888" spans="1:27" ht="15.75" hidden="1" customHeight="1" x14ac:dyDescent="0.2">
      <c r="A888" s="2"/>
      <c r="B888" s="31">
        <v>883</v>
      </c>
      <c r="C888" s="36" t="s">
        <v>1992</v>
      </c>
      <c r="D888" s="36" t="s">
        <v>2017</v>
      </c>
      <c r="E888" s="36" t="s">
        <v>2018</v>
      </c>
      <c r="F888" s="36" t="s">
        <v>2068</v>
      </c>
      <c r="G888" s="36" t="s">
        <v>2069</v>
      </c>
      <c r="H888" s="37" t="s">
        <v>95</v>
      </c>
      <c r="I888" s="37" t="s">
        <v>338</v>
      </c>
      <c r="J888" s="37" t="s">
        <v>82</v>
      </c>
      <c r="K888" s="37" t="s">
        <v>87</v>
      </c>
      <c r="L888" s="36" t="s">
        <v>84</v>
      </c>
      <c r="M888" s="34">
        <v>1622.1</v>
      </c>
      <c r="N888" s="34">
        <v>1206.52</v>
      </c>
      <c r="O888" s="34">
        <v>415.59</v>
      </c>
      <c r="P888" s="34">
        <v>42</v>
      </c>
      <c r="Q888" s="34">
        <v>-13.28</v>
      </c>
      <c r="R888" s="34">
        <v>-13.28</v>
      </c>
      <c r="S888" s="34">
        <v>-13.28</v>
      </c>
      <c r="T888" s="34">
        <v>-8.5500000000000007</v>
      </c>
      <c r="U888" s="34">
        <v>12.47</v>
      </c>
      <c r="V888" s="34">
        <v>-0.12</v>
      </c>
      <c r="W888" s="34">
        <v>0.08</v>
      </c>
      <c r="X888" s="34">
        <v>2.9</v>
      </c>
      <c r="Y888" s="35">
        <v>-17.568100000000001</v>
      </c>
      <c r="Z888" s="35">
        <v>-68.571200000000005</v>
      </c>
      <c r="AA888" s="35">
        <v>-678.45650000000001</v>
      </c>
    </row>
    <row r="889" spans="1:27" ht="15.75" hidden="1" customHeight="1" x14ac:dyDescent="0.2">
      <c r="A889" s="2"/>
      <c r="B889" s="31">
        <v>884</v>
      </c>
      <c r="C889" s="36" t="s">
        <v>1992</v>
      </c>
      <c r="D889" s="36" t="s">
        <v>2017</v>
      </c>
      <c r="E889" s="36" t="s">
        <v>2018</v>
      </c>
      <c r="F889" s="36" t="s">
        <v>2070</v>
      </c>
      <c r="G889" s="36" t="s">
        <v>2071</v>
      </c>
      <c r="H889" s="37" t="s">
        <v>80</v>
      </c>
      <c r="I889" s="37" t="s">
        <v>81</v>
      </c>
      <c r="J889" s="37" t="s">
        <v>82</v>
      </c>
      <c r="K889" s="37" t="s">
        <v>87</v>
      </c>
      <c r="L889" s="36" t="s">
        <v>84</v>
      </c>
      <c r="M889" s="34">
        <v>3623.33</v>
      </c>
      <c r="N889" s="34">
        <v>2517.2199999999998</v>
      </c>
      <c r="O889" s="34">
        <v>1106.1199999999999</v>
      </c>
      <c r="P889" s="34">
        <v>1675.33</v>
      </c>
      <c r="Q889" s="34">
        <v>174.51</v>
      </c>
      <c r="R889" s="34">
        <v>174.51</v>
      </c>
      <c r="S889" s="34">
        <v>174.49</v>
      </c>
      <c r="T889" s="34">
        <v>95.97</v>
      </c>
      <c r="U889" s="34">
        <v>324.37</v>
      </c>
      <c r="V889" s="34">
        <v>8.8000000000000007</v>
      </c>
      <c r="W889" s="34">
        <v>2.61</v>
      </c>
      <c r="X889" s="34">
        <v>2.2799999999999998</v>
      </c>
      <c r="Y889" s="35">
        <v>9.032</v>
      </c>
      <c r="Z889" s="35">
        <v>29.586500000000001</v>
      </c>
      <c r="AA889" s="35">
        <v>19.534099999999999</v>
      </c>
    </row>
    <row r="890" spans="1:27" ht="15.75" hidden="1" customHeight="1" x14ac:dyDescent="0.2">
      <c r="A890" s="2"/>
      <c r="B890" s="31">
        <v>885</v>
      </c>
      <c r="C890" s="36" t="s">
        <v>1992</v>
      </c>
      <c r="D890" s="36" t="s">
        <v>2017</v>
      </c>
      <c r="E890" s="36" t="s">
        <v>2018</v>
      </c>
      <c r="F890" s="36" t="s">
        <v>2072</v>
      </c>
      <c r="G890" s="36" t="s">
        <v>2073</v>
      </c>
      <c r="H890" s="37" t="s">
        <v>80</v>
      </c>
      <c r="I890" s="37" t="s">
        <v>81</v>
      </c>
      <c r="J890" s="37" t="s">
        <v>82</v>
      </c>
      <c r="K890" s="37" t="s">
        <v>87</v>
      </c>
      <c r="L890" s="36" t="s">
        <v>84</v>
      </c>
      <c r="M890" s="34">
        <v>5137.8999999999996</v>
      </c>
      <c r="N890" s="34">
        <v>2533.5700000000002</v>
      </c>
      <c r="O890" s="34">
        <v>2604.33</v>
      </c>
      <c r="P890" s="34">
        <v>907.81</v>
      </c>
      <c r="Q890" s="34">
        <v>0.4</v>
      </c>
      <c r="R890" s="34">
        <v>0.4</v>
      </c>
      <c r="S890" s="34">
        <v>0.42</v>
      </c>
      <c r="T890" s="34">
        <v>5.19</v>
      </c>
      <c r="U890" s="34">
        <v>272.08</v>
      </c>
      <c r="V890" s="34">
        <v>13.48</v>
      </c>
      <c r="W890" s="34">
        <v>0.26</v>
      </c>
      <c r="X890" s="34">
        <v>0.97</v>
      </c>
      <c r="Y890" s="35">
        <v>0.96709999999999996</v>
      </c>
      <c r="Z890" s="35">
        <v>1.9079999999999999</v>
      </c>
      <c r="AA890" s="35">
        <v>5.4736000000000002</v>
      </c>
    </row>
    <row r="891" spans="1:27" ht="15.75" hidden="1" customHeight="1" x14ac:dyDescent="0.2">
      <c r="A891" s="2"/>
      <c r="B891" s="31">
        <v>886</v>
      </c>
      <c r="C891" s="36" t="s">
        <v>1992</v>
      </c>
      <c r="D891" s="36" t="s">
        <v>2017</v>
      </c>
      <c r="E891" s="36" t="s">
        <v>2018</v>
      </c>
      <c r="F891" s="36" t="s">
        <v>2074</v>
      </c>
      <c r="G891" s="36" t="s">
        <v>2075</v>
      </c>
      <c r="H891" s="37" t="s">
        <v>95</v>
      </c>
      <c r="I891" s="37" t="s">
        <v>81</v>
      </c>
      <c r="J891" s="37" t="s">
        <v>82</v>
      </c>
      <c r="K891" s="37" t="s">
        <v>87</v>
      </c>
      <c r="L891" s="36" t="s">
        <v>84</v>
      </c>
      <c r="M891" s="34">
        <v>59039.26</v>
      </c>
      <c r="N891" s="34">
        <v>48875.71</v>
      </c>
      <c r="O891" s="34">
        <v>10163.549999999999</v>
      </c>
      <c r="P891" s="34">
        <v>5858.18</v>
      </c>
      <c r="Q891" s="34">
        <v>-1693.76</v>
      </c>
      <c r="R891" s="34">
        <v>-1707.87</v>
      </c>
      <c r="S891" s="34">
        <v>-1663.28</v>
      </c>
      <c r="T891" s="34">
        <v>-108.68</v>
      </c>
      <c r="U891" s="34">
        <v>254.9</v>
      </c>
      <c r="V891" s="34">
        <v>-1.88</v>
      </c>
      <c r="W891" s="34">
        <v>0.8</v>
      </c>
      <c r="X891" s="34">
        <v>4.8099999999999996</v>
      </c>
      <c r="Y891" s="35">
        <v>-7.3402000000000003</v>
      </c>
      <c r="Z891" s="35">
        <v>-42.638599999999997</v>
      </c>
      <c r="AA891" s="35">
        <v>-73.974999999999994</v>
      </c>
    </row>
    <row r="892" spans="1:27" ht="15.75" hidden="1" customHeight="1" x14ac:dyDescent="0.2">
      <c r="A892" s="2"/>
      <c r="B892" s="31">
        <v>887</v>
      </c>
      <c r="C892" s="36" t="s">
        <v>1992</v>
      </c>
      <c r="D892" s="36" t="s">
        <v>2017</v>
      </c>
      <c r="E892" s="36" t="s">
        <v>2018</v>
      </c>
      <c r="F892" s="36" t="s">
        <v>2076</v>
      </c>
      <c r="G892" s="36" t="s">
        <v>2077</v>
      </c>
      <c r="H892" s="37" t="s">
        <v>95</v>
      </c>
      <c r="I892" s="37" t="s">
        <v>81</v>
      </c>
      <c r="J892" s="37" t="s">
        <v>82</v>
      </c>
      <c r="K892" s="37" t="s">
        <v>87</v>
      </c>
      <c r="L892" s="36" t="s">
        <v>84</v>
      </c>
      <c r="M892" s="34">
        <v>73832.509999999995</v>
      </c>
      <c r="N892" s="34">
        <v>68304.23</v>
      </c>
      <c r="O892" s="34">
        <v>5528.29</v>
      </c>
      <c r="P892" s="34">
        <v>3101.93</v>
      </c>
      <c r="Q892" s="34">
        <v>-2393.34</v>
      </c>
      <c r="R892" s="34">
        <v>-2395.85</v>
      </c>
      <c r="S892" s="34">
        <v>-2140.58</v>
      </c>
      <c r="T892" s="34">
        <v>-89.25</v>
      </c>
      <c r="U892" s="34">
        <v>191.91</v>
      </c>
      <c r="V892" s="34">
        <v>-2.2599999999999998</v>
      </c>
      <c r="W892" s="34">
        <v>1.05</v>
      </c>
      <c r="X892" s="34">
        <v>12.36</v>
      </c>
      <c r="Y892" s="35">
        <v>-3.4821</v>
      </c>
      <c r="Z892" s="35">
        <v>-46.5047</v>
      </c>
      <c r="AA892" s="35">
        <v>-82.880899999999997</v>
      </c>
    </row>
    <row r="893" spans="1:27" ht="15.75" hidden="1" customHeight="1" x14ac:dyDescent="0.2">
      <c r="A893" s="2"/>
      <c r="B893" s="31">
        <v>888</v>
      </c>
      <c r="C893" s="36" t="s">
        <v>1992</v>
      </c>
      <c r="D893" s="36" t="s">
        <v>2078</v>
      </c>
      <c r="E893" s="36" t="s">
        <v>2079</v>
      </c>
      <c r="F893" s="36" t="s">
        <v>2080</v>
      </c>
      <c r="G893" s="36" t="s">
        <v>2081</v>
      </c>
      <c r="H893" s="37" t="s">
        <v>95</v>
      </c>
      <c r="I893" s="37" t="s">
        <v>81</v>
      </c>
      <c r="J893" s="37" t="s">
        <v>82</v>
      </c>
      <c r="K893" s="37" t="s">
        <v>87</v>
      </c>
      <c r="L893" s="36" t="s">
        <v>84</v>
      </c>
      <c r="M893" s="34">
        <v>6166.04</v>
      </c>
      <c r="N893" s="34">
        <v>3690.36</v>
      </c>
      <c r="O893" s="34">
        <v>2475.6799999999998</v>
      </c>
      <c r="P893" s="34">
        <v>608.85</v>
      </c>
      <c r="Q893" s="34">
        <v>103.29</v>
      </c>
      <c r="R893" s="34">
        <v>91.53</v>
      </c>
      <c r="S893" s="34">
        <v>91.53</v>
      </c>
      <c r="T893" s="34">
        <v>40.33</v>
      </c>
      <c r="U893" s="34">
        <v>629.21</v>
      </c>
      <c r="V893" s="34">
        <v>31.74</v>
      </c>
      <c r="W893" s="34">
        <v>2.0299999999999998</v>
      </c>
      <c r="X893" s="34">
        <v>1.49</v>
      </c>
      <c r="Y893" s="35">
        <v>2.5733000000000001</v>
      </c>
      <c r="Z893" s="35">
        <v>6.4090999999999996</v>
      </c>
      <c r="AA893" s="35">
        <v>26.060600000000001</v>
      </c>
    </row>
    <row r="894" spans="1:27" ht="15.75" hidden="1" customHeight="1" x14ac:dyDescent="0.2">
      <c r="A894" s="2"/>
      <c r="B894" s="31">
        <v>889</v>
      </c>
      <c r="C894" s="36" t="s">
        <v>1992</v>
      </c>
      <c r="D894" s="36" t="s">
        <v>2078</v>
      </c>
      <c r="E894" s="36" t="s">
        <v>2079</v>
      </c>
      <c r="F894" s="36" t="s">
        <v>2082</v>
      </c>
      <c r="G894" s="36" t="s">
        <v>2083</v>
      </c>
      <c r="H894" s="37" t="s">
        <v>95</v>
      </c>
      <c r="I894" s="37" t="s">
        <v>2055</v>
      </c>
      <c r="J894" s="37" t="s">
        <v>82</v>
      </c>
      <c r="K894" s="37" t="s">
        <v>104</v>
      </c>
      <c r="L894" s="36" t="s">
        <v>273</v>
      </c>
      <c r="M894" s="34">
        <v>60.73</v>
      </c>
      <c r="N894" s="34">
        <v>6038.76</v>
      </c>
      <c r="O894" s="34">
        <v>-5978.03</v>
      </c>
      <c r="P894" s="34">
        <v>138.16</v>
      </c>
      <c r="Q894" s="34">
        <v>-92.65</v>
      </c>
      <c r="R894" s="34">
        <v>-93.1</v>
      </c>
      <c r="S894" s="34">
        <v>-102.25</v>
      </c>
      <c r="T894" s="34">
        <v>-2.78</v>
      </c>
      <c r="U894" s="34">
        <v>-162.35</v>
      </c>
      <c r="V894" s="34">
        <v>-18.010000000000002</v>
      </c>
      <c r="W894" s="34">
        <v>-0.31</v>
      </c>
      <c r="X894" s="34">
        <v>-1.01</v>
      </c>
      <c r="Y894" s="35">
        <v>-168.37270000000001</v>
      </c>
      <c r="Z894" s="35" t="s">
        <v>95</v>
      </c>
      <c r="AA894" s="35">
        <v>-74.004999999999995</v>
      </c>
    </row>
    <row r="895" spans="1:27" ht="15.75" hidden="1" customHeight="1" x14ac:dyDescent="0.2">
      <c r="A895" s="2"/>
      <c r="B895" s="31">
        <v>890</v>
      </c>
      <c r="C895" s="36" t="s">
        <v>1992</v>
      </c>
      <c r="D895" s="36" t="s">
        <v>2078</v>
      </c>
      <c r="E895" s="36" t="s">
        <v>2079</v>
      </c>
      <c r="F895" s="36" t="s">
        <v>2084</v>
      </c>
      <c r="G895" s="36" t="s">
        <v>2085</v>
      </c>
      <c r="H895" s="37" t="s">
        <v>95</v>
      </c>
      <c r="I895" s="37" t="s">
        <v>81</v>
      </c>
      <c r="J895" s="37" t="s">
        <v>82</v>
      </c>
      <c r="K895" s="37" t="s">
        <v>87</v>
      </c>
      <c r="L895" s="36" t="s">
        <v>84</v>
      </c>
      <c r="M895" s="34">
        <v>27647.94</v>
      </c>
      <c r="N895" s="34">
        <v>24062.38</v>
      </c>
      <c r="O895" s="34">
        <v>3585.56</v>
      </c>
      <c r="P895" s="34">
        <v>1254.42</v>
      </c>
      <c r="Q895" s="34">
        <v>-778.97</v>
      </c>
      <c r="R895" s="34">
        <v>-878.56</v>
      </c>
      <c r="S895" s="34">
        <v>-878.56</v>
      </c>
      <c r="T895" s="34">
        <v>-46.91</v>
      </c>
      <c r="U895" s="34">
        <v>114.98</v>
      </c>
      <c r="V895" s="34">
        <v>-2.58</v>
      </c>
      <c r="W895" s="34">
        <v>1.05</v>
      </c>
      <c r="X895" s="34">
        <v>6.71</v>
      </c>
      <c r="Y895" s="35">
        <v>-5.2912999999999997</v>
      </c>
      <c r="Z895" s="35">
        <v>-40.800600000000003</v>
      </c>
      <c r="AA895" s="35">
        <v>-116.6225</v>
      </c>
    </row>
    <row r="896" spans="1:27" ht="15.75" hidden="1" customHeight="1" x14ac:dyDescent="0.2">
      <c r="A896" s="2"/>
      <c r="B896" s="31">
        <v>891</v>
      </c>
      <c r="C896" s="36" t="s">
        <v>1992</v>
      </c>
      <c r="D896" s="36" t="s">
        <v>2086</v>
      </c>
      <c r="E896" s="36" t="s">
        <v>2087</v>
      </c>
      <c r="F896" s="36" t="s">
        <v>2088</v>
      </c>
      <c r="G896" s="36" t="s">
        <v>2089</v>
      </c>
      <c r="H896" s="37" t="s">
        <v>80</v>
      </c>
      <c r="I896" s="37" t="s">
        <v>375</v>
      </c>
      <c r="J896" s="37" t="s">
        <v>82</v>
      </c>
      <c r="K896" s="37" t="s">
        <v>87</v>
      </c>
      <c r="L896" s="36" t="s">
        <v>84</v>
      </c>
      <c r="M896" s="34">
        <v>473.84</v>
      </c>
      <c r="N896" s="34">
        <v>174.87</v>
      </c>
      <c r="O896" s="34">
        <v>298.97000000000003</v>
      </c>
      <c r="P896" s="34">
        <v>86.39</v>
      </c>
      <c r="Q896" s="34">
        <v>18.79</v>
      </c>
      <c r="R896" s="34">
        <v>14.05</v>
      </c>
      <c r="S896" s="34">
        <v>13.7</v>
      </c>
      <c r="T896" s="34">
        <v>71.7</v>
      </c>
      <c r="U896" s="34">
        <v>217.43</v>
      </c>
      <c r="V896" s="34">
        <v>54.11</v>
      </c>
      <c r="W896" s="34">
        <v>17.84</v>
      </c>
      <c r="X896" s="34">
        <v>0.57999999999999996</v>
      </c>
      <c r="Y896" s="35">
        <v>20.806899999999999</v>
      </c>
      <c r="Z896" s="35">
        <v>32.977200000000003</v>
      </c>
      <c r="AA896" s="35">
        <v>114.1177</v>
      </c>
    </row>
    <row r="897" spans="1:27" ht="15.75" hidden="1" customHeight="1" x14ac:dyDescent="0.2">
      <c r="A897" s="2"/>
      <c r="B897" s="31">
        <v>892</v>
      </c>
      <c r="C897" s="36" t="s">
        <v>1992</v>
      </c>
      <c r="D897" s="36" t="s">
        <v>2078</v>
      </c>
      <c r="E897" s="36" t="s">
        <v>2079</v>
      </c>
      <c r="F897" s="36" t="s">
        <v>2090</v>
      </c>
      <c r="G897" s="36" t="s">
        <v>2091</v>
      </c>
      <c r="H897" s="37" t="s">
        <v>80</v>
      </c>
      <c r="I897" s="37" t="s">
        <v>81</v>
      </c>
      <c r="J897" s="37" t="s">
        <v>82</v>
      </c>
      <c r="K897" s="37" t="s">
        <v>104</v>
      </c>
      <c r="L897" s="36" t="s">
        <v>90</v>
      </c>
      <c r="M897" s="34">
        <v>113433.9</v>
      </c>
      <c r="N897" s="34">
        <v>80056.259999999995</v>
      </c>
      <c r="O897" s="34">
        <v>33377.65</v>
      </c>
      <c r="P897" s="34">
        <v>19094.89</v>
      </c>
      <c r="Q897" s="34">
        <v>-1341.74</v>
      </c>
      <c r="R897" s="34">
        <v>-1218.3800000000001</v>
      </c>
      <c r="S897" s="34">
        <v>-1225.53</v>
      </c>
      <c r="T897" s="34">
        <v>-23.71</v>
      </c>
      <c r="U897" s="34">
        <v>1833.95</v>
      </c>
      <c r="V897" s="34">
        <v>-112.21</v>
      </c>
      <c r="W897" s="34">
        <v>1.45</v>
      </c>
      <c r="X897" s="34">
        <v>2.4</v>
      </c>
      <c r="Y897" s="35">
        <v>-0.38030000000000003</v>
      </c>
      <c r="Z897" s="35">
        <v>-1.2926</v>
      </c>
      <c r="AA897" s="35">
        <v>-2.2593999999999999</v>
      </c>
    </row>
    <row r="898" spans="1:27" ht="15.75" hidden="1" customHeight="1" x14ac:dyDescent="0.2">
      <c r="A898" s="2"/>
      <c r="B898" s="31">
        <v>893</v>
      </c>
      <c r="C898" s="36" t="s">
        <v>1992</v>
      </c>
      <c r="D898" s="36" t="s">
        <v>2078</v>
      </c>
      <c r="E898" s="36" t="s">
        <v>2079</v>
      </c>
      <c r="F898" s="36" t="s">
        <v>2092</v>
      </c>
      <c r="G898" s="36" t="s">
        <v>2093</v>
      </c>
      <c r="H898" s="37" t="s">
        <v>80</v>
      </c>
      <c r="I898" s="37" t="s">
        <v>81</v>
      </c>
      <c r="J898" s="37" t="s">
        <v>82</v>
      </c>
      <c r="K898" s="37" t="s">
        <v>87</v>
      </c>
      <c r="L898" s="36" t="s">
        <v>84</v>
      </c>
      <c r="M898" s="34">
        <v>1484.64</v>
      </c>
      <c r="N898" s="34">
        <v>701.45</v>
      </c>
      <c r="O898" s="34">
        <v>783.19</v>
      </c>
      <c r="P898" s="34">
        <v>107.38</v>
      </c>
      <c r="Q898" s="34">
        <v>51.24</v>
      </c>
      <c r="R898" s="34">
        <v>40.67</v>
      </c>
      <c r="S898" s="34">
        <v>40.18</v>
      </c>
      <c r="T898" s="34">
        <v>154.19</v>
      </c>
      <c r="U898" s="34">
        <v>1423.99</v>
      </c>
      <c r="V898" s="34">
        <v>10.86</v>
      </c>
      <c r="W898" s="34">
        <v>1.18</v>
      </c>
      <c r="X898" s="34">
        <v>0.9</v>
      </c>
      <c r="Y898" s="35">
        <v>5.7119999999999997</v>
      </c>
      <c r="Z898" s="35">
        <v>10.8278</v>
      </c>
      <c r="AA898" s="35">
        <v>78.973399999999998</v>
      </c>
    </row>
    <row r="899" spans="1:27" ht="15.75" hidden="1" customHeight="1" x14ac:dyDescent="0.2">
      <c r="A899" s="2"/>
      <c r="B899" s="31">
        <v>894</v>
      </c>
      <c r="C899" s="36" t="s">
        <v>1992</v>
      </c>
      <c r="D899" s="36" t="s">
        <v>2078</v>
      </c>
      <c r="E899" s="36" t="s">
        <v>2079</v>
      </c>
      <c r="F899" s="36" t="s">
        <v>2094</v>
      </c>
      <c r="G899" s="36" t="s">
        <v>2095</v>
      </c>
      <c r="H899" s="37" t="s">
        <v>80</v>
      </c>
      <c r="I899" s="37" t="s">
        <v>81</v>
      </c>
      <c r="J899" s="37" t="s">
        <v>82</v>
      </c>
      <c r="K899" s="37" t="s">
        <v>87</v>
      </c>
      <c r="L899" s="36" t="s">
        <v>84</v>
      </c>
      <c r="M899" s="34">
        <v>452.49</v>
      </c>
      <c r="N899" s="34">
        <v>45.42</v>
      </c>
      <c r="O899" s="34">
        <v>407.07</v>
      </c>
      <c r="P899" s="34">
        <v>27.23</v>
      </c>
      <c r="Q899" s="34">
        <v>10.039999999999999</v>
      </c>
      <c r="R899" s="34">
        <v>9.7100000000000009</v>
      </c>
      <c r="S899" s="34">
        <v>9.7100000000000009</v>
      </c>
      <c r="T899" s="34">
        <v>13.26</v>
      </c>
      <c r="U899" s="34">
        <v>318.7</v>
      </c>
      <c r="V899" s="34">
        <v>19.899999999999999</v>
      </c>
      <c r="W899" s="34">
        <v>0.83</v>
      </c>
      <c r="X899" s="34">
        <v>0.11</v>
      </c>
      <c r="Y899" s="35">
        <v>3.7444000000000002</v>
      </c>
      <c r="Z899" s="35">
        <v>4.1622000000000003</v>
      </c>
      <c r="AA899" s="35">
        <v>62.222000000000001</v>
      </c>
    </row>
    <row r="900" spans="1:27" ht="15.75" hidden="1" customHeight="1" x14ac:dyDescent="0.2">
      <c r="A900" s="2"/>
      <c r="B900" s="31">
        <v>895</v>
      </c>
      <c r="C900" s="36" t="s">
        <v>1992</v>
      </c>
      <c r="D900" s="36" t="s">
        <v>2078</v>
      </c>
      <c r="E900" s="36" t="s">
        <v>2079</v>
      </c>
      <c r="F900" s="36" t="s">
        <v>2096</v>
      </c>
      <c r="G900" s="36" t="s">
        <v>2097</v>
      </c>
      <c r="H900" s="37" t="s">
        <v>80</v>
      </c>
      <c r="I900" s="37" t="s">
        <v>81</v>
      </c>
      <c r="J900" s="37" t="s">
        <v>82</v>
      </c>
      <c r="K900" s="37" t="s">
        <v>87</v>
      </c>
      <c r="L900" s="36" t="s">
        <v>84</v>
      </c>
      <c r="M900" s="34">
        <v>4346.46</v>
      </c>
      <c r="N900" s="34">
        <v>2014.79</v>
      </c>
      <c r="O900" s="34">
        <v>2331.6799999999998</v>
      </c>
      <c r="P900" s="34">
        <v>415.86</v>
      </c>
      <c r="Q900" s="34">
        <v>207.86</v>
      </c>
      <c r="R900" s="34">
        <v>163.24</v>
      </c>
      <c r="S900" s="34">
        <v>163.24</v>
      </c>
      <c r="T900" s="34">
        <v>246.08</v>
      </c>
      <c r="U900" s="34">
        <v>1726.01</v>
      </c>
      <c r="V900" s="34">
        <v>22.76</v>
      </c>
      <c r="W900" s="34">
        <v>3.24</v>
      </c>
      <c r="X900" s="34">
        <v>0.86</v>
      </c>
      <c r="Y900" s="35">
        <v>7.6482000000000001</v>
      </c>
      <c r="Z900" s="35">
        <v>14.2569</v>
      </c>
      <c r="AA900" s="35">
        <v>79.935699999999997</v>
      </c>
    </row>
    <row r="901" spans="1:27" ht="15.75" hidden="1" customHeight="1" x14ac:dyDescent="0.2">
      <c r="A901" s="2"/>
      <c r="B901" s="31">
        <v>896</v>
      </c>
      <c r="C901" s="36" t="s">
        <v>1992</v>
      </c>
      <c r="D901" s="36" t="s">
        <v>2086</v>
      </c>
      <c r="E901" s="36" t="s">
        <v>2087</v>
      </c>
      <c r="F901" s="36" t="s">
        <v>2098</v>
      </c>
      <c r="G901" s="36" t="s">
        <v>2099</v>
      </c>
      <c r="H901" s="37" t="s">
        <v>80</v>
      </c>
      <c r="I901" s="37" t="s">
        <v>81</v>
      </c>
      <c r="J901" s="37" t="s">
        <v>82</v>
      </c>
      <c r="K901" s="37" t="s">
        <v>87</v>
      </c>
      <c r="L901" s="36" t="s">
        <v>84</v>
      </c>
      <c r="M901" s="34">
        <v>311.56</v>
      </c>
      <c r="N901" s="34">
        <v>20.11</v>
      </c>
      <c r="O901" s="34">
        <v>291.45</v>
      </c>
      <c r="P901" s="34">
        <v>45</v>
      </c>
      <c r="Q901" s="34">
        <v>10.24</v>
      </c>
      <c r="R901" s="34">
        <v>7.78</v>
      </c>
      <c r="S901" s="34">
        <v>7.78</v>
      </c>
      <c r="T901" s="34">
        <v>0.91</v>
      </c>
      <c r="U901" s="34">
        <v>32.85</v>
      </c>
      <c r="V901" s="34">
        <v>322.42</v>
      </c>
      <c r="W901" s="34">
        <v>8.9499999999999993</v>
      </c>
      <c r="X901" s="34">
        <v>7.0000000000000007E-2</v>
      </c>
      <c r="Y901" s="35">
        <v>2.5964999999999998</v>
      </c>
      <c r="Z901" s="35">
        <v>2.7757000000000001</v>
      </c>
      <c r="AA901" s="35">
        <v>17.976099999999999</v>
      </c>
    </row>
    <row r="902" spans="1:27" ht="15.75" hidden="1" customHeight="1" x14ac:dyDescent="0.2">
      <c r="A902" s="2"/>
      <c r="B902" s="31">
        <v>897</v>
      </c>
      <c r="C902" s="36" t="s">
        <v>1992</v>
      </c>
      <c r="D902" s="36" t="s">
        <v>2078</v>
      </c>
      <c r="E902" s="36" t="s">
        <v>2079</v>
      </c>
      <c r="F902" s="36" t="s">
        <v>2100</v>
      </c>
      <c r="G902" s="36" t="s">
        <v>2101</v>
      </c>
      <c r="H902" s="37" t="s">
        <v>80</v>
      </c>
      <c r="I902" s="37" t="s">
        <v>81</v>
      </c>
      <c r="J902" s="37" t="s">
        <v>82</v>
      </c>
      <c r="K902" s="37" t="s">
        <v>83</v>
      </c>
      <c r="L902" s="36" t="s">
        <v>84</v>
      </c>
      <c r="M902" s="34">
        <v>117504.42</v>
      </c>
      <c r="N902" s="34">
        <v>81260.59</v>
      </c>
      <c r="O902" s="34">
        <v>36243.83</v>
      </c>
      <c r="P902" s="34">
        <v>27109.59</v>
      </c>
      <c r="Q902" s="34">
        <v>3084.24</v>
      </c>
      <c r="R902" s="34">
        <v>2513.25</v>
      </c>
      <c r="S902" s="34">
        <v>2335.29</v>
      </c>
      <c r="T902" s="34">
        <v>139.88999999999999</v>
      </c>
      <c r="U902" s="34">
        <v>1123.81</v>
      </c>
      <c r="V902" s="34">
        <v>12.51</v>
      </c>
      <c r="W902" s="34">
        <v>1.56</v>
      </c>
      <c r="X902" s="34">
        <v>2.2400000000000002</v>
      </c>
      <c r="Y902" s="35">
        <v>3.8393999999999999</v>
      </c>
      <c r="Z902" s="35">
        <v>12.4475</v>
      </c>
      <c r="AA902" s="35">
        <v>16.641500000000001</v>
      </c>
    </row>
    <row r="903" spans="1:27" ht="15.75" hidden="1" customHeight="1" x14ac:dyDescent="0.2">
      <c r="A903" s="2"/>
      <c r="B903" s="31">
        <v>898</v>
      </c>
      <c r="C903" s="36" t="s">
        <v>1992</v>
      </c>
      <c r="D903" s="36" t="s">
        <v>2086</v>
      </c>
      <c r="E903" s="36" t="s">
        <v>2087</v>
      </c>
      <c r="F903" s="36" t="s">
        <v>2102</v>
      </c>
      <c r="G903" s="36" t="s">
        <v>2103</v>
      </c>
      <c r="H903" s="37" t="s">
        <v>80</v>
      </c>
      <c r="I903" s="37" t="s">
        <v>81</v>
      </c>
      <c r="J903" s="37" t="s">
        <v>82</v>
      </c>
      <c r="K903" s="37" t="s">
        <v>87</v>
      </c>
      <c r="L903" s="36" t="s">
        <v>84</v>
      </c>
      <c r="M903" s="34">
        <v>171.52</v>
      </c>
      <c r="N903" s="34">
        <v>74.760000000000005</v>
      </c>
      <c r="O903" s="34">
        <v>96.76</v>
      </c>
      <c r="P903" s="34">
        <v>97.48</v>
      </c>
      <c r="Q903" s="34">
        <v>10.86</v>
      </c>
      <c r="R903" s="34">
        <v>10.86</v>
      </c>
      <c r="S903" s="34">
        <v>4.3899999999999997</v>
      </c>
      <c r="T903" s="34">
        <v>-1.77</v>
      </c>
      <c r="U903" s="34">
        <v>89.38</v>
      </c>
      <c r="V903" s="34">
        <v>-56.39</v>
      </c>
      <c r="W903" s="34">
        <v>1.1200000000000001</v>
      </c>
      <c r="X903" s="34">
        <v>0.77</v>
      </c>
      <c r="Y903" s="35">
        <v>-1.1194</v>
      </c>
      <c r="Z903" s="35">
        <v>-1.9842</v>
      </c>
      <c r="AA903" s="35">
        <v>-1.9695</v>
      </c>
    </row>
    <row r="904" spans="1:27" ht="15.75" hidden="1" customHeight="1" x14ac:dyDescent="0.2">
      <c r="A904" s="2"/>
      <c r="B904" s="31">
        <v>899</v>
      </c>
      <c r="C904" s="36" t="s">
        <v>1992</v>
      </c>
      <c r="D904" s="36" t="s">
        <v>2086</v>
      </c>
      <c r="E904" s="36" t="s">
        <v>2087</v>
      </c>
      <c r="F904" s="36" t="s">
        <v>2104</v>
      </c>
      <c r="G904" s="36" t="s">
        <v>2105</v>
      </c>
      <c r="H904" s="37" t="s">
        <v>95</v>
      </c>
      <c r="I904" s="37" t="s">
        <v>81</v>
      </c>
      <c r="J904" s="37" t="s">
        <v>82</v>
      </c>
      <c r="K904" s="37" t="s">
        <v>87</v>
      </c>
      <c r="L904" s="36" t="s">
        <v>84</v>
      </c>
      <c r="M904" s="34">
        <v>3433.16</v>
      </c>
      <c r="N904" s="34">
        <v>1432.64</v>
      </c>
      <c r="O904" s="34">
        <v>2000.52</v>
      </c>
      <c r="P904" s="34">
        <v>0.95</v>
      </c>
      <c r="Q904" s="34">
        <v>-2.4</v>
      </c>
      <c r="R904" s="34">
        <v>-2.4</v>
      </c>
      <c r="S904" s="34">
        <v>-1.87</v>
      </c>
      <c r="T904" s="34">
        <v>46.5</v>
      </c>
      <c r="U904" s="34">
        <v>1148.29</v>
      </c>
      <c r="V904" s="34">
        <v>6.54</v>
      </c>
      <c r="W904" s="34">
        <v>0.26</v>
      </c>
      <c r="X904" s="34">
        <v>0.72</v>
      </c>
      <c r="Y904" s="35">
        <v>2.3595000000000002</v>
      </c>
      <c r="Z904" s="35">
        <v>4.0492999999999997</v>
      </c>
      <c r="AA904" s="35">
        <v>8491.2998000000007</v>
      </c>
    </row>
    <row r="905" spans="1:27" ht="15.75" hidden="1" customHeight="1" x14ac:dyDescent="0.2">
      <c r="A905" s="2"/>
      <c r="B905" s="31">
        <v>900</v>
      </c>
      <c r="C905" s="36" t="s">
        <v>1992</v>
      </c>
      <c r="D905" s="36" t="s">
        <v>2086</v>
      </c>
      <c r="E905" s="36" t="s">
        <v>2087</v>
      </c>
      <c r="F905" s="36" t="s">
        <v>2106</v>
      </c>
      <c r="G905" s="36" t="s">
        <v>2107</v>
      </c>
      <c r="H905" s="37" t="s">
        <v>80</v>
      </c>
      <c r="I905" s="37" t="s">
        <v>81</v>
      </c>
      <c r="J905" s="37" t="s">
        <v>82</v>
      </c>
      <c r="K905" s="37" t="s">
        <v>104</v>
      </c>
      <c r="L905" s="36" t="s">
        <v>90</v>
      </c>
      <c r="M905" s="34">
        <v>2100.63</v>
      </c>
      <c r="N905" s="34">
        <v>943.88</v>
      </c>
      <c r="O905" s="34">
        <v>1156.75</v>
      </c>
      <c r="P905" s="34">
        <v>517.41999999999996</v>
      </c>
      <c r="Q905" s="34">
        <v>142.83000000000001</v>
      </c>
      <c r="R905" s="34">
        <v>127.54</v>
      </c>
      <c r="S905" s="34">
        <v>127.54</v>
      </c>
      <c r="T905" s="34">
        <v>52.43</v>
      </c>
      <c r="U905" s="34">
        <v>407.13</v>
      </c>
      <c r="V905" s="34">
        <v>10.87</v>
      </c>
      <c r="W905" s="34">
        <v>1.4</v>
      </c>
      <c r="X905" s="34">
        <v>0.82</v>
      </c>
      <c r="Y905" s="35">
        <v>7.0918000000000001</v>
      </c>
      <c r="Z905" s="35">
        <v>12.8786</v>
      </c>
      <c r="AA905" s="35">
        <v>28.791499999999999</v>
      </c>
    </row>
    <row r="906" spans="1:27" ht="15.75" hidden="1" customHeight="1" x14ac:dyDescent="0.2">
      <c r="A906" s="2"/>
      <c r="B906" s="31">
        <v>901</v>
      </c>
      <c r="C906" s="36" t="s">
        <v>1992</v>
      </c>
      <c r="D906" s="36" t="s">
        <v>2078</v>
      </c>
      <c r="E906" s="36" t="s">
        <v>2079</v>
      </c>
      <c r="F906" s="36" t="s">
        <v>2108</v>
      </c>
      <c r="G906" s="36" t="s">
        <v>2109</v>
      </c>
      <c r="H906" s="37" t="s">
        <v>80</v>
      </c>
      <c r="I906" s="37" t="s">
        <v>81</v>
      </c>
      <c r="J906" s="37" t="s">
        <v>82</v>
      </c>
      <c r="K906" s="37" t="s">
        <v>87</v>
      </c>
      <c r="L906" s="36" t="s">
        <v>90</v>
      </c>
      <c r="M906" s="34">
        <v>141.57</v>
      </c>
      <c r="N906" s="34">
        <v>7.14</v>
      </c>
      <c r="O906" s="34">
        <v>134.43</v>
      </c>
      <c r="P906" s="34">
        <v>0.25</v>
      </c>
      <c r="Q906" s="34">
        <v>-1.75</v>
      </c>
      <c r="R906" s="34">
        <v>-1.75</v>
      </c>
      <c r="S906" s="34">
        <v>-1.75</v>
      </c>
      <c r="T906" s="34">
        <v>1.1399999999999999</v>
      </c>
      <c r="U906" s="34">
        <v>134.43</v>
      </c>
      <c r="V906" s="34">
        <v>207.36</v>
      </c>
      <c r="W906" s="34">
        <v>1.76</v>
      </c>
      <c r="X906" s="34">
        <v>0.05</v>
      </c>
      <c r="Y906" s="35">
        <v>0.80400000000000005</v>
      </c>
      <c r="Z906" s="35">
        <v>0.84670000000000001</v>
      </c>
      <c r="AA906" s="35">
        <v>462.82810000000001</v>
      </c>
    </row>
    <row r="907" spans="1:27" ht="15.75" hidden="1" customHeight="1" x14ac:dyDescent="0.2">
      <c r="A907" s="2"/>
      <c r="B907" s="31">
        <v>902</v>
      </c>
      <c r="C907" s="36" t="s">
        <v>1992</v>
      </c>
      <c r="D907" s="36" t="s">
        <v>2086</v>
      </c>
      <c r="E907" s="36" t="s">
        <v>2087</v>
      </c>
      <c r="F907" s="36" t="s">
        <v>2110</v>
      </c>
      <c r="G907" s="36" t="s">
        <v>2111</v>
      </c>
      <c r="H907" s="37" t="s">
        <v>95</v>
      </c>
      <c r="I907" s="37" t="s">
        <v>81</v>
      </c>
      <c r="J907" s="37" t="s">
        <v>82</v>
      </c>
      <c r="K907" s="37" t="s">
        <v>104</v>
      </c>
      <c r="L907" s="36" t="s">
        <v>90</v>
      </c>
      <c r="M907" s="34">
        <v>14421.44</v>
      </c>
      <c r="N907" s="34">
        <v>10112.5</v>
      </c>
      <c r="O907" s="34">
        <v>4308.9399999999996</v>
      </c>
      <c r="P907" s="34">
        <v>1576.59</v>
      </c>
      <c r="Q907" s="34">
        <v>-685.16</v>
      </c>
      <c r="R907" s="34">
        <v>-691.7</v>
      </c>
      <c r="S907" s="34">
        <v>-691.7</v>
      </c>
      <c r="T907" s="34">
        <v>-556.97</v>
      </c>
      <c r="U907" s="34">
        <v>1504.94</v>
      </c>
      <c r="V907" s="34">
        <v>-5.92</v>
      </c>
      <c r="W907" s="34">
        <v>2.19</v>
      </c>
      <c r="X907" s="34">
        <v>2.35</v>
      </c>
      <c r="Y907" s="35">
        <v>-11.0578</v>
      </c>
      <c r="Z907" s="35">
        <v>-37.0092</v>
      </c>
      <c r="AA907" s="35">
        <v>-101.149</v>
      </c>
    </row>
    <row r="908" spans="1:27" ht="15.75" hidden="1" customHeight="1" x14ac:dyDescent="0.2">
      <c r="A908" s="2"/>
      <c r="B908" s="31">
        <v>903</v>
      </c>
      <c r="C908" s="36" t="s">
        <v>1992</v>
      </c>
      <c r="D908" s="36" t="s">
        <v>2086</v>
      </c>
      <c r="E908" s="36" t="s">
        <v>2087</v>
      </c>
      <c r="F908" s="36" t="s">
        <v>2112</v>
      </c>
      <c r="G908" s="36" t="s">
        <v>2113</v>
      </c>
      <c r="H908" s="37" t="s">
        <v>80</v>
      </c>
      <c r="I908" s="37" t="s">
        <v>81</v>
      </c>
      <c r="J908" s="37" t="s">
        <v>82</v>
      </c>
      <c r="K908" s="37" t="s">
        <v>104</v>
      </c>
      <c r="L908" s="36" t="s">
        <v>90</v>
      </c>
      <c r="M908" s="34">
        <v>14277.91</v>
      </c>
      <c r="N908" s="34">
        <v>6709.71</v>
      </c>
      <c r="O908" s="34">
        <v>7568.2</v>
      </c>
      <c r="P908" s="34">
        <v>1828.82</v>
      </c>
      <c r="Q908" s="34">
        <v>258</v>
      </c>
      <c r="R908" s="34">
        <v>175.2</v>
      </c>
      <c r="S908" s="34">
        <v>170.88</v>
      </c>
      <c r="T908" s="34">
        <v>2.2999999999999998</v>
      </c>
      <c r="U908" s="34">
        <v>320.05</v>
      </c>
      <c r="V908" s="34">
        <v>187.77</v>
      </c>
      <c r="W908" s="34">
        <v>1.35</v>
      </c>
      <c r="X908" s="34">
        <v>0.89</v>
      </c>
      <c r="Y908" s="35">
        <v>0.38100000000000001</v>
      </c>
      <c r="Z908" s="35">
        <v>0.71879999999999999</v>
      </c>
      <c r="AA908" s="35">
        <v>2.9748000000000001</v>
      </c>
    </row>
    <row r="909" spans="1:27" ht="15.75" hidden="1" customHeight="1" x14ac:dyDescent="0.2">
      <c r="A909" s="2"/>
      <c r="B909" s="31">
        <v>904</v>
      </c>
      <c r="C909" s="36" t="s">
        <v>1992</v>
      </c>
      <c r="D909" s="36" t="s">
        <v>2078</v>
      </c>
      <c r="E909" s="36" t="s">
        <v>2079</v>
      </c>
      <c r="F909" s="36" t="s">
        <v>2114</v>
      </c>
      <c r="G909" s="36" t="s">
        <v>2115</v>
      </c>
      <c r="H909" s="37" t="s">
        <v>80</v>
      </c>
      <c r="I909" s="37" t="s">
        <v>81</v>
      </c>
      <c r="J909" s="37" t="s">
        <v>82</v>
      </c>
      <c r="K909" s="37" t="s">
        <v>87</v>
      </c>
      <c r="L909" s="36" t="s">
        <v>84</v>
      </c>
      <c r="M909" s="34">
        <v>60076.35</v>
      </c>
      <c r="N909" s="34">
        <v>27660.76</v>
      </c>
      <c r="O909" s="34">
        <v>32415.59</v>
      </c>
      <c r="P909" s="34">
        <v>4596.25</v>
      </c>
      <c r="Q909" s="34">
        <v>1528.25</v>
      </c>
      <c r="R909" s="34">
        <v>1094.42</v>
      </c>
      <c r="S909" s="34">
        <v>1094.42</v>
      </c>
      <c r="T909" s="34">
        <v>25.59</v>
      </c>
      <c r="U909" s="34">
        <v>387.93</v>
      </c>
      <c r="V909" s="34">
        <v>22.67</v>
      </c>
      <c r="W909" s="34">
        <v>1.5</v>
      </c>
      <c r="X909" s="34">
        <v>0.85</v>
      </c>
      <c r="Y909" s="35">
        <v>3.5589</v>
      </c>
      <c r="Z909" s="35">
        <v>6.5956999999999999</v>
      </c>
      <c r="AA909" s="35">
        <v>46.517099999999999</v>
      </c>
    </row>
    <row r="910" spans="1:27" ht="15.75" hidden="1" customHeight="1" x14ac:dyDescent="0.2">
      <c r="A910" s="2"/>
      <c r="B910" s="31">
        <v>905</v>
      </c>
      <c r="C910" s="36" t="s">
        <v>1992</v>
      </c>
      <c r="D910" s="36" t="s">
        <v>2078</v>
      </c>
      <c r="E910" s="36" t="s">
        <v>2079</v>
      </c>
      <c r="F910" s="36" t="s">
        <v>2116</v>
      </c>
      <c r="G910" s="36" t="s">
        <v>2117</v>
      </c>
      <c r="H910" s="37" t="s">
        <v>95</v>
      </c>
      <c r="I910" s="37" t="s">
        <v>81</v>
      </c>
      <c r="J910" s="37" t="s">
        <v>82</v>
      </c>
      <c r="K910" s="37" t="s">
        <v>87</v>
      </c>
      <c r="L910" s="36" t="s">
        <v>84</v>
      </c>
      <c r="M910" s="34">
        <v>725.86</v>
      </c>
      <c r="N910" s="34">
        <v>139.08000000000001</v>
      </c>
      <c r="O910" s="34">
        <v>586.79</v>
      </c>
      <c r="P910" s="34">
        <v>24.5</v>
      </c>
      <c r="Q910" s="34">
        <v>-14.2</v>
      </c>
      <c r="R910" s="34">
        <v>-16.510000000000002</v>
      </c>
      <c r="S910" s="34">
        <v>-15.47</v>
      </c>
      <c r="T910" s="34">
        <v>-12.51</v>
      </c>
      <c r="U910" s="34">
        <v>92.45</v>
      </c>
      <c r="V910" s="34">
        <v>-18.7</v>
      </c>
      <c r="W910" s="34">
        <v>2.5299999999999998</v>
      </c>
      <c r="X910" s="34">
        <v>0.24</v>
      </c>
      <c r="Y910" s="35">
        <v>-10.940099999999999</v>
      </c>
      <c r="Z910" s="35">
        <v>-13.532999999999999</v>
      </c>
      <c r="AA910" s="35">
        <v>-324.0573</v>
      </c>
    </row>
    <row r="911" spans="1:27" ht="15.75" hidden="1" customHeight="1" x14ac:dyDescent="0.2">
      <c r="A911" s="2"/>
      <c r="B911" s="31">
        <v>906</v>
      </c>
      <c r="C911" s="36" t="s">
        <v>1992</v>
      </c>
      <c r="D911" s="36" t="s">
        <v>2078</v>
      </c>
      <c r="E911" s="36" t="s">
        <v>2079</v>
      </c>
      <c r="F911" s="36" t="s">
        <v>2118</v>
      </c>
      <c r="G911" s="36" t="s">
        <v>2119</v>
      </c>
      <c r="H911" s="37" t="s">
        <v>80</v>
      </c>
      <c r="I911" s="37" t="s">
        <v>81</v>
      </c>
      <c r="J911" s="37" t="s">
        <v>82</v>
      </c>
      <c r="K911" s="37" t="s">
        <v>87</v>
      </c>
      <c r="L911" s="36" t="s">
        <v>84</v>
      </c>
      <c r="M911" s="34">
        <v>9733.18</v>
      </c>
      <c r="N911" s="34">
        <v>2406.3000000000002</v>
      </c>
      <c r="O911" s="34">
        <v>7326.88</v>
      </c>
      <c r="P911" s="34">
        <v>911.54</v>
      </c>
      <c r="Q911" s="34">
        <v>577.09</v>
      </c>
      <c r="R911" s="34">
        <v>630.44000000000005</v>
      </c>
      <c r="S911" s="34">
        <v>630.44000000000005</v>
      </c>
      <c r="T911" s="34">
        <v>993.55</v>
      </c>
      <c r="U911" s="34">
        <v>6440.76</v>
      </c>
      <c r="V911" s="34">
        <v>44.13</v>
      </c>
      <c r="W911" s="34">
        <v>6.81</v>
      </c>
      <c r="X911" s="34">
        <v>0.33</v>
      </c>
      <c r="Y911" s="35">
        <v>11.6122</v>
      </c>
      <c r="Z911" s="35">
        <v>15.4259</v>
      </c>
      <c r="AA911" s="35">
        <v>123.99160000000001</v>
      </c>
    </row>
    <row r="912" spans="1:27" ht="15.75" hidden="1" customHeight="1" x14ac:dyDescent="0.2">
      <c r="A912" s="2"/>
      <c r="B912" s="31">
        <v>907</v>
      </c>
      <c r="C912" s="36" t="s">
        <v>1992</v>
      </c>
      <c r="D912" s="36" t="s">
        <v>2078</v>
      </c>
      <c r="E912" s="36" t="s">
        <v>2079</v>
      </c>
      <c r="F912" s="36" t="s">
        <v>2120</v>
      </c>
      <c r="G912" s="36" t="s">
        <v>2121</v>
      </c>
      <c r="H912" s="37" t="s">
        <v>95</v>
      </c>
      <c r="I912" s="37" t="s">
        <v>81</v>
      </c>
      <c r="J912" s="37" t="s">
        <v>82</v>
      </c>
      <c r="K912" s="37" t="s">
        <v>87</v>
      </c>
      <c r="L912" s="36" t="s">
        <v>84</v>
      </c>
      <c r="M912" s="34">
        <v>44772.95</v>
      </c>
      <c r="N912" s="34">
        <v>34280.400000000001</v>
      </c>
      <c r="O912" s="34">
        <v>10492.55</v>
      </c>
      <c r="P912" s="34">
        <v>3450.63</v>
      </c>
      <c r="Q912" s="34">
        <v>1201.19</v>
      </c>
      <c r="R912" s="34">
        <v>852.67</v>
      </c>
      <c r="S912" s="34">
        <v>822.65</v>
      </c>
      <c r="T912" s="34">
        <v>64.150000000000006</v>
      </c>
      <c r="U912" s="34">
        <v>463.1</v>
      </c>
      <c r="V912" s="34">
        <v>27.12</v>
      </c>
      <c r="W912" s="34">
        <v>3.76</v>
      </c>
      <c r="X912" s="34">
        <v>3.27</v>
      </c>
      <c r="Y912" s="35">
        <v>3.2463000000000002</v>
      </c>
      <c r="Z912" s="35">
        <v>13.852399999999999</v>
      </c>
      <c r="AA912" s="35">
        <v>42.122</v>
      </c>
    </row>
    <row r="913" spans="1:27" ht="15.75" hidden="1" customHeight="1" x14ac:dyDescent="0.2">
      <c r="A913" s="2"/>
      <c r="B913" s="31">
        <v>908</v>
      </c>
      <c r="C913" s="36" t="s">
        <v>1992</v>
      </c>
      <c r="D913" s="36" t="s">
        <v>2122</v>
      </c>
      <c r="E913" s="36" t="s">
        <v>2123</v>
      </c>
      <c r="F913" s="36" t="s">
        <v>2124</v>
      </c>
      <c r="G913" s="36" t="s">
        <v>2125</v>
      </c>
      <c r="H913" s="37" t="s">
        <v>80</v>
      </c>
      <c r="I913" s="37" t="s">
        <v>81</v>
      </c>
      <c r="J913" s="37" t="s">
        <v>82</v>
      </c>
      <c r="K913" s="37" t="s">
        <v>87</v>
      </c>
      <c r="L913" s="36" t="s">
        <v>84</v>
      </c>
      <c r="M913" s="34">
        <v>293797</v>
      </c>
      <c r="N913" s="34">
        <v>145435</v>
      </c>
      <c r="O913" s="34">
        <v>148362</v>
      </c>
      <c r="P913" s="34">
        <v>73004</v>
      </c>
      <c r="Q913" s="34">
        <v>18137</v>
      </c>
      <c r="R913" s="34">
        <v>14126</v>
      </c>
      <c r="S913" s="34">
        <v>10975</v>
      </c>
      <c r="T913" s="34">
        <v>230.79</v>
      </c>
      <c r="U913" s="34">
        <v>1497.66</v>
      </c>
      <c r="V913" s="34">
        <v>13.26</v>
      </c>
      <c r="W913" s="34">
        <v>2.04</v>
      </c>
      <c r="X913" s="34">
        <v>0.98</v>
      </c>
      <c r="Y913" s="35">
        <v>7.7819000000000003</v>
      </c>
      <c r="Z913" s="35">
        <v>15.410299999999999</v>
      </c>
      <c r="AA913" s="35">
        <v>31.317499999999999</v>
      </c>
    </row>
    <row r="914" spans="1:27" ht="15.75" hidden="1" customHeight="1" x14ac:dyDescent="0.2">
      <c r="A914" s="2"/>
      <c r="B914" s="31">
        <v>909</v>
      </c>
      <c r="C914" s="36" t="s">
        <v>1992</v>
      </c>
      <c r="D914" s="36" t="s">
        <v>2078</v>
      </c>
      <c r="E914" s="36" t="s">
        <v>2079</v>
      </c>
      <c r="F914" s="36" t="s">
        <v>2126</v>
      </c>
      <c r="G914" s="36" t="s">
        <v>2127</v>
      </c>
      <c r="H914" s="37" t="s">
        <v>95</v>
      </c>
      <c r="I914" s="37" t="s">
        <v>81</v>
      </c>
      <c r="J914" s="37" t="s">
        <v>82</v>
      </c>
      <c r="K914" s="37" t="s">
        <v>87</v>
      </c>
      <c r="L914" s="36" t="s">
        <v>84</v>
      </c>
      <c r="M914" s="34">
        <v>77629.8</v>
      </c>
      <c r="N914" s="34">
        <v>57725.78</v>
      </c>
      <c r="O914" s="34">
        <v>19904.02</v>
      </c>
      <c r="P914" s="34">
        <v>6394.23</v>
      </c>
      <c r="Q914" s="34">
        <v>1993.69</v>
      </c>
      <c r="R914" s="34">
        <v>1648.38</v>
      </c>
      <c r="S914" s="34">
        <v>1652.06</v>
      </c>
      <c r="T914" s="34">
        <v>57.23</v>
      </c>
      <c r="U914" s="34">
        <v>336.8</v>
      </c>
      <c r="V914" s="34">
        <v>10.220000000000001</v>
      </c>
      <c r="W914" s="34">
        <v>1.74</v>
      </c>
      <c r="X914" s="34">
        <v>2.9</v>
      </c>
      <c r="Y914" s="35">
        <v>4.3571</v>
      </c>
      <c r="Z914" s="35">
        <v>16.9937</v>
      </c>
      <c r="AA914" s="35">
        <v>52.898099999999999</v>
      </c>
    </row>
    <row r="915" spans="1:27" ht="15.75" hidden="1" customHeight="1" x14ac:dyDescent="0.2">
      <c r="A915" s="2"/>
      <c r="B915" s="31">
        <v>910</v>
      </c>
      <c r="C915" s="36" t="s">
        <v>1992</v>
      </c>
      <c r="D915" s="36" t="s">
        <v>2128</v>
      </c>
      <c r="E915" s="36" t="s">
        <v>2129</v>
      </c>
      <c r="F915" s="36" t="s">
        <v>2130</v>
      </c>
      <c r="G915" s="36" t="s">
        <v>2131</v>
      </c>
      <c r="H915" s="37" t="s">
        <v>95</v>
      </c>
      <c r="I915" s="37" t="s">
        <v>81</v>
      </c>
      <c r="J915" s="37" t="s">
        <v>82</v>
      </c>
      <c r="K915" s="37" t="s">
        <v>87</v>
      </c>
      <c r="L915" s="36" t="s">
        <v>84</v>
      </c>
      <c r="M915" s="34">
        <v>1495.18</v>
      </c>
      <c r="N915" s="34">
        <v>1006.88</v>
      </c>
      <c r="O915" s="34">
        <v>488.3</v>
      </c>
      <c r="P915" s="34">
        <v>142.53</v>
      </c>
      <c r="Q915" s="34">
        <v>44.62</v>
      </c>
      <c r="R915" s="34">
        <v>36.869999999999997</v>
      </c>
      <c r="S915" s="34">
        <v>36.880000000000003</v>
      </c>
      <c r="T915" s="34">
        <v>16.37</v>
      </c>
      <c r="U915" s="34">
        <v>166.74</v>
      </c>
      <c r="V915" s="34">
        <v>100.76</v>
      </c>
      <c r="W915" s="34">
        <v>9.9</v>
      </c>
      <c r="X915" s="34">
        <v>2.06</v>
      </c>
      <c r="Y915" s="35">
        <v>3.2071999999999998</v>
      </c>
      <c r="Z915" s="35">
        <v>9.8206000000000007</v>
      </c>
      <c r="AA915" s="35">
        <v>33.643700000000003</v>
      </c>
    </row>
    <row r="916" spans="1:27" ht="15.75" hidden="1" customHeight="1" x14ac:dyDescent="0.2">
      <c r="A916" s="2"/>
      <c r="B916" s="31">
        <v>911</v>
      </c>
      <c r="C916" s="36" t="s">
        <v>1992</v>
      </c>
      <c r="D916" s="36" t="s">
        <v>2128</v>
      </c>
      <c r="E916" s="36" t="s">
        <v>2129</v>
      </c>
      <c r="F916" s="36" t="s">
        <v>2132</v>
      </c>
      <c r="G916" s="36" t="s">
        <v>2133</v>
      </c>
      <c r="H916" s="37" t="s">
        <v>95</v>
      </c>
      <c r="I916" s="37" t="s">
        <v>81</v>
      </c>
      <c r="J916" s="37" t="s">
        <v>82</v>
      </c>
      <c r="K916" s="37" t="s">
        <v>87</v>
      </c>
      <c r="L916" s="36" t="s">
        <v>84</v>
      </c>
      <c r="M916" s="34">
        <v>61218.77</v>
      </c>
      <c r="N916" s="34">
        <v>47993.279999999999</v>
      </c>
      <c r="O916" s="34">
        <v>13225.49</v>
      </c>
      <c r="P916" s="34">
        <v>4870.4799999999996</v>
      </c>
      <c r="Q916" s="34">
        <v>2472.6999999999998</v>
      </c>
      <c r="R916" s="34">
        <v>1333.07</v>
      </c>
      <c r="S916" s="34">
        <v>1062.58</v>
      </c>
      <c r="T916" s="34">
        <v>15.59</v>
      </c>
      <c r="U916" s="34">
        <v>98.86</v>
      </c>
      <c r="V916" s="34">
        <v>601.29999999999995</v>
      </c>
      <c r="W916" s="34">
        <v>94.84</v>
      </c>
      <c r="X916" s="34">
        <v>3.63</v>
      </c>
      <c r="Y916" s="35">
        <v>3.4073000000000002</v>
      </c>
      <c r="Z916" s="35">
        <v>15.771699999999999</v>
      </c>
      <c r="AA916" s="35">
        <v>42.826999999999998</v>
      </c>
    </row>
    <row r="917" spans="1:27" ht="15.75" hidden="1" customHeight="1" x14ac:dyDescent="0.2">
      <c r="A917" s="2"/>
      <c r="B917" s="31">
        <v>912</v>
      </c>
      <c r="C917" s="36" t="s">
        <v>1992</v>
      </c>
      <c r="D917" s="36" t="s">
        <v>2128</v>
      </c>
      <c r="E917" s="36" t="s">
        <v>2129</v>
      </c>
      <c r="F917" s="36" t="s">
        <v>2134</v>
      </c>
      <c r="G917" s="36" t="s">
        <v>2135</v>
      </c>
      <c r="H917" s="37" t="s">
        <v>95</v>
      </c>
      <c r="I917" s="37" t="s">
        <v>81</v>
      </c>
      <c r="J917" s="37" t="s">
        <v>82</v>
      </c>
      <c r="K917" s="37" t="s">
        <v>104</v>
      </c>
      <c r="L917" s="36" t="s">
        <v>90</v>
      </c>
      <c r="M917" s="34">
        <v>22623.31</v>
      </c>
      <c r="N917" s="34">
        <v>6457.38</v>
      </c>
      <c r="O917" s="34">
        <v>16165.93</v>
      </c>
      <c r="P917" s="34">
        <v>1085.3699999999999</v>
      </c>
      <c r="Q917" s="34">
        <v>1230.6500000000001</v>
      </c>
      <c r="R917" s="34">
        <v>1207.01</v>
      </c>
      <c r="S917" s="34">
        <v>1101.1500000000001</v>
      </c>
      <c r="T917" s="34">
        <v>10.72</v>
      </c>
      <c r="U917" s="34">
        <v>129.5</v>
      </c>
      <c r="V917" s="34">
        <v>156.31</v>
      </c>
      <c r="W917" s="34">
        <v>12.93</v>
      </c>
      <c r="X917" s="34">
        <v>0.4</v>
      </c>
      <c r="Y917" s="35">
        <v>5.9126000000000003</v>
      </c>
      <c r="Z917" s="35">
        <v>8.2744</v>
      </c>
      <c r="AA917" s="35">
        <v>123.2424</v>
      </c>
    </row>
    <row r="918" spans="1:27" ht="15.75" hidden="1" customHeight="1" x14ac:dyDescent="0.2">
      <c r="A918" s="2"/>
      <c r="B918" s="31">
        <v>913</v>
      </c>
      <c r="C918" s="36" t="s">
        <v>1992</v>
      </c>
      <c r="D918" s="36" t="s">
        <v>2136</v>
      </c>
      <c r="E918" s="36" t="s">
        <v>2137</v>
      </c>
      <c r="F918" s="36" t="s">
        <v>2138</v>
      </c>
      <c r="G918" s="36" t="s">
        <v>2139</v>
      </c>
      <c r="H918" s="37" t="s">
        <v>80</v>
      </c>
      <c r="I918" s="37" t="s">
        <v>81</v>
      </c>
      <c r="J918" s="37" t="s">
        <v>82</v>
      </c>
      <c r="K918" s="37" t="s">
        <v>87</v>
      </c>
      <c r="L918" s="36" t="s">
        <v>84</v>
      </c>
      <c r="M918" s="34">
        <v>10.039999999999999</v>
      </c>
      <c r="N918" s="34">
        <v>1.28</v>
      </c>
      <c r="O918" s="34">
        <v>8.75</v>
      </c>
      <c r="P918" s="34">
        <v>2.02</v>
      </c>
      <c r="Q918" s="34">
        <v>-3.14</v>
      </c>
      <c r="R918" s="34">
        <v>-3.14</v>
      </c>
      <c r="S918" s="34">
        <v>-2.9</v>
      </c>
      <c r="T918" s="34">
        <v>-1.44</v>
      </c>
      <c r="U918" s="34">
        <v>4.13</v>
      </c>
      <c r="V918" s="34">
        <v>-24.32</v>
      </c>
      <c r="W918" s="34">
        <v>8.48</v>
      </c>
      <c r="X918" s="34">
        <v>0.15</v>
      </c>
      <c r="Y918" s="35">
        <v>-30.390599999999999</v>
      </c>
      <c r="Z918" s="35">
        <v>-34.847499999999997</v>
      </c>
      <c r="AA918" s="35">
        <v>-150.8776</v>
      </c>
    </row>
    <row r="919" spans="1:27" ht="15.75" hidden="1" customHeight="1" x14ac:dyDescent="0.2">
      <c r="A919" s="2"/>
      <c r="B919" s="31">
        <v>914</v>
      </c>
      <c r="C919" s="36" t="s">
        <v>1992</v>
      </c>
      <c r="D919" s="36" t="s">
        <v>2128</v>
      </c>
      <c r="E919" s="36" t="s">
        <v>2129</v>
      </c>
      <c r="F919" s="36" t="s">
        <v>2140</v>
      </c>
      <c r="G919" s="36" t="s">
        <v>2141</v>
      </c>
      <c r="H919" s="37" t="s">
        <v>80</v>
      </c>
      <c r="I919" s="37" t="s">
        <v>81</v>
      </c>
      <c r="J919" s="37" t="s">
        <v>82</v>
      </c>
      <c r="K919" s="37" t="s">
        <v>87</v>
      </c>
      <c r="L919" s="36" t="s">
        <v>84</v>
      </c>
      <c r="M919" s="34">
        <v>960.29</v>
      </c>
      <c r="N919" s="34">
        <v>218.32</v>
      </c>
      <c r="O919" s="34">
        <v>741.96</v>
      </c>
      <c r="P919" s="34">
        <v>35.630000000000003</v>
      </c>
      <c r="Q919" s="34">
        <v>14.08</v>
      </c>
      <c r="R919" s="34">
        <v>11.23</v>
      </c>
      <c r="S919" s="34">
        <v>11.24</v>
      </c>
      <c r="T919" s="34">
        <v>3.51</v>
      </c>
      <c r="U919" s="34">
        <v>114.15</v>
      </c>
      <c r="V919" s="34">
        <v>45.64</v>
      </c>
      <c r="W919" s="34">
        <v>1.4</v>
      </c>
      <c r="X919" s="34">
        <v>0.28999999999999998</v>
      </c>
      <c r="Y919" s="35">
        <v>2.3731</v>
      </c>
      <c r="Z919" s="35">
        <v>3.0714000000000001</v>
      </c>
      <c r="AA919" s="35">
        <v>63.955199999999998</v>
      </c>
    </row>
    <row r="920" spans="1:27" ht="15.75" hidden="1" customHeight="1" x14ac:dyDescent="0.2">
      <c r="A920" s="2"/>
      <c r="B920" s="31">
        <v>915</v>
      </c>
      <c r="C920" s="36" t="s">
        <v>1992</v>
      </c>
      <c r="D920" s="36" t="s">
        <v>2128</v>
      </c>
      <c r="E920" s="36" t="s">
        <v>2129</v>
      </c>
      <c r="F920" s="36" t="s">
        <v>2142</v>
      </c>
      <c r="G920" s="36" t="s">
        <v>2143</v>
      </c>
      <c r="H920" s="37" t="s">
        <v>80</v>
      </c>
      <c r="I920" s="37" t="s">
        <v>81</v>
      </c>
      <c r="J920" s="37" t="s">
        <v>82</v>
      </c>
      <c r="K920" s="37" t="s">
        <v>87</v>
      </c>
      <c r="L920" s="36" t="s">
        <v>84</v>
      </c>
      <c r="M920" s="34">
        <v>5842.98</v>
      </c>
      <c r="N920" s="34">
        <v>2550.4899999999998</v>
      </c>
      <c r="O920" s="34">
        <v>3292.49</v>
      </c>
      <c r="P920" s="34">
        <v>308.25</v>
      </c>
      <c r="Q920" s="34">
        <v>181.6</v>
      </c>
      <c r="R920" s="34">
        <v>156.77000000000001</v>
      </c>
      <c r="S920" s="34">
        <v>133.91999999999999</v>
      </c>
      <c r="T920" s="34">
        <v>19.84</v>
      </c>
      <c r="U920" s="34">
        <v>898.04</v>
      </c>
      <c r="V920" s="34">
        <v>48.39</v>
      </c>
      <c r="W920" s="34">
        <v>1.07</v>
      </c>
      <c r="X920" s="34">
        <v>0.77</v>
      </c>
      <c r="Y920" s="35">
        <v>1.2448999999999999</v>
      </c>
      <c r="Z920" s="35">
        <v>2.2092999999999998</v>
      </c>
      <c r="AA920" s="35">
        <v>23.598099999999999</v>
      </c>
    </row>
    <row r="921" spans="1:27" ht="15.75" hidden="1" customHeight="1" x14ac:dyDescent="0.2">
      <c r="A921" s="2"/>
      <c r="B921" s="31">
        <v>916</v>
      </c>
      <c r="C921" s="36" t="s">
        <v>1992</v>
      </c>
      <c r="D921" s="36" t="s">
        <v>2128</v>
      </c>
      <c r="E921" s="36" t="s">
        <v>2129</v>
      </c>
      <c r="F921" s="36" t="s">
        <v>2144</v>
      </c>
      <c r="G921" s="36" t="s">
        <v>2145</v>
      </c>
      <c r="H921" s="37" t="s">
        <v>80</v>
      </c>
      <c r="I921" s="37" t="s">
        <v>81</v>
      </c>
      <c r="J921" s="37" t="s">
        <v>82</v>
      </c>
      <c r="K921" s="37" t="s">
        <v>87</v>
      </c>
      <c r="L921" s="36" t="s">
        <v>84</v>
      </c>
      <c r="M921" s="34">
        <v>159.33000000000001</v>
      </c>
      <c r="N921" s="34">
        <v>43.68</v>
      </c>
      <c r="O921" s="34">
        <v>115.65</v>
      </c>
      <c r="P921" s="34">
        <v>16.2</v>
      </c>
      <c r="Q921" s="34">
        <v>-1.9</v>
      </c>
      <c r="R921" s="34">
        <v>-1.6</v>
      </c>
      <c r="S921" s="34">
        <v>-1.6</v>
      </c>
      <c r="T921" s="34">
        <v>-4.05</v>
      </c>
      <c r="U921" s="34">
        <v>141.55000000000001</v>
      </c>
      <c r="V921" s="34">
        <v>-29.12</v>
      </c>
      <c r="W921" s="34">
        <v>0.83</v>
      </c>
      <c r="X921" s="34">
        <v>0.38</v>
      </c>
      <c r="Y921" s="35">
        <v>-2.0779999999999998</v>
      </c>
      <c r="Z921" s="35">
        <v>-2.8628999999999998</v>
      </c>
      <c r="AA921" s="35">
        <v>-20.438700000000001</v>
      </c>
    </row>
    <row r="922" spans="1:27" ht="15.75" hidden="1" customHeight="1" x14ac:dyDescent="0.2">
      <c r="A922" s="2"/>
      <c r="B922" s="31">
        <v>917</v>
      </c>
      <c r="C922" s="36" t="s">
        <v>1992</v>
      </c>
      <c r="D922" s="36" t="s">
        <v>2128</v>
      </c>
      <c r="E922" s="36" t="s">
        <v>2129</v>
      </c>
      <c r="F922" s="36" t="s">
        <v>2146</v>
      </c>
      <c r="G922" s="36" t="s">
        <v>2147</v>
      </c>
      <c r="H922" s="37" t="s">
        <v>80</v>
      </c>
      <c r="I922" s="37" t="s">
        <v>81</v>
      </c>
      <c r="J922" s="37" t="s">
        <v>82</v>
      </c>
      <c r="K922" s="37" t="s">
        <v>87</v>
      </c>
      <c r="L922" s="36" t="s">
        <v>84</v>
      </c>
      <c r="M922" s="34">
        <v>49437.760000000002</v>
      </c>
      <c r="N922" s="34">
        <v>17908.669999999998</v>
      </c>
      <c r="O922" s="34">
        <v>31529.09</v>
      </c>
      <c r="P922" s="34">
        <v>3324.92</v>
      </c>
      <c r="Q922" s="34">
        <v>1581.13</v>
      </c>
      <c r="R922" s="34">
        <v>1118.8399999999999</v>
      </c>
      <c r="S922" s="34">
        <v>1119.22</v>
      </c>
      <c r="T922" s="34">
        <v>51.06</v>
      </c>
      <c r="U922" s="34">
        <v>754.17</v>
      </c>
      <c r="V922" s="34">
        <v>27.32</v>
      </c>
      <c r="W922" s="34">
        <v>1.85</v>
      </c>
      <c r="X922" s="34">
        <v>0.56999999999999995</v>
      </c>
      <c r="Y922" s="35">
        <v>4.3178999999999998</v>
      </c>
      <c r="Z922" s="35">
        <v>6.7705000000000002</v>
      </c>
      <c r="AA922" s="35">
        <v>64.202600000000004</v>
      </c>
    </row>
    <row r="923" spans="1:27" ht="15.75" hidden="1" customHeight="1" x14ac:dyDescent="0.2">
      <c r="A923" s="2"/>
      <c r="B923" s="31">
        <v>918</v>
      </c>
      <c r="C923" s="36" t="s">
        <v>1992</v>
      </c>
      <c r="D923" s="36" t="s">
        <v>2128</v>
      </c>
      <c r="E923" s="36" t="s">
        <v>2129</v>
      </c>
      <c r="F923" s="36" t="s">
        <v>2148</v>
      </c>
      <c r="G923" s="36" t="s">
        <v>2149</v>
      </c>
      <c r="H923" s="37" t="s">
        <v>80</v>
      </c>
      <c r="I923" s="37" t="s">
        <v>81</v>
      </c>
      <c r="J923" s="37" t="s">
        <v>82</v>
      </c>
      <c r="K923" s="37" t="s">
        <v>87</v>
      </c>
      <c r="L923" s="36" t="s">
        <v>84</v>
      </c>
      <c r="M923" s="34">
        <v>19342.990000000002</v>
      </c>
      <c r="N923" s="34">
        <v>7911.58</v>
      </c>
      <c r="O923" s="34">
        <v>11431.41</v>
      </c>
      <c r="P923" s="34">
        <v>4404.1000000000004</v>
      </c>
      <c r="Q923" s="34">
        <v>821.88</v>
      </c>
      <c r="R923" s="34">
        <v>643.5</v>
      </c>
      <c r="S923" s="34">
        <v>643.5</v>
      </c>
      <c r="T923" s="34">
        <v>81.59</v>
      </c>
      <c r="U923" s="34">
        <v>710.59</v>
      </c>
      <c r="V923" s="34">
        <v>8.64</v>
      </c>
      <c r="W923" s="34">
        <v>0.99</v>
      </c>
      <c r="X923" s="34">
        <v>0.69</v>
      </c>
      <c r="Y923" s="35">
        <v>6.7859999999999996</v>
      </c>
      <c r="Z923" s="35">
        <v>11.4825</v>
      </c>
      <c r="AA923" s="35">
        <v>29.804400000000001</v>
      </c>
    </row>
    <row r="924" spans="1:27" ht="15.75" hidden="1" customHeight="1" x14ac:dyDescent="0.2">
      <c r="A924" s="2"/>
      <c r="B924" s="31">
        <v>919</v>
      </c>
      <c r="C924" s="36" t="s">
        <v>1992</v>
      </c>
      <c r="D924" s="36" t="s">
        <v>2128</v>
      </c>
      <c r="E924" s="36" t="s">
        <v>2129</v>
      </c>
      <c r="F924" s="36" t="s">
        <v>2150</v>
      </c>
      <c r="G924" s="36" t="s">
        <v>2151</v>
      </c>
      <c r="H924" s="37" t="s">
        <v>95</v>
      </c>
      <c r="I924" s="37" t="s">
        <v>81</v>
      </c>
      <c r="J924" s="37" t="s">
        <v>82</v>
      </c>
      <c r="K924" s="37" t="s">
        <v>87</v>
      </c>
      <c r="L924" s="36" t="s">
        <v>84</v>
      </c>
      <c r="M924" s="34">
        <v>450</v>
      </c>
      <c r="N924" s="34">
        <v>152.19</v>
      </c>
      <c r="O924" s="34">
        <v>297.8</v>
      </c>
      <c r="P924" s="34" t="s">
        <v>95</v>
      </c>
      <c r="Q924" s="34">
        <v>-12.91</v>
      </c>
      <c r="R924" s="34">
        <v>-12.91</v>
      </c>
      <c r="S924" s="34">
        <v>-11.23</v>
      </c>
      <c r="T924" s="34">
        <v>-10.36</v>
      </c>
      <c r="U924" s="34">
        <v>108.29</v>
      </c>
      <c r="V924" s="34">
        <v>-2.61</v>
      </c>
      <c r="W924" s="34">
        <v>0.25</v>
      </c>
      <c r="X924" s="34">
        <v>0.51</v>
      </c>
      <c r="Y924" s="35">
        <v>-6.3311000000000002</v>
      </c>
      <c r="Z924" s="35">
        <v>-9.5665999999999993</v>
      </c>
      <c r="AA924" s="35" t="s">
        <v>95</v>
      </c>
    </row>
    <row r="925" spans="1:27" ht="15.75" hidden="1" customHeight="1" x14ac:dyDescent="0.2">
      <c r="A925" s="2"/>
      <c r="B925" s="31">
        <v>920</v>
      </c>
      <c r="C925" s="36" t="s">
        <v>2152</v>
      </c>
      <c r="D925" s="36" t="s">
        <v>2153</v>
      </c>
      <c r="E925" s="36" t="s">
        <v>2154</v>
      </c>
      <c r="F925" s="36" t="s">
        <v>2155</v>
      </c>
      <c r="G925" s="36" t="s">
        <v>2156</v>
      </c>
      <c r="H925" s="37" t="s">
        <v>95</v>
      </c>
      <c r="I925" s="37" t="s">
        <v>81</v>
      </c>
      <c r="J925" s="37" t="s">
        <v>82</v>
      </c>
      <c r="K925" s="37" t="s">
        <v>87</v>
      </c>
      <c r="L925" s="36" t="s">
        <v>84</v>
      </c>
      <c r="M925" s="34">
        <v>8318.7000000000007</v>
      </c>
      <c r="N925" s="34">
        <v>5360.24</v>
      </c>
      <c r="O925" s="34">
        <v>2958.46</v>
      </c>
      <c r="P925" s="34">
        <v>2835.77</v>
      </c>
      <c r="Q925" s="34">
        <v>371.17</v>
      </c>
      <c r="R925" s="34">
        <v>290.81</v>
      </c>
      <c r="S925" s="34">
        <v>205.25</v>
      </c>
      <c r="T925" s="34">
        <v>86.85</v>
      </c>
      <c r="U925" s="34">
        <v>801.5</v>
      </c>
      <c r="V925" s="34">
        <v>9.73</v>
      </c>
      <c r="W925" s="34">
        <v>1.05</v>
      </c>
      <c r="X925" s="34">
        <v>1.81</v>
      </c>
      <c r="Y925" s="35">
        <v>3.8534999999999999</v>
      </c>
      <c r="Z925" s="35">
        <v>10.8355</v>
      </c>
      <c r="AA925" s="35">
        <v>11.3043</v>
      </c>
    </row>
    <row r="926" spans="1:27" ht="15.75" hidden="1" customHeight="1" x14ac:dyDescent="0.2">
      <c r="A926" s="2"/>
      <c r="B926" s="31">
        <v>921</v>
      </c>
      <c r="C926" s="36" t="s">
        <v>2152</v>
      </c>
      <c r="D926" s="36" t="s">
        <v>2153</v>
      </c>
      <c r="E926" s="36" t="s">
        <v>2154</v>
      </c>
      <c r="F926" s="36" t="s">
        <v>2157</v>
      </c>
      <c r="G926" s="36" t="s">
        <v>2158</v>
      </c>
      <c r="H926" s="37" t="s">
        <v>80</v>
      </c>
      <c r="I926" s="37" t="s">
        <v>81</v>
      </c>
      <c r="J926" s="37" t="s">
        <v>82</v>
      </c>
      <c r="K926" s="37" t="s">
        <v>87</v>
      </c>
      <c r="L926" s="36" t="s">
        <v>84</v>
      </c>
      <c r="M926" s="34">
        <v>9063.7199999999993</v>
      </c>
      <c r="N926" s="34">
        <v>3033.88</v>
      </c>
      <c r="O926" s="34">
        <v>6029.85</v>
      </c>
      <c r="P926" s="34">
        <v>2669.9</v>
      </c>
      <c r="Q926" s="34">
        <v>434.05</v>
      </c>
      <c r="R926" s="34">
        <v>339.07</v>
      </c>
      <c r="S926" s="34">
        <v>335.44</v>
      </c>
      <c r="T926" s="34">
        <v>262.83</v>
      </c>
      <c r="U926" s="34">
        <v>2409.91</v>
      </c>
      <c r="V926" s="34">
        <v>6.73</v>
      </c>
      <c r="W926" s="34">
        <v>0.73</v>
      </c>
      <c r="X926" s="34">
        <v>0.5</v>
      </c>
      <c r="Y926" s="35">
        <v>7.2556000000000003</v>
      </c>
      <c r="Z926" s="35">
        <v>10.9062</v>
      </c>
      <c r="AA926" s="35">
        <v>24.6312</v>
      </c>
    </row>
    <row r="927" spans="1:27" ht="15.75" hidden="1" customHeight="1" x14ac:dyDescent="0.2">
      <c r="A927" s="2"/>
      <c r="B927" s="31">
        <v>922</v>
      </c>
      <c r="C927" s="36" t="s">
        <v>2152</v>
      </c>
      <c r="D927" s="36" t="s">
        <v>2153</v>
      </c>
      <c r="E927" s="36" t="s">
        <v>2154</v>
      </c>
      <c r="F927" s="36" t="s">
        <v>2159</v>
      </c>
      <c r="G927" s="36" t="s">
        <v>2160</v>
      </c>
      <c r="H927" s="37" t="s">
        <v>95</v>
      </c>
      <c r="I927" s="37" t="s">
        <v>81</v>
      </c>
      <c r="J927" s="37" t="s">
        <v>82</v>
      </c>
      <c r="K927" s="37" t="s">
        <v>87</v>
      </c>
      <c r="L927" s="36" t="s">
        <v>84</v>
      </c>
      <c r="M927" s="34">
        <v>2096.61</v>
      </c>
      <c r="N927" s="34">
        <v>1510.83</v>
      </c>
      <c r="O927" s="34">
        <v>585.77</v>
      </c>
      <c r="P927" s="34">
        <v>288.95999999999998</v>
      </c>
      <c r="Q927" s="34">
        <v>34.97</v>
      </c>
      <c r="R927" s="34">
        <v>25.14</v>
      </c>
      <c r="S927" s="34">
        <v>25.14</v>
      </c>
      <c r="T927" s="34">
        <v>11.05</v>
      </c>
      <c r="U927" s="34">
        <v>165.75</v>
      </c>
      <c r="V927" s="34">
        <v>8.9600000000000009</v>
      </c>
      <c r="W927" s="34">
        <v>0.6</v>
      </c>
      <c r="X927" s="34">
        <v>2.58</v>
      </c>
      <c r="Y927" s="35">
        <v>1.8629</v>
      </c>
      <c r="Z927" s="35">
        <v>6.6679000000000004</v>
      </c>
      <c r="AA927" s="35">
        <v>13.5168</v>
      </c>
    </row>
    <row r="928" spans="1:27" ht="15.75" hidden="1" customHeight="1" x14ac:dyDescent="0.2">
      <c r="A928" s="2"/>
      <c r="B928" s="31">
        <v>923</v>
      </c>
      <c r="C928" s="36" t="s">
        <v>2152</v>
      </c>
      <c r="D928" s="36" t="s">
        <v>2161</v>
      </c>
      <c r="E928" s="36" t="s">
        <v>2162</v>
      </c>
      <c r="F928" s="36" t="s">
        <v>2163</v>
      </c>
      <c r="G928" s="36" t="s">
        <v>2164</v>
      </c>
      <c r="H928" s="37" t="s">
        <v>80</v>
      </c>
      <c r="I928" s="37" t="s">
        <v>81</v>
      </c>
      <c r="J928" s="37" t="s">
        <v>82</v>
      </c>
      <c r="K928" s="37" t="s">
        <v>87</v>
      </c>
      <c r="L928" s="36" t="s">
        <v>84</v>
      </c>
      <c r="M928" s="34">
        <v>5607.53</v>
      </c>
      <c r="N928" s="34">
        <v>15828.15</v>
      </c>
      <c r="O928" s="34">
        <v>-10220.620000000001</v>
      </c>
      <c r="P928" s="34">
        <v>3976.75</v>
      </c>
      <c r="Q928" s="34">
        <v>-785.84</v>
      </c>
      <c r="R928" s="34">
        <v>-785.84</v>
      </c>
      <c r="S928" s="34">
        <v>-787.72</v>
      </c>
      <c r="T928" s="34">
        <v>-95.38</v>
      </c>
      <c r="U928" s="34">
        <v>-956.53</v>
      </c>
      <c r="V928" s="34">
        <v>-1.02</v>
      </c>
      <c r="W928" s="34">
        <v>-0.1</v>
      </c>
      <c r="X928" s="34">
        <v>-1.55</v>
      </c>
      <c r="Y928" s="35">
        <v>-18.174900000000001</v>
      </c>
      <c r="Z928" s="35" t="s">
        <v>95</v>
      </c>
      <c r="AA928" s="35">
        <v>-25.628</v>
      </c>
    </row>
    <row r="929" spans="1:27" ht="15.75" hidden="1" customHeight="1" x14ac:dyDescent="0.2">
      <c r="A929" s="2"/>
      <c r="B929" s="31">
        <v>924</v>
      </c>
      <c r="C929" s="36" t="s">
        <v>2152</v>
      </c>
      <c r="D929" s="36" t="s">
        <v>2161</v>
      </c>
      <c r="E929" s="36" t="s">
        <v>2162</v>
      </c>
      <c r="F929" s="36" t="s">
        <v>2165</v>
      </c>
      <c r="G929" s="36" t="s">
        <v>2166</v>
      </c>
      <c r="H929" s="37" t="s">
        <v>80</v>
      </c>
      <c r="I929" s="37" t="s">
        <v>81</v>
      </c>
      <c r="J929" s="37" t="s">
        <v>82</v>
      </c>
      <c r="K929" s="37" t="s">
        <v>104</v>
      </c>
      <c r="L929" s="36" t="s">
        <v>90</v>
      </c>
      <c r="M929" s="34">
        <v>105735.64</v>
      </c>
      <c r="N929" s="34">
        <v>130024.03</v>
      </c>
      <c r="O929" s="34">
        <v>-24288.400000000001</v>
      </c>
      <c r="P929" s="34">
        <v>25128.86</v>
      </c>
      <c r="Q929" s="34">
        <v>-2634.18</v>
      </c>
      <c r="R929" s="34">
        <v>-2318.37</v>
      </c>
      <c r="S929" s="34">
        <v>-2332.5300000000002</v>
      </c>
      <c r="T929" s="34">
        <v>-20.12</v>
      </c>
      <c r="U929" s="34">
        <v>-265.5</v>
      </c>
      <c r="V929" s="34">
        <v>-4.07</v>
      </c>
      <c r="W929" s="34">
        <v>-0.31</v>
      </c>
      <c r="X929" s="34">
        <v>-5.35</v>
      </c>
      <c r="Y929" s="35">
        <v>-1.7412000000000001</v>
      </c>
      <c r="Z929" s="35" t="s">
        <v>95</v>
      </c>
      <c r="AA929" s="35">
        <v>-7.3263999999999996</v>
      </c>
    </row>
    <row r="930" spans="1:27" ht="15.75" hidden="1" customHeight="1" x14ac:dyDescent="0.2">
      <c r="A930" s="2"/>
      <c r="B930" s="31">
        <v>925</v>
      </c>
      <c r="C930" s="36" t="s">
        <v>2152</v>
      </c>
      <c r="D930" s="36" t="s">
        <v>2161</v>
      </c>
      <c r="E930" s="36" t="s">
        <v>2162</v>
      </c>
      <c r="F930" s="36" t="s">
        <v>2167</v>
      </c>
      <c r="G930" s="36" t="s">
        <v>2168</v>
      </c>
      <c r="H930" s="37" t="s">
        <v>95</v>
      </c>
      <c r="I930" s="37" t="s">
        <v>81</v>
      </c>
      <c r="J930" s="37" t="s">
        <v>82</v>
      </c>
      <c r="K930" s="37" t="s">
        <v>87</v>
      </c>
      <c r="L930" s="36" t="s">
        <v>84</v>
      </c>
      <c r="M930" s="34">
        <v>172.23</v>
      </c>
      <c r="N930" s="34">
        <v>106.74</v>
      </c>
      <c r="O930" s="34">
        <v>65.489999999999995</v>
      </c>
      <c r="P930" s="34">
        <v>59.8</v>
      </c>
      <c r="Q930" s="34">
        <v>2.74</v>
      </c>
      <c r="R930" s="34">
        <v>2.81</v>
      </c>
      <c r="S930" s="34">
        <v>2.79</v>
      </c>
      <c r="T930" s="34">
        <v>9.7200000000000006</v>
      </c>
      <c r="U930" s="34">
        <v>78.63</v>
      </c>
      <c r="V930" s="34">
        <v>24.27</v>
      </c>
      <c r="W930" s="34">
        <v>3</v>
      </c>
      <c r="X930" s="34">
        <v>1.63</v>
      </c>
      <c r="Y930" s="35">
        <v>4.7024999999999997</v>
      </c>
      <c r="Z930" s="35">
        <v>12.367100000000001</v>
      </c>
      <c r="AA930" s="35">
        <v>13.544700000000001</v>
      </c>
    </row>
    <row r="931" spans="1:27" ht="15.75" hidden="1" customHeight="1" x14ac:dyDescent="0.2">
      <c r="A931" s="2"/>
      <c r="B931" s="31">
        <v>926</v>
      </c>
      <c r="C931" s="36" t="s">
        <v>2152</v>
      </c>
      <c r="D931" s="36" t="s">
        <v>2153</v>
      </c>
      <c r="E931" s="36" t="s">
        <v>2154</v>
      </c>
      <c r="F931" s="36" t="s">
        <v>2169</v>
      </c>
      <c r="G931" s="36" t="s">
        <v>2170</v>
      </c>
      <c r="H931" s="37" t="s">
        <v>95</v>
      </c>
      <c r="I931" s="37" t="s">
        <v>81</v>
      </c>
      <c r="J931" s="37" t="s">
        <v>82</v>
      </c>
      <c r="K931" s="37" t="s">
        <v>104</v>
      </c>
      <c r="L931" s="36" t="s">
        <v>90</v>
      </c>
      <c r="M931" s="34">
        <v>30375.14</v>
      </c>
      <c r="N931" s="34">
        <v>25634</v>
      </c>
      <c r="O931" s="34">
        <v>4741.1400000000003</v>
      </c>
      <c r="P931" s="34">
        <v>2769.41</v>
      </c>
      <c r="Q931" s="34">
        <v>128.37</v>
      </c>
      <c r="R931" s="34">
        <v>49.8</v>
      </c>
      <c r="S931" s="34">
        <v>99.46</v>
      </c>
      <c r="T931" s="34">
        <v>25.65</v>
      </c>
      <c r="U931" s="34">
        <v>547.83000000000004</v>
      </c>
      <c r="V931" s="34">
        <v>9.51</v>
      </c>
      <c r="W931" s="34">
        <v>0.45</v>
      </c>
      <c r="X931" s="34">
        <v>5.41</v>
      </c>
      <c r="Y931" s="35">
        <v>0.73080000000000001</v>
      </c>
      <c r="Z931" s="35">
        <v>4.6821999999999999</v>
      </c>
      <c r="AA931" s="35">
        <v>8.0157000000000007</v>
      </c>
    </row>
    <row r="932" spans="1:27" ht="15.75" hidden="1" customHeight="1" x14ac:dyDescent="0.2">
      <c r="A932" s="2"/>
      <c r="B932" s="31">
        <v>927</v>
      </c>
      <c r="C932" s="36" t="s">
        <v>2152</v>
      </c>
      <c r="D932" s="36" t="s">
        <v>2153</v>
      </c>
      <c r="E932" s="36" t="s">
        <v>2154</v>
      </c>
      <c r="F932" s="36" t="s">
        <v>2171</v>
      </c>
      <c r="G932" s="36" t="s">
        <v>2172</v>
      </c>
      <c r="H932" s="37" t="s">
        <v>80</v>
      </c>
      <c r="I932" s="37" t="s">
        <v>81</v>
      </c>
      <c r="J932" s="37" t="s">
        <v>82</v>
      </c>
      <c r="K932" s="37" t="s">
        <v>87</v>
      </c>
      <c r="L932" s="36" t="s">
        <v>84</v>
      </c>
      <c r="M932" s="34">
        <v>319.16000000000003</v>
      </c>
      <c r="N932" s="34">
        <v>41.62</v>
      </c>
      <c r="O932" s="34">
        <v>277.52999999999997</v>
      </c>
      <c r="P932" s="34">
        <v>34.950000000000003</v>
      </c>
      <c r="Q932" s="34">
        <v>-12.34</v>
      </c>
      <c r="R932" s="34">
        <v>-12.34</v>
      </c>
      <c r="S932" s="34">
        <v>-12.34</v>
      </c>
      <c r="T932" s="34">
        <v>-45.17</v>
      </c>
      <c r="U932" s="34">
        <v>792.96</v>
      </c>
      <c r="V932" s="34">
        <v>-4.0999999999999996</v>
      </c>
      <c r="W932" s="34">
        <v>0.23</v>
      </c>
      <c r="X932" s="34">
        <v>0.15</v>
      </c>
      <c r="Y932" s="35">
        <v>-4.9534000000000002</v>
      </c>
      <c r="Z932" s="35">
        <v>-5.6962999999999999</v>
      </c>
      <c r="AA932" s="35">
        <v>-45.228900000000003</v>
      </c>
    </row>
    <row r="933" spans="1:27" ht="15.75" hidden="1" customHeight="1" x14ac:dyDescent="0.2">
      <c r="A933" s="2"/>
      <c r="B933" s="31">
        <v>928</v>
      </c>
      <c r="C933" s="36" t="s">
        <v>2152</v>
      </c>
      <c r="D933" s="36" t="s">
        <v>2153</v>
      </c>
      <c r="E933" s="36" t="s">
        <v>2154</v>
      </c>
      <c r="F933" s="36" t="s">
        <v>2173</v>
      </c>
      <c r="G933" s="36" t="s">
        <v>2174</v>
      </c>
      <c r="H933" s="37" t="s">
        <v>80</v>
      </c>
      <c r="I933" s="37" t="s">
        <v>81</v>
      </c>
      <c r="J933" s="37" t="s">
        <v>82</v>
      </c>
      <c r="K933" s="37" t="s">
        <v>87</v>
      </c>
      <c r="L933" s="36" t="s">
        <v>84</v>
      </c>
      <c r="M933" s="34">
        <v>199.11</v>
      </c>
      <c r="N933" s="34">
        <v>188.54</v>
      </c>
      <c r="O933" s="34">
        <v>10.57</v>
      </c>
      <c r="P933" s="34">
        <v>108.8</v>
      </c>
      <c r="Q933" s="34">
        <v>21.54</v>
      </c>
      <c r="R933" s="34">
        <v>21.54</v>
      </c>
      <c r="S933" s="34">
        <v>21.54</v>
      </c>
      <c r="T933" s="34">
        <v>35.04</v>
      </c>
      <c r="U933" s="34">
        <v>17.18</v>
      </c>
      <c r="V933" s="34">
        <v>5.82</v>
      </c>
      <c r="W933" s="34">
        <v>11.88</v>
      </c>
      <c r="X933" s="34">
        <v>17.84</v>
      </c>
      <c r="Y933" s="35">
        <v>10.8255</v>
      </c>
      <c r="Z933" s="35">
        <v>203.99870000000001</v>
      </c>
      <c r="AA933" s="35">
        <v>19.811499999999999</v>
      </c>
    </row>
    <row r="934" spans="1:27" ht="15.75" hidden="1" customHeight="1" x14ac:dyDescent="0.2">
      <c r="A934" s="2"/>
      <c r="B934" s="31">
        <v>929</v>
      </c>
      <c r="C934" s="36" t="s">
        <v>2152</v>
      </c>
      <c r="D934" s="36" t="s">
        <v>2153</v>
      </c>
      <c r="E934" s="36" t="s">
        <v>2154</v>
      </c>
      <c r="F934" s="36" t="s">
        <v>2175</v>
      </c>
      <c r="G934" s="36" t="s">
        <v>2176</v>
      </c>
      <c r="H934" s="37" t="s">
        <v>80</v>
      </c>
      <c r="I934" s="37" t="s">
        <v>81</v>
      </c>
      <c r="J934" s="37" t="s">
        <v>82</v>
      </c>
      <c r="K934" s="37" t="s">
        <v>87</v>
      </c>
      <c r="L934" s="36" t="s">
        <v>84</v>
      </c>
      <c r="M934" s="34">
        <v>55.97</v>
      </c>
      <c r="N934" s="34">
        <v>3.63</v>
      </c>
      <c r="O934" s="34">
        <v>52.34</v>
      </c>
      <c r="P934" s="34">
        <v>1.53</v>
      </c>
      <c r="Q934" s="34">
        <v>-2.92</v>
      </c>
      <c r="R934" s="34">
        <v>-2.92</v>
      </c>
      <c r="S934" s="34">
        <v>-2.92</v>
      </c>
      <c r="T934" s="34">
        <v>-0.28999999999999998</v>
      </c>
      <c r="U934" s="34">
        <v>5.12</v>
      </c>
      <c r="V934" s="34">
        <v>-86.57</v>
      </c>
      <c r="W934" s="34">
        <v>4.88</v>
      </c>
      <c r="X934" s="34">
        <v>7.0000000000000007E-2</v>
      </c>
      <c r="Y934" s="35">
        <v>-5.2747999999999999</v>
      </c>
      <c r="Z934" s="35">
        <v>-5.6403999999999996</v>
      </c>
      <c r="AA934" s="35">
        <v>-192.6172</v>
      </c>
    </row>
    <row r="935" spans="1:27" ht="15.75" hidden="1" customHeight="1" x14ac:dyDescent="0.2">
      <c r="A935" s="2"/>
      <c r="B935" s="31">
        <v>930</v>
      </c>
      <c r="C935" s="36" t="s">
        <v>2152</v>
      </c>
      <c r="D935" s="36" t="s">
        <v>2153</v>
      </c>
      <c r="E935" s="36" t="s">
        <v>2154</v>
      </c>
      <c r="F935" s="36" t="s">
        <v>2177</v>
      </c>
      <c r="G935" s="36" t="s">
        <v>2178</v>
      </c>
      <c r="H935" s="37" t="s">
        <v>95</v>
      </c>
      <c r="I935" s="37" t="s">
        <v>81</v>
      </c>
      <c r="J935" s="37" t="s">
        <v>82</v>
      </c>
      <c r="K935" s="37" t="s">
        <v>87</v>
      </c>
      <c r="L935" s="36" t="s">
        <v>84</v>
      </c>
      <c r="M935" s="34">
        <v>791.99</v>
      </c>
      <c r="N935" s="34">
        <v>398.57</v>
      </c>
      <c r="O935" s="34">
        <v>393.42</v>
      </c>
      <c r="P935" s="34">
        <v>270.85000000000002</v>
      </c>
      <c r="Q935" s="34">
        <v>11.65</v>
      </c>
      <c r="R935" s="34">
        <v>7.96</v>
      </c>
      <c r="S935" s="34">
        <v>7.96</v>
      </c>
      <c r="T935" s="34">
        <v>-4.0999999999999996</v>
      </c>
      <c r="U935" s="34">
        <v>260.51</v>
      </c>
      <c r="V935" s="34">
        <v>-38.57</v>
      </c>
      <c r="W935" s="34">
        <v>0.61</v>
      </c>
      <c r="X935" s="34">
        <v>1.01</v>
      </c>
      <c r="Y935" s="35">
        <v>-0.78110000000000002</v>
      </c>
      <c r="Z935" s="35">
        <v>-1.5724</v>
      </c>
      <c r="AA935" s="35">
        <v>-2.2839</v>
      </c>
    </row>
    <row r="936" spans="1:27" ht="15.75" hidden="1" customHeight="1" x14ac:dyDescent="0.2">
      <c r="A936" s="2"/>
      <c r="B936" s="31">
        <v>931</v>
      </c>
      <c r="C936" s="36" t="s">
        <v>2152</v>
      </c>
      <c r="D936" s="36" t="s">
        <v>2153</v>
      </c>
      <c r="E936" s="36" t="s">
        <v>2154</v>
      </c>
      <c r="F936" s="36" t="s">
        <v>2179</v>
      </c>
      <c r="G936" s="36" t="s">
        <v>2180</v>
      </c>
      <c r="H936" s="37" t="s">
        <v>80</v>
      </c>
      <c r="I936" s="37" t="s">
        <v>81</v>
      </c>
      <c r="J936" s="37" t="s">
        <v>82</v>
      </c>
      <c r="K936" s="37" t="s">
        <v>87</v>
      </c>
      <c r="L936" s="36" t="s">
        <v>84</v>
      </c>
      <c r="M936" s="34">
        <v>389.56</v>
      </c>
      <c r="N936" s="34">
        <v>137.49</v>
      </c>
      <c r="O936" s="34">
        <v>252.08</v>
      </c>
      <c r="P936" s="34">
        <v>152.52000000000001</v>
      </c>
      <c r="Q936" s="34">
        <v>17.489999999999998</v>
      </c>
      <c r="R936" s="34">
        <v>13.64</v>
      </c>
      <c r="S936" s="34">
        <v>13.64</v>
      </c>
      <c r="T936" s="34">
        <v>18.940000000000001</v>
      </c>
      <c r="U936" s="34">
        <v>172.59</v>
      </c>
      <c r="V936" s="34">
        <v>6.07</v>
      </c>
      <c r="W936" s="34">
        <v>0.67</v>
      </c>
      <c r="X936" s="34">
        <v>0.55000000000000004</v>
      </c>
      <c r="Y936" s="35">
        <v>7.1002999999999998</v>
      </c>
      <c r="Z936" s="35">
        <v>10.973000000000001</v>
      </c>
      <c r="AA936" s="35">
        <v>18.1356</v>
      </c>
    </row>
    <row r="937" spans="1:27" ht="15.75" hidden="1" customHeight="1" x14ac:dyDescent="0.2">
      <c r="A937" s="2"/>
      <c r="B937" s="31">
        <v>932</v>
      </c>
      <c r="C937" s="36" t="s">
        <v>2152</v>
      </c>
      <c r="D937" s="36" t="s">
        <v>2181</v>
      </c>
      <c r="E937" s="36" t="s">
        <v>2182</v>
      </c>
      <c r="F937" s="36" t="s">
        <v>2183</v>
      </c>
      <c r="G937" s="36" t="s">
        <v>2184</v>
      </c>
      <c r="H937" s="37" t="s">
        <v>80</v>
      </c>
      <c r="I937" s="37" t="s">
        <v>81</v>
      </c>
      <c r="J937" s="37" t="s">
        <v>82</v>
      </c>
      <c r="K937" s="37" t="s">
        <v>87</v>
      </c>
      <c r="L937" s="36" t="s">
        <v>84</v>
      </c>
      <c r="M937" s="34">
        <v>308.08999999999997</v>
      </c>
      <c r="N937" s="34">
        <v>131.72</v>
      </c>
      <c r="O937" s="34">
        <v>176.37</v>
      </c>
      <c r="P937" s="34">
        <v>243.38</v>
      </c>
      <c r="Q937" s="34">
        <v>10.68</v>
      </c>
      <c r="R937" s="34">
        <v>7.58</v>
      </c>
      <c r="S937" s="34">
        <v>7.56</v>
      </c>
      <c r="T937" s="34">
        <v>-1.69</v>
      </c>
      <c r="U937" s="34">
        <v>244.95</v>
      </c>
      <c r="V937" s="34">
        <v>-190.5</v>
      </c>
      <c r="W937" s="34">
        <v>1.31</v>
      </c>
      <c r="X937" s="34">
        <v>0.75</v>
      </c>
      <c r="Y937" s="35">
        <v>-0.39500000000000002</v>
      </c>
      <c r="Z937" s="35">
        <v>-0.69010000000000005</v>
      </c>
      <c r="AA937" s="35">
        <v>-0.5</v>
      </c>
    </row>
    <row r="938" spans="1:27" ht="15.75" hidden="1" customHeight="1" x14ac:dyDescent="0.2">
      <c r="A938" s="2"/>
      <c r="B938" s="31">
        <v>933</v>
      </c>
      <c r="C938" s="36" t="s">
        <v>2152</v>
      </c>
      <c r="D938" s="36" t="s">
        <v>2181</v>
      </c>
      <c r="E938" s="36" t="s">
        <v>2182</v>
      </c>
      <c r="F938" s="36" t="s">
        <v>2185</v>
      </c>
      <c r="G938" s="36" t="s">
        <v>2186</v>
      </c>
      <c r="H938" s="37" t="s">
        <v>80</v>
      </c>
      <c r="I938" s="37" t="s">
        <v>81</v>
      </c>
      <c r="J938" s="37" t="s">
        <v>82</v>
      </c>
      <c r="K938" s="37" t="s">
        <v>87</v>
      </c>
      <c r="L938" s="36" t="s">
        <v>84</v>
      </c>
      <c r="M938" s="34">
        <v>841.48</v>
      </c>
      <c r="N938" s="34">
        <v>432.49</v>
      </c>
      <c r="O938" s="34">
        <v>408.99</v>
      </c>
      <c r="P938" s="34">
        <v>626.48</v>
      </c>
      <c r="Q938" s="34">
        <v>90.69</v>
      </c>
      <c r="R938" s="34">
        <v>71.08</v>
      </c>
      <c r="S938" s="34">
        <v>71.08</v>
      </c>
      <c r="T938" s="34">
        <v>38.729999999999997</v>
      </c>
      <c r="U938" s="34">
        <v>121.02</v>
      </c>
      <c r="V938" s="34">
        <v>13.3</v>
      </c>
      <c r="W938" s="34">
        <v>4.26</v>
      </c>
      <c r="X938" s="34">
        <v>1.06</v>
      </c>
      <c r="Y938" s="35">
        <v>15.5555</v>
      </c>
      <c r="Z938" s="35">
        <v>32.004899999999999</v>
      </c>
      <c r="AA938" s="35">
        <v>20.894200000000001</v>
      </c>
    </row>
    <row r="939" spans="1:27" ht="15.75" hidden="1" customHeight="1" x14ac:dyDescent="0.2">
      <c r="A939" s="2"/>
      <c r="B939" s="31">
        <v>934</v>
      </c>
      <c r="C939" s="36" t="s">
        <v>2152</v>
      </c>
      <c r="D939" s="36" t="s">
        <v>2181</v>
      </c>
      <c r="E939" s="36" t="s">
        <v>2182</v>
      </c>
      <c r="F939" s="36" t="s">
        <v>2187</v>
      </c>
      <c r="G939" s="36" t="s">
        <v>2188</v>
      </c>
      <c r="H939" s="37" t="s">
        <v>80</v>
      </c>
      <c r="I939" s="37" t="s">
        <v>81</v>
      </c>
      <c r="J939" s="37" t="s">
        <v>82</v>
      </c>
      <c r="K939" s="37" t="s">
        <v>87</v>
      </c>
      <c r="L939" s="36" t="s">
        <v>84</v>
      </c>
      <c r="M939" s="34">
        <v>2373.7399999999998</v>
      </c>
      <c r="N939" s="34">
        <v>1285.75</v>
      </c>
      <c r="O939" s="34">
        <v>1087.99</v>
      </c>
      <c r="P939" s="34">
        <v>412.3</v>
      </c>
      <c r="Q939" s="34">
        <v>37.19</v>
      </c>
      <c r="R939" s="34">
        <v>31.83</v>
      </c>
      <c r="S939" s="34">
        <v>31.83</v>
      </c>
      <c r="T939" s="34">
        <v>2.84</v>
      </c>
      <c r="U939" s="34">
        <v>41.94</v>
      </c>
      <c r="V939" s="34">
        <v>12.32</v>
      </c>
      <c r="W939" s="34">
        <v>0.83</v>
      </c>
      <c r="X939" s="34">
        <v>1.18</v>
      </c>
      <c r="Y939" s="35">
        <v>3.1051000000000002</v>
      </c>
      <c r="Z939" s="35">
        <v>6.7747000000000002</v>
      </c>
      <c r="AA939" s="35">
        <v>17.877199999999998</v>
      </c>
    </row>
    <row r="940" spans="1:27" ht="15.75" hidden="1" customHeight="1" x14ac:dyDescent="0.2">
      <c r="A940" s="2"/>
      <c r="B940" s="31">
        <v>935</v>
      </c>
      <c r="C940" s="36" t="s">
        <v>2152</v>
      </c>
      <c r="D940" s="36" t="s">
        <v>2181</v>
      </c>
      <c r="E940" s="36" t="s">
        <v>2182</v>
      </c>
      <c r="F940" s="36" t="s">
        <v>2189</v>
      </c>
      <c r="G940" s="36" t="s">
        <v>2190</v>
      </c>
      <c r="H940" s="37" t="s">
        <v>95</v>
      </c>
      <c r="I940" s="37" t="s">
        <v>127</v>
      </c>
      <c r="J940" s="37" t="s">
        <v>82</v>
      </c>
      <c r="K940" s="37" t="s">
        <v>87</v>
      </c>
      <c r="L940" s="36" t="s">
        <v>84</v>
      </c>
      <c r="M940" s="34">
        <v>150.88999999999999</v>
      </c>
      <c r="N940" s="34">
        <v>207.97</v>
      </c>
      <c r="O940" s="34">
        <v>-57.08</v>
      </c>
      <c r="P940" s="34">
        <v>33.369999999999997</v>
      </c>
      <c r="Q940" s="34">
        <v>-9.56</v>
      </c>
      <c r="R940" s="34">
        <v>-9.56</v>
      </c>
      <c r="S940" s="34">
        <v>-9.5</v>
      </c>
      <c r="T940" s="34">
        <v>-15.67</v>
      </c>
      <c r="U940" s="34">
        <v>-49.8</v>
      </c>
      <c r="V940" s="34">
        <v>-0.38</v>
      </c>
      <c r="W940" s="34">
        <v>-0.12</v>
      </c>
      <c r="X940" s="34">
        <v>-3.64</v>
      </c>
      <c r="Y940" s="35">
        <v>-11.9061</v>
      </c>
      <c r="Z940" s="35" t="s">
        <v>95</v>
      </c>
      <c r="AA940" s="35">
        <v>-53.843000000000004</v>
      </c>
    </row>
    <row r="941" spans="1:27" ht="15.75" hidden="1" customHeight="1" x14ac:dyDescent="0.2">
      <c r="A941" s="2"/>
      <c r="B941" s="31">
        <v>936</v>
      </c>
      <c r="C941" s="36" t="s">
        <v>2152</v>
      </c>
      <c r="D941" s="36" t="s">
        <v>2181</v>
      </c>
      <c r="E941" s="36" t="s">
        <v>2182</v>
      </c>
      <c r="F941" s="36" t="s">
        <v>2191</v>
      </c>
      <c r="G941" s="36" t="s">
        <v>2192</v>
      </c>
      <c r="H941" s="37" t="s">
        <v>80</v>
      </c>
      <c r="I941" s="37" t="s">
        <v>81</v>
      </c>
      <c r="J941" s="37" t="s">
        <v>82</v>
      </c>
      <c r="K941" s="37" t="s">
        <v>87</v>
      </c>
      <c r="L941" s="36" t="s">
        <v>84</v>
      </c>
      <c r="M941" s="34">
        <v>2664.3</v>
      </c>
      <c r="N941" s="34">
        <v>494.09</v>
      </c>
      <c r="O941" s="34">
        <v>2170.2199999999998</v>
      </c>
      <c r="P941" s="34">
        <v>543.66</v>
      </c>
      <c r="Q941" s="34">
        <v>137.56</v>
      </c>
      <c r="R941" s="34">
        <v>137.56</v>
      </c>
      <c r="S941" s="34">
        <v>136.61000000000001</v>
      </c>
      <c r="T941" s="34">
        <v>39.619999999999997</v>
      </c>
      <c r="U941" s="34">
        <v>292.8</v>
      </c>
      <c r="V941" s="34">
        <v>8.83</v>
      </c>
      <c r="W941" s="34">
        <v>1.2</v>
      </c>
      <c r="X941" s="34">
        <v>0.23</v>
      </c>
      <c r="Y941" s="35">
        <v>11.0215</v>
      </c>
      <c r="Z941" s="35">
        <v>13.530799999999999</v>
      </c>
      <c r="AA941" s="35">
        <v>54.013300000000001</v>
      </c>
    </row>
    <row r="942" spans="1:27" ht="15.75" hidden="1" customHeight="1" x14ac:dyDescent="0.2">
      <c r="A942" s="2"/>
      <c r="B942" s="31">
        <v>937</v>
      </c>
      <c r="C942" s="36" t="s">
        <v>2152</v>
      </c>
      <c r="D942" s="36" t="s">
        <v>2181</v>
      </c>
      <c r="E942" s="36" t="s">
        <v>2182</v>
      </c>
      <c r="F942" s="36" t="s">
        <v>2193</v>
      </c>
      <c r="G942" s="36" t="s">
        <v>2194</v>
      </c>
      <c r="H942" s="37" t="s">
        <v>80</v>
      </c>
      <c r="I942" s="37" t="s">
        <v>81</v>
      </c>
      <c r="J942" s="37" t="s">
        <v>82</v>
      </c>
      <c r="K942" s="37" t="s">
        <v>87</v>
      </c>
      <c r="L942" s="36" t="s">
        <v>84</v>
      </c>
      <c r="M942" s="34">
        <v>1021.73</v>
      </c>
      <c r="N942" s="34">
        <v>672.04</v>
      </c>
      <c r="O942" s="34">
        <v>349.7</v>
      </c>
      <c r="P942" s="34">
        <v>276.02999999999997</v>
      </c>
      <c r="Q942" s="34">
        <v>38.94</v>
      </c>
      <c r="R942" s="34">
        <v>29.29</v>
      </c>
      <c r="S942" s="34">
        <v>29.28</v>
      </c>
      <c r="T942" s="34">
        <v>26.15</v>
      </c>
      <c r="U942" s="34">
        <v>184.6</v>
      </c>
      <c r="V942" s="34">
        <v>12.54</v>
      </c>
      <c r="W942" s="34">
        <v>1.78</v>
      </c>
      <c r="X942" s="34">
        <v>1.92</v>
      </c>
      <c r="Y942" s="35">
        <v>4.8484999999999996</v>
      </c>
      <c r="Z942" s="35">
        <v>14.166</v>
      </c>
      <c r="AA942" s="35">
        <v>17.9466</v>
      </c>
    </row>
    <row r="943" spans="1:27" ht="15.75" hidden="1" customHeight="1" x14ac:dyDescent="0.2">
      <c r="A943" s="2"/>
      <c r="B943" s="31">
        <v>938</v>
      </c>
      <c r="C943" s="36" t="s">
        <v>2152</v>
      </c>
      <c r="D943" s="36" t="s">
        <v>2181</v>
      </c>
      <c r="E943" s="36" t="s">
        <v>2182</v>
      </c>
      <c r="F943" s="36" t="s">
        <v>2195</v>
      </c>
      <c r="G943" s="36" t="s">
        <v>2196</v>
      </c>
      <c r="H943" s="37" t="s">
        <v>80</v>
      </c>
      <c r="I943" s="37" t="s">
        <v>81</v>
      </c>
      <c r="J943" s="37" t="s">
        <v>82</v>
      </c>
      <c r="K943" s="37" t="s">
        <v>87</v>
      </c>
      <c r="L943" s="36" t="s">
        <v>84</v>
      </c>
      <c r="M943" s="34">
        <v>1224.58</v>
      </c>
      <c r="N943" s="34">
        <v>438.4</v>
      </c>
      <c r="O943" s="34">
        <v>786.19</v>
      </c>
      <c r="P943" s="34">
        <v>434.86</v>
      </c>
      <c r="Q943" s="34">
        <v>40.36</v>
      </c>
      <c r="R943" s="34">
        <v>34.090000000000003</v>
      </c>
      <c r="S943" s="34">
        <v>34.96</v>
      </c>
      <c r="T943" s="34">
        <v>37.92</v>
      </c>
      <c r="U943" s="34">
        <v>299.36</v>
      </c>
      <c r="V943" s="34">
        <v>5.19</v>
      </c>
      <c r="W943" s="34">
        <v>0.66</v>
      </c>
      <c r="X943" s="34">
        <v>0.56000000000000005</v>
      </c>
      <c r="Y943" s="35">
        <v>8.1327999999999996</v>
      </c>
      <c r="Z943" s="35">
        <v>12.667899999999999</v>
      </c>
      <c r="AA943" s="35">
        <v>22.9024</v>
      </c>
    </row>
    <row r="944" spans="1:27" ht="15.75" hidden="1" customHeight="1" x14ac:dyDescent="0.2">
      <c r="A944" s="2"/>
      <c r="B944" s="31">
        <v>939</v>
      </c>
      <c r="C944" s="36" t="s">
        <v>2152</v>
      </c>
      <c r="D944" s="36" t="s">
        <v>2181</v>
      </c>
      <c r="E944" s="36" t="s">
        <v>2182</v>
      </c>
      <c r="F944" s="36" t="s">
        <v>2197</v>
      </c>
      <c r="G944" s="36" t="s">
        <v>2198</v>
      </c>
      <c r="H944" s="37" t="s">
        <v>80</v>
      </c>
      <c r="I944" s="37" t="s">
        <v>81</v>
      </c>
      <c r="J944" s="37" t="s">
        <v>82</v>
      </c>
      <c r="K944" s="37" t="s">
        <v>87</v>
      </c>
      <c r="L944" s="36" t="s">
        <v>84</v>
      </c>
      <c r="M944" s="34">
        <v>1883.04</v>
      </c>
      <c r="N944" s="34">
        <v>266.63</v>
      </c>
      <c r="O944" s="34">
        <v>1616.4</v>
      </c>
      <c r="P944" s="34">
        <v>520.11</v>
      </c>
      <c r="Q944" s="34">
        <v>116.12</v>
      </c>
      <c r="R944" s="34">
        <v>109.88</v>
      </c>
      <c r="S944" s="34">
        <v>109.88</v>
      </c>
      <c r="T944" s="34">
        <v>19.23</v>
      </c>
      <c r="U944" s="34">
        <v>186.22</v>
      </c>
      <c r="V944" s="34">
        <v>12.38</v>
      </c>
      <c r="W944" s="34">
        <v>1.28</v>
      </c>
      <c r="X944" s="34">
        <v>0.16</v>
      </c>
      <c r="Y944" s="35">
        <v>8.8628</v>
      </c>
      <c r="Z944" s="35">
        <v>10.3247</v>
      </c>
      <c r="AA944" s="35">
        <v>32.087200000000003</v>
      </c>
    </row>
    <row r="945" spans="1:27" ht="15.75" hidden="1" customHeight="1" x14ac:dyDescent="0.2">
      <c r="A945" s="2"/>
      <c r="B945" s="31">
        <v>940</v>
      </c>
      <c r="C945" s="36" t="s">
        <v>2152</v>
      </c>
      <c r="D945" s="36" t="s">
        <v>2181</v>
      </c>
      <c r="E945" s="36" t="s">
        <v>2182</v>
      </c>
      <c r="F945" s="36" t="s">
        <v>2199</v>
      </c>
      <c r="G945" s="36" t="s">
        <v>2200</v>
      </c>
      <c r="H945" s="37" t="s">
        <v>80</v>
      </c>
      <c r="I945" s="37" t="s">
        <v>81</v>
      </c>
      <c r="J945" s="37" t="s">
        <v>82</v>
      </c>
      <c r="K945" s="37" t="s">
        <v>87</v>
      </c>
      <c r="L945" s="36" t="s">
        <v>84</v>
      </c>
      <c r="M945" s="34">
        <v>251.55</v>
      </c>
      <c r="N945" s="34">
        <v>125.66</v>
      </c>
      <c r="O945" s="34">
        <v>125.89</v>
      </c>
      <c r="P945" s="34">
        <v>32.9</v>
      </c>
      <c r="Q945" s="34">
        <v>2.0699999999999998</v>
      </c>
      <c r="R945" s="34">
        <v>2.0699999999999998</v>
      </c>
      <c r="S945" s="34">
        <v>2.0699999999999998</v>
      </c>
      <c r="T945" s="34">
        <v>3.23</v>
      </c>
      <c r="U945" s="34">
        <v>157.65</v>
      </c>
      <c r="V945" s="34">
        <v>31.54</v>
      </c>
      <c r="W945" s="34">
        <v>0.65</v>
      </c>
      <c r="X945" s="34">
        <v>1</v>
      </c>
      <c r="Y945" s="35">
        <v>1.0264</v>
      </c>
      <c r="Z945" s="35">
        <v>2.0510000000000002</v>
      </c>
      <c r="AA945" s="35">
        <v>7.8483000000000001</v>
      </c>
    </row>
    <row r="946" spans="1:27" ht="15.75" hidden="1" customHeight="1" x14ac:dyDescent="0.2">
      <c r="A946" s="2"/>
      <c r="B946" s="31">
        <v>941</v>
      </c>
      <c r="C946" s="36" t="s">
        <v>2152</v>
      </c>
      <c r="D946" s="36" t="s">
        <v>2181</v>
      </c>
      <c r="E946" s="36" t="s">
        <v>2182</v>
      </c>
      <c r="F946" s="36" t="s">
        <v>2201</v>
      </c>
      <c r="G946" s="36" t="s">
        <v>2202</v>
      </c>
      <c r="H946" s="37" t="s">
        <v>95</v>
      </c>
      <c r="I946" s="37" t="s">
        <v>81</v>
      </c>
      <c r="J946" s="37" t="s">
        <v>82</v>
      </c>
      <c r="K946" s="37" t="s">
        <v>87</v>
      </c>
      <c r="L946" s="36" t="s">
        <v>84</v>
      </c>
      <c r="M946" s="34">
        <v>66.17</v>
      </c>
      <c r="N946" s="34">
        <v>3.63</v>
      </c>
      <c r="O946" s="34">
        <v>62.54</v>
      </c>
      <c r="P946" s="34">
        <v>1.93</v>
      </c>
      <c r="Q946" s="34">
        <v>0.16</v>
      </c>
      <c r="R946" s="34">
        <v>0.16</v>
      </c>
      <c r="S946" s="34">
        <v>0.16</v>
      </c>
      <c r="T946" s="34">
        <v>-0.67</v>
      </c>
      <c r="U946" s="34">
        <v>125.09</v>
      </c>
      <c r="V946" s="34">
        <v>-444.44</v>
      </c>
      <c r="W946" s="34">
        <v>2.38</v>
      </c>
      <c r="X946" s="34">
        <v>0.06</v>
      </c>
      <c r="Y946" s="35">
        <v>-0.50660000000000005</v>
      </c>
      <c r="Z946" s="35">
        <v>-0.53600000000000003</v>
      </c>
      <c r="AA946" s="35">
        <v>-17.3797</v>
      </c>
    </row>
    <row r="947" spans="1:27" ht="15.75" hidden="1" customHeight="1" x14ac:dyDescent="0.2">
      <c r="A947" s="2"/>
      <c r="B947" s="31">
        <v>942</v>
      </c>
      <c r="C947" s="36" t="s">
        <v>2152</v>
      </c>
      <c r="D947" s="36" t="s">
        <v>2181</v>
      </c>
      <c r="E947" s="36" t="s">
        <v>2182</v>
      </c>
      <c r="F947" s="36" t="s">
        <v>2203</v>
      </c>
      <c r="G947" s="36" t="s">
        <v>2204</v>
      </c>
      <c r="H947" s="37" t="s">
        <v>80</v>
      </c>
      <c r="I947" s="37" t="s">
        <v>81</v>
      </c>
      <c r="J947" s="37" t="s">
        <v>82</v>
      </c>
      <c r="K947" s="37" t="s">
        <v>87</v>
      </c>
      <c r="L947" s="36" t="s">
        <v>84</v>
      </c>
      <c r="M947" s="34">
        <v>416.42</v>
      </c>
      <c r="N947" s="34">
        <v>159.97999999999999</v>
      </c>
      <c r="O947" s="34">
        <v>256.44</v>
      </c>
      <c r="P947" s="34">
        <v>103.56</v>
      </c>
      <c r="Q947" s="34">
        <v>27.72</v>
      </c>
      <c r="R947" s="34">
        <v>25.09</v>
      </c>
      <c r="S947" s="34">
        <v>24.83</v>
      </c>
      <c r="T947" s="34">
        <v>12.48</v>
      </c>
      <c r="U947" s="34">
        <v>70.37</v>
      </c>
      <c r="V947" s="34">
        <v>10.82</v>
      </c>
      <c r="W947" s="34">
        <v>1.92</v>
      </c>
      <c r="X947" s="34">
        <v>0.62</v>
      </c>
      <c r="Y947" s="35">
        <v>10.919</v>
      </c>
      <c r="Z947" s="35">
        <v>17.730499999999999</v>
      </c>
      <c r="AA947" s="35">
        <v>43.906700000000001</v>
      </c>
    </row>
    <row r="948" spans="1:27" ht="15.75" hidden="1" customHeight="1" x14ac:dyDescent="0.2">
      <c r="A948" s="2"/>
      <c r="B948" s="31">
        <v>943</v>
      </c>
      <c r="C948" s="36" t="s">
        <v>2152</v>
      </c>
      <c r="D948" s="36" t="s">
        <v>2181</v>
      </c>
      <c r="E948" s="36" t="s">
        <v>2182</v>
      </c>
      <c r="F948" s="36" t="s">
        <v>2205</v>
      </c>
      <c r="G948" s="36" t="s">
        <v>2206</v>
      </c>
      <c r="H948" s="37" t="s">
        <v>80</v>
      </c>
      <c r="I948" s="37" t="s">
        <v>81</v>
      </c>
      <c r="J948" s="37" t="s">
        <v>82</v>
      </c>
      <c r="K948" s="37" t="s">
        <v>87</v>
      </c>
      <c r="L948" s="36" t="s">
        <v>84</v>
      </c>
      <c r="M948" s="34">
        <v>246.26</v>
      </c>
      <c r="N948" s="34">
        <v>118.03</v>
      </c>
      <c r="O948" s="34">
        <v>128.22999999999999</v>
      </c>
      <c r="P948" s="34">
        <v>105.67</v>
      </c>
      <c r="Q948" s="34">
        <v>-0.84</v>
      </c>
      <c r="R948" s="34">
        <v>-1.07</v>
      </c>
      <c r="S948" s="34">
        <v>-1.07</v>
      </c>
      <c r="T948" s="34">
        <v>-1.35</v>
      </c>
      <c r="U948" s="34">
        <v>59.64</v>
      </c>
      <c r="V948" s="34">
        <v>-53.43</v>
      </c>
      <c r="W948" s="34">
        <v>1.21</v>
      </c>
      <c r="X948" s="34">
        <v>0.92</v>
      </c>
      <c r="Y948" s="35">
        <v>-1.1763999999999999</v>
      </c>
      <c r="Z948" s="35">
        <v>-2.2591999999999999</v>
      </c>
      <c r="AA948" s="35">
        <v>-2.7414000000000001</v>
      </c>
    </row>
    <row r="949" spans="1:27" ht="15.75" hidden="1" customHeight="1" x14ac:dyDescent="0.2">
      <c r="A949" s="2"/>
      <c r="B949" s="31">
        <v>944</v>
      </c>
      <c r="C949" s="36" t="s">
        <v>2152</v>
      </c>
      <c r="D949" s="36" t="s">
        <v>2181</v>
      </c>
      <c r="E949" s="36" t="s">
        <v>2182</v>
      </c>
      <c r="F949" s="36" t="s">
        <v>2207</v>
      </c>
      <c r="G949" s="36" t="s">
        <v>2208</v>
      </c>
      <c r="H949" s="37" t="s">
        <v>95</v>
      </c>
      <c r="I949" s="37" t="s">
        <v>81</v>
      </c>
      <c r="J949" s="37" t="s">
        <v>82</v>
      </c>
      <c r="K949" s="37" t="s">
        <v>87</v>
      </c>
      <c r="L949" s="36" t="s">
        <v>84</v>
      </c>
      <c r="M949" s="34">
        <v>84.63</v>
      </c>
      <c r="N949" s="34">
        <v>25.27</v>
      </c>
      <c r="O949" s="34">
        <v>59.37</v>
      </c>
      <c r="P949" s="34">
        <v>53.31</v>
      </c>
      <c r="Q949" s="34">
        <v>2.7</v>
      </c>
      <c r="R949" s="34">
        <v>2.19</v>
      </c>
      <c r="S949" s="34">
        <v>2.19</v>
      </c>
      <c r="T949" s="34">
        <v>4.16</v>
      </c>
      <c r="U949" s="34">
        <v>53.97</v>
      </c>
      <c r="V949" s="34">
        <v>23.32</v>
      </c>
      <c r="W949" s="34">
        <v>1.8</v>
      </c>
      <c r="X949" s="34">
        <v>0.43</v>
      </c>
      <c r="Y949" s="35">
        <v>5.4063999999999997</v>
      </c>
      <c r="Z949" s="35">
        <v>7.7076000000000002</v>
      </c>
      <c r="AA949" s="35">
        <v>8.5839999999999996</v>
      </c>
    </row>
    <row r="950" spans="1:27" ht="15.75" hidden="1" customHeight="1" x14ac:dyDescent="0.2">
      <c r="A950" s="2"/>
      <c r="B950" s="31">
        <v>945</v>
      </c>
      <c r="C950" s="36" t="s">
        <v>2152</v>
      </c>
      <c r="D950" s="36" t="s">
        <v>2181</v>
      </c>
      <c r="E950" s="36" t="s">
        <v>2182</v>
      </c>
      <c r="F950" s="36" t="s">
        <v>2209</v>
      </c>
      <c r="G950" s="36" t="s">
        <v>2210</v>
      </c>
      <c r="H950" s="37" t="s">
        <v>80</v>
      </c>
      <c r="I950" s="37" t="s">
        <v>81</v>
      </c>
      <c r="J950" s="37" t="s">
        <v>82</v>
      </c>
      <c r="K950" s="37" t="s">
        <v>87</v>
      </c>
      <c r="L950" s="36" t="s">
        <v>84</v>
      </c>
      <c r="M950" s="34">
        <v>236.89</v>
      </c>
      <c r="N950" s="34">
        <v>89.4</v>
      </c>
      <c r="O950" s="34">
        <v>147.47999999999999</v>
      </c>
      <c r="P950" s="34">
        <v>29.19</v>
      </c>
      <c r="Q950" s="34">
        <v>-5.63</v>
      </c>
      <c r="R950" s="34">
        <v>-6.05</v>
      </c>
      <c r="S950" s="34">
        <v>-5.27</v>
      </c>
      <c r="T950" s="34">
        <v>-1.59</v>
      </c>
      <c r="U950" s="34">
        <v>37.229999999999997</v>
      </c>
      <c r="V950" s="34">
        <v>-37.06</v>
      </c>
      <c r="W950" s="34">
        <v>1.58</v>
      </c>
      <c r="X950" s="34">
        <v>0.61</v>
      </c>
      <c r="Y950" s="35">
        <v>-2.6623000000000001</v>
      </c>
      <c r="Z950" s="35">
        <v>-4.2762000000000002</v>
      </c>
      <c r="AA950" s="35">
        <v>-21.607900000000001</v>
      </c>
    </row>
    <row r="951" spans="1:27" ht="15.75" hidden="1" customHeight="1" x14ac:dyDescent="0.2">
      <c r="A951" s="2"/>
      <c r="B951" s="31">
        <v>946</v>
      </c>
      <c r="C951" s="36" t="s">
        <v>2152</v>
      </c>
      <c r="D951" s="36" t="s">
        <v>2181</v>
      </c>
      <c r="E951" s="36" t="s">
        <v>2182</v>
      </c>
      <c r="F951" s="36" t="s">
        <v>2211</v>
      </c>
      <c r="G951" s="36" t="s">
        <v>2212</v>
      </c>
      <c r="H951" s="37" t="s">
        <v>80</v>
      </c>
      <c r="I951" s="37" t="s">
        <v>81</v>
      </c>
      <c r="J951" s="37" t="s">
        <v>82</v>
      </c>
      <c r="K951" s="37" t="s">
        <v>87</v>
      </c>
      <c r="L951" s="36" t="s">
        <v>84</v>
      </c>
      <c r="M951" s="34">
        <v>497.09</v>
      </c>
      <c r="N951" s="34">
        <v>55.66</v>
      </c>
      <c r="O951" s="34">
        <v>441.42</v>
      </c>
      <c r="P951" s="34">
        <v>120</v>
      </c>
      <c r="Q951" s="34">
        <v>11.27</v>
      </c>
      <c r="R951" s="34">
        <v>7.55</v>
      </c>
      <c r="S951" s="34">
        <v>5.05</v>
      </c>
      <c r="T951" s="34">
        <v>1.57</v>
      </c>
      <c r="U951" s="34">
        <v>124.67</v>
      </c>
      <c r="V951" s="34">
        <v>210.45</v>
      </c>
      <c r="W951" s="34">
        <v>2.65</v>
      </c>
      <c r="X951" s="34">
        <v>0.13</v>
      </c>
      <c r="Y951" s="35">
        <v>1.1169</v>
      </c>
      <c r="Z951" s="35">
        <v>1.2578</v>
      </c>
      <c r="AA951" s="35">
        <v>4.6266999999999996</v>
      </c>
    </row>
    <row r="952" spans="1:27" ht="15.75" hidden="1" customHeight="1" x14ac:dyDescent="0.2">
      <c r="A952" s="2"/>
      <c r="B952" s="31">
        <v>947</v>
      </c>
      <c r="C952" s="36" t="s">
        <v>2152</v>
      </c>
      <c r="D952" s="36" t="s">
        <v>2181</v>
      </c>
      <c r="E952" s="36" t="s">
        <v>2182</v>
      </c>
      <c r="F952" s="36" t="s">
        <v>2213</v>
      </c>
      <c r="G952" s="36" t="s">
        <v>2214</v>
      </c>
      <c r="H952" s="37" t="s">
        <v>95</v>
      </c>
      <c r="I952" s="37" t="s">
        <v>81</v>
      </c>
      <c r="J952" s="37" t="s">
        <v>82</v>
      </c>
      <c r="K952" s="37" t="s">
        <v>87</v>
      </c>
      <c r="L952" s="36" t="s">
        <v>84</v>
      </c>
      <c r="M952" s="34">
        <v>218.68</v>
      </c>
      <c r="N952" s="34">
        <v>122.85</v>
      </c>
      <c r="O952" s="34">
        <v>95.82</v>
      </c>
      <c r="P952" s="34">
        <v>56.77</v>
      </c>
      <c r="Q952" s="34">
        <v>-3</v>
      </c>
      <c r="R952" s="34">
        <v>-3.51</v>
      </c>
      <c r="S952" s="34">
        <v>-3.51</v>
      </c>
      <c r="T952" s="34">
        <v>0.78</v>
      </c>
      <c r="U952" s="34">
        <v>47.91</v>
      </c>
      <c r="V952" s="34">
        <v>244.94</v>
      </c>
      <c r="W952" s="34">
        <v>4.01</v>
      </c>
      <c r="X952" s="34">
        <v>1.28</v>
      </c>
      <c r="Y952" s="35">
        <v>0.71689999999999998</v>
      </c>
      <c r="Z952" s="35">
        <v>1.6361000000000001</v>
      </c>
      <c r="AA952" s="35">
        <v>2.7616000000000001</v>
      </c>
    </row>
    <row r="953" spans="1:27" ht="15.75" hidden="1" customHeight="1" x14ac:dyDescent="0.2">
      <c r="A953" s="2"/>
      <c r="B953" s="31">
        <v>948</v>
      </c>
      <c r="C953" s="36" t="s">
        <v>2152</v>
      </c>
      <c r="D953" s="36" t="s">
        <v>2181</v>
      </c>
      <c r="E953" s="36" t="s">
        <v>2182</v>
      </c>
      <c r="F953" s="36" t="s">
        <v>2215</v>
      </c>
      <c r="G953" s="36" t="s">
        <v>2216</v>
      </c>
      <c r="H953" s="37" t="s">
        <v>80</v>
      </c>
      <c r="I953" s="37" t="s">
        <v>81</v>
      </c>
      <c r="J953" s="37" t="s">
        <v>82</v>
      </c>
      <c r="K953" s="37" t="s">
        <v>87</v>
      </c>
      <c r="L953" s="36" t="s">
        <v>84</v>
      </c>
      <c r="M953" s="34">
        <v>1259.76</v>
      </c>
      <c r="N953" s="34">
        <v>326.66000000000003</v>
      </c>
      <c r="O953" s="34">
        <v>933.1</v>
      </c>
      <c r="P953" s="34">
        <v>213.45</v>
      </c>
      <c r="Q953" s="34">
        <v>47.33</v>
      </c>
      <c r="R953" s="34">
        <v>44.42</v>
      </c>
      <c r="S953" s="34">
        <v>44.42</v>
      </c>
      <c r="T953" s="34">
        <v>73.58</v>
      </c>
      <c r="U953" s="34">
        <v>397.07</v>
      </c>
      <c r="V953" s="34">
        <v>4.95</v>
      </c>
      <c r="W953" s="34">
        <v>0.92</v>
      </c>
      <c r="X953" s="34">
        <v>0.35</v>
      </c>
      <c r="Y953" s="35">
        <v>13.725199999999999</v>
      </c>
      <c r="Z953" s="35">
        <v>18.53</v>
      </c>
      <c r="AA953" s="35">
        <v>81.003100000000003</v>
      </c>
    </row>
    <row r="954" spans="1:27" ht="15.75" hidden="1" customHeight="1" x14ac:dyDescent="0.2">
      <c r="A954" s="2"/>
      <c r="B954" s="31">
        <v>949</v>
      </c>
      <c r="C954" s="36" t="s">
        <v>2152</v>
      </c>
      <c r="D954" s="36" t="s">
        <v>2181</v>
      </c>
      <c r="E954" s="36" t="s">
        <v>2182</v>
      </c>
      <c r="F954" s="36" t="s">
        <v>2217</v>
      </c>
      <c r="G954" s="36" t="s">
        <v>2218</v>
      </c>
      <c r="H954" s="37" t="s">
        <v>95</v>
      </c>
      <c r="I954" s="37" t="s">
        <v>81</v>
      </c>
      <c r="J954" s="37" t="s">
        <v>82</v>
      </c>
      <c r="K954" s="37" t="s">
        <v>87</v>
      </c>
      <c r="L954" s="36" t="s">
        <v>84</v>
      </c>
      <c r="M954" s="34">
        <v>283.57</v>
      </c>
      <c r="N954" s="34">
        <v>132.96</v>
      </c>
      <c r="O954" s="34">
        <v>150.61000000000001</v>
      </c>
      <c r="P954" s="34">
        <v>89.05</v>
      </c>
      <c r="Q954" s="34">
        <v>6.19</v>
      </c>
      <c r="R954" s="34">
        <v>5.12</v>
      </c>
      <c r="S954" s="34">
        <v>4</v>
      </c>
      <c r="T954" s="34">
        <v>10.72</v>
      </c>
      <c r="U954" s="34">
        <v>195.3</v>
      </c>
      <c r="V954" s="34">
        <v>10.26</v>
      </c>
      <c r="W954" s="34">
        <v>0.56000000000000005</v>
      </c>
      <c r="X954" s="34">
        <v>0.88</v>
      </c>
      <c r="Y954" s="35">
        <v>2.9142999999999999</v>
      </c>
      <c r="Z954" s="35">
        <v>5.4870000000000001</v>
      </c>
      <c r="AA954" s="35">
        <v>9.2805</v>
      </c>
    </row>
    <row r="955" spans="1:27" ht="15.75" hidden="1" customHeight="1" x14ac:dyDescent="0.2">
      <c r="A955" s="2"/>
      <c r="B955" s="31">
        <v>950</v>
      </c>
      <c r="C955" s="36" t="s">
        <v>2152</v>
      </c>
      <c r="D955" s="36" t="s">
        <v>2181</v>
      </c>
      <c r="E955" s="36" t="s">
        <v>2182</v>
      </c>
      <c r="F955" s="36" t="s">
        <v>2219</v>
      </c>
      <c r="G955" s="36" t="s">
        <v>2220</v>
      </c>
      <c r="H955" s="37" t="s">
        <v>80</v>
      </c>
      <c r="I955" s="37" t="s">
        <v>81</v>
      </c>
      <c r="J955" s="37" t="s">
        <v>82</v>
      </c>
      <c r="K955" s="37" t="s">
        <v>87</v>
      </c>
      <c r="L955" s="36" t="s">
        <v>84</v>
      </c>
      <c r="M955" s="34">
        <v>620.19000000000005</v>
      </c>
      <c r="N955" s="34">
        <v>111.5</v>
      </c>
      <c r="O955" s="34">
        <v>508.7</v>
      </c>
      <c r="P955" s="34">
        <v>171.24</v>
      </c>
      <c r="Q955" s="34">
        <v>5.77</v>
      </c>
      <c r="R955" s="34">
        <v>4.67</v>
      </c>
      <c r="S955" s="34">
        <v>4.67</v>
      </c>
      <c r="T955" s="34">
        <v>0.99</v>
      </c>
      <c r="U955" s="34">
        <v>80.72</v>
      </c>
      <c r="V955" s="34">
        <v>36.31</v>
      </c>
      <c r="W955" s="34">
        <v>0.45</v>
      </c>
      <c r="X955" s="34">
        <v>0.22</v>
      </c>
      <c r="Y955" s="35">
        <v>1.0073000000000001</v>
      </c>
      <c r="Z955" s="35">
        <v>1.2281</v>
      </c>
      <c r="AA955" s="35">
        <v>3.6484000000000001</v>
      </c>
    </row>
    <row r="956" spans="1:27" ht="15.75" hidden="1" customHeight="1" x14ac:dyDescent="0.2">
      <c r="A956" s="2"/>
      <c r="B956" s="31">
        <v>951</v>
      </c>
      <c r="C956" s="36" t="s">
        <v>2152</v>
      </c>
      <c r="D956" s="36" t="s">
        <v>2181</v>
      </c>
      <c r="E956" s="36" t="s">
        <v>2182</v>
      </c>
      <c r="F956" s="36" t="s">
        <v>2221</v>
      </c>
      <c r="G956" s="36" t="s">
        <v>2222</v>
      </c>
      <c r="H956" s="37" t="s">
        <v>95</v>
      </c>
      <c r="I956" s="37" t="s">
        <v>81</v>
      </c>
      <c r="J956" s="37" t="s">
        <v>82</v>
      </c>
      <c r="K956" s="37" t="s">
        <v>87</v>
      </c>
      <c r="L956" s="36" t="s">
        <v>84</v>
      </c>
      <c r="M956" s="34">
        <v>110.66</v>
      </c>
      <c r="N956" s="34">
        <v>62.86</v>
      </c>
      <c r="O956" s="34">
        <v>47.81</v>
      </c>
      <c r="P956" s="34">
        <v>44.47</v>
      </c>
      <c r="Q956" s="34">
        <v>1.61</v>
      </c>
      <c r="R956" s="34">
        <v>1.24</v>
      </c>
      <c r="S956" s="34">
        <v>1.24</v>
      </c>
      <c r="T956" s="34">
        <v>4.68</v>
      </c>
      <c r="U956" s="34">
        <v>60.7</v>
      </c>
      <c r="V956" s="34">
        <v>50</v>
      </c>
      <c r="W956" s="34">
        <v>3.85</v>
      </c>
      <c r="X956" s="34">
        <v>1.31</v>
      </c>
      <c r="Y956" s="35">
        <v>3.3302999999999998</v>
      </c>
      <c r="Z956" s="35">
        <v>7.7091000000000003</v>
      </c>
      <c r="AA956" s="35">
        <v>8.2873999999999999</v>
      </c>
    </row>
    <row r="957" spans="1:27" ht="15.75" hidden="1" customHeight="1" x14ac:dyDescent="0.2">
      <c r="A957" s="2"/>
      <c r="B957" s="31">
        <v>952</v>
      </c>
      <c r="C957" s="36" t="s">
        <v>2152</v>
      </c>
      <c r="D957" s="36" t="s">
        <v>2181</v>
      </c>
      <c r="E957" s="36" t="s">
        <v>2182</v>
      </c>
      <c r="F957" s="36" t="s">
        <v>2223</v>
      </c>
      <c r="G957" s="36" t="s">
        <v>2224</v>
      </c>
      <c r="H957" s="37" t="s">
        <v>80</v>
      </c>
      <c r="I957" s="37" t="s">
        <v>81</v>
      </c>
      <c r="J957" s="37" t="s">
        <v>82</v>
      </c>
      <c r="K957" s="37" t="s">
        <v>87</v>
      </c>
      <c r="L957" s="36" t="s">
        <v>84</v>
      </c>
      <c r="M957" s="34">
        <v>387.22</v>
      </c>
      <c r="N957" s="34">
        <v>185.63</v>
      </c>
      <c r="O957" s="34">
        <v>201.59</v>
      </c>
      <c r="P957" s="34">
        <v>269.52999999999997</v>
      </c>
      <c r="Q957" s="34">
        <v>1.56</v>
      </c>
      <c r="R957" s="34">
        <v>1.22</v>
      </c>
      <c r="S957" s="34">
        <v>1.22</v>
      </c>
      <c r="T957" s="34">
        <v>-3.13</v>
      </c>
      <c r="U957" s="34">
        <v>241.9</v>
      </c>
      <c r="V957" s="34">
        <v>-97.84</v>
      </c>
      <c r="W957" s="34">
        <v>1.26</v>
      </c>
      <c r="X957" s="34">
        <v>0.92</v>
      </c>
      <c r="Y957" s="35">
        <v>-0.67310000000000003</v>
      </c>
      <c r="Z957" s="35">
        <v>-1.2928999999999999</v>
      </c>
      <c r="AA957" s="35">
        <v>-0.96699999999999997</v>
      </c>
    </row>
    <row r="958" spans="1:27" ht="15.75" hidden="1" customHeight="1" x14ac:dyDescent="0.2">
      <c r="A958" s="2"/>
      <c r="B958" s="31">
        <v>953</v>
      </c>
      <c r="C958" s="36" t="s">
        <v>2152</v>
      </c>
      <c r="D958" s="36" t="s">
        <v>2181</v>
      </c>
      <c r="E958" s="36" t="s">
        <v>2182</v>
      </c>
      <c r="F958" s="36" t="s">
        <v>2225</v>
      </c>
      <c r="G958" s="36" t="s">
        <v>2226</v>
      </c>
      <c r="H958" s="37" t="s">
        <v>95</v>
      </c>
      <c r="I958" s="37" t="s">
        <v>81</v>
      </c>
      <c r="J958" s="37" t="s">
        <v>82</v>
      </c>
      <c r="K958" s="37" t="s">
        <v>104</v>
      </c>
      <c r="L958" s="36" t="s">
        <v>90</v>
      </c>
      <c r="M958" s="34">
        <v>130.88</v>
      </c>
      <c r="N958" s="34">
        <v>109.69</v>
      </c>
      <c r="O958" s="34">
        <v>21.19</v>
      </c>
      <c r="P958" s="34">
        <v>38.729999999999997</v>
      </c>
      <c r="Q958" s="34">
        <v>-10.83</v>
      </c>
      <c r="R958" s="34">
        <v>-10.9</v>
      </c>
      <c r="S958" s="34">
        <v>-10.78</v>
      </c>
      <c r="T958" s="34">
        <v>-10.79</v>
      </c>
      <c r="U958" s="34">
        <v>18.670000000000002</v>
      </c>
      <c r="V958" s="34">
        <v>-6.86</v>
      </c>
      <c r="W958" s="34">
        <v>3.96</v>
      </c>
      <c r="X958" s="34">
        <v>5.18</v>
      </c>
      <c r="Y958" s="35">
        <v>-9.3614999999999995</v>
      </c>
      <c r="Z958" s="35">
        <v>-57.812399999999997</v>
      </c>
      <c r="AA958" s="35">
        <v>-31.638100000000001</v>
      </c>
    </row>
    <row r="959" spans="1:27" ht="15.75" hidden="1" customHeight="1" x14ac:dyDescent="0.2">
      <c r="A959" s="2"/>
      <c r="B959" s="31">
        <v>954</v>
      </c>
      <c r="C959" s="36" t="s">
        <v>2152</v>
      </c>
      <c r="D959" s="36" t="s">
        <v>2181</v>
      </c>
      <c r="E959" s="36" t="s">
        <v>2182</v>
      </c>
      <c r="F959" s="36" t="s">
        <v>2227</v>
      </c>
      <c r="G959" s="36" t="s">
        <v>2228</v>
      </c>
      <c r="H959" s="37" t="s">
        <v>80</v>
      </c>
      <c r="I959" s="37" t="s">
        <v>81</v>
      </c>
      <c r="J959" s="37" t="s">
        <v>82</v>
      </c>
      <c r="K959" s="37" t="s">
        <v>87</v>
      </c>
      <c r="L959" s="36" t="s">
        <v>84</v>
      </c>
      <c r="M959" s="34">
        <v>21494.84</v>
      </c>
      <c r="N959" s="34">
        <v>9308.4500000000007</v>
      </c>
      <c r="O959" s="34">
        <v>12186.39</v>
      </c>
      <c r="P959" s="34">
        <v>6152.85</v>
      </c>
      <c r="Q959" s="34">
        <v>772.82</v>
      </c>
      <c r="R959" s="34">
        <v>710.97</v>
      </c>
      <c r="S959" s="34">
        <v>475.66</v>
      </c>
      <c r="T959" s="34">
        <v>56.55</v>
      </c>
      <c r="U959" s="34">
        <v>744.18</v>
      </c>
      <c r="V959" s="34">
        <v>5.62</v>
      </c>
      <c r="W959" s="34">
        <v>0.43</v>
      </c>
      <c r="X959" s="34">
        <v>0.76</v>
      </c>
      <c r="Y959" s="35">
        <v>4.3083999999999998</v>
      </c>
      <c r="Z959" s="35">
        <v>7.5994000000000002</v>
      </c>
      <c r="AA959" s="35">
        <v>15.051399999999999</v>
      </c>
    </row>
    <row r="960" spans="1:27" ht="15.75" hidden="1" customHeight="1" x14ac:dyDescent="0.2">
      <c r="A960" s="2"/>
      <c r="B960" s="31">
        <v>955</v>
      </c>
      <c r="C960" s="36" t="s">
        <v>2152</v>
      </c>
      <c r="D960" s="36" t="s">
        <v>2181</v>
      </c>
      <c r="E960" s="36" t="s">
        <v>2182</v>
      </c>
      <c r="F960" s="36" t="s">
        <v>2229</v>
      </c>
      <c r="G960" s="36" t="s">
        <v>2230</v>
      </c>
      <c r="H960" s="37" t="s">
        <v>80</v>
      </c>
      <c r="I960" s="37" t="s">
        <v>81</v>
      </c>
      <c r="J960" s="37" t="s">
        <v>82</v>
      </c>
      <c r="K960" s="37" t="s">
        <v>87</v>
      </c>
      <c r="L960" s="36" t="s">
        <v>84</v>
      </c>
      <c r="M960" s="34">
        <v>4972.78</v>
      </c>
      <c r="N960" s="34">
        <v>2046.97</v>
      </c>
      <c r="O960" s="34">
        <v>2925.81</v>
      </c>
      <c r="P960" s="34">
        <v>2074.1999999999998</v>
      </c>
      <c r="Q960" s="34">
        <v>365.98</v>
      </c>
      <c r="R960" s="34">
        <v>314.08</v>
      </c>
      <c r="S960" s="34">
        <v>286.22000000000003</v>
      </c>
      <c r="T960" s="34">
        <v>11.91</v>
      </c>
      <c r="U960" s="34">
        <v>51.28</v>
      </c>
      <c r="V960" s="34">
        <v>11</v>
      </c>
      <c r="W960" s="34">
        <v>2.5499999999999998</v>
      </c>
      <c r="X960" s="34">
        <v>0.7</v>
      </c>
      <c r="Y960" s="35">
        <v>13.661099999999999</v>
      </c>
      <c r="Z960" s="35">
        <v>23.218699999999998</v>
      </c>
      <c r="AA960" s="35">
        <v>32.751600000000003</v>
      </c>
    </row>
    <row r="961" spans="1:27" ht="15.75" hidden="1" customHeight="1" x14ac:dyDescent="0.2">
      <c r="A961" s="2"/>
      <c r="B961" s="31">
        <v>956</v>
      </c>
      <c r="C961" s="36" t="s">
        <v>2152</v>
      </c>
      <c r="D961" s="36" t="s">
        <v>2181</v>
      </c>
      <c r="E961" s="36" t="s">
        <v>2182</v>
      </c>
      <c r="F961" s="36" t="s">
        <v>2231</v>
      </c>
      <c r="G961" s="36" t="s">
        <v>2232</v>
      </c>
      <c r="H961" s="37" t="s">
        <v>80</v>
      </c>
      <c r="I961" s="37" t="s">
        <v>81</v>
      </c>
      <c r="J961" s="37" t="s">
        <v>82</v>
      </c>
      <c r="K961" s="37" t="s">
        <v>87</v>
      </c>
      <c r="L961" s="36" t="s">
        <v>84</v>
      </c>
      <c r="M961" s="34">
        <v>51.59</v>
      </c>
      <c r="N961" s="34">
        <v>7.5</v>
      </c>
      <c r="O961" s="34">
        <v>44.08</v>
      </c>
      <c r="P961" s="34">
        <v>34.04</v>
      </c>
      <c r="Q961" s="34">
        <v>0.52</v>
      </c>
      <c r="R961" s="34">
        <v>0.28999999999999998</v>
      </c>
      <c r="S961" s="34">
        <v>0.28999999999999998</v>
      </c>
      <c r="T961" s="34">
        <v>-0.25</v>
      </c>
      <c r="U961" s="34">
        <v>104.55</v>
      </c>
      <c r="V961" s="34">
        <v>-660.48</v>
      </c>
      <c r="W961" s="34">
        <v>1.6</v>
      </c>
      <c r="X961" s="34">
        <v>0.17</v>
      </c>
      <c r="Y961" s="35">
        <v>-0.20669999999999999</v>
      </c>
      <c r="Z961" s="35">
        <v>-0.24179999999999999</v>
      </c>
      <c r="AA961" s="35">
        <v>-0.31319999999999998</v>
      </c>
    </row>
    <row r="962" spans="1:27" ht="15.75" hidden="1" customHeight="1" x14ac:dyDescent="0.2">
      <c r="A962" s="2"/>
      <c r="B962" s="31">
        <v>957</v>
      </c>
      <c r="C962" s="36" t="s">
        <v>2152</v>
      </c>
      <c r="D962" s="36" t="s">
        <v>2181</v>
      </c>
      <c r="E962" s="36" t="s">
        <v>2182</v>
      </c>
      <c r="F962" s="36" t="s">
        <v>2233</v>
      </c>
      <c r="G962" s="36" t="s">
        <v>2234</v>
      </c>
      <c r="H962" s="37" t="s">
        <v>80</v>
      </c>
      <c r="I962" s="37" t="s">
        <v>81</v>
      </c>
      <c r="J962" s="37" t="s">
        <v>82</v>
      </c>
      <c r="K962" s="37" t="s">
        <v>87</v>
      </c>
      <c r="L962" s="36" t="s">
        <v>84</v>
      </c>
      <c r="M962" s="34">
        <v>56.74</v>
      </c>
      <c r="N962" s="34">
        <v>12.99</v>
      </c>
      <c r="O962" s="34">
        <v>43.75</v>
      </c>
      <c r="P962" s="34">
        <v>19.62</v>
      </c>
      <c r="Q962" s="34">
        <v>-3.04</v>
      </c>
      <c r="R962" s="34">
        <v>-3.13</v>
      </c>
      <c r="S962" s="34">
        <v>-3.13</v>
      </c>
      <c r="T962" s="34">
        <v>-14.78</v>
      </c>
      <c r="U962" s="34">
        <v>100.57</v>
      </c>
      <c r="V962" s="34">
        <v>-25.71</v>
      </c>
      <c r="W962" s="34">
        <v>3.78</v>
      </c>
      <c r="X962" s="34">
        <v>0.3</v>
      </c>
      <c r="Y962" s="35">
        <v>-11.332000000000001</v>
      </c>
      <c r="Z962" s="35">
        <v>-14.6974</v>
      </c>
      <c r="AA962" s="35">
        <v>-32.777700000000003</v>
      </c>
    </row>
    <row r="963" spans="1:27" ht="15.75" customHeight="1" x14ac:dyDescent="0.2">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5.75" customHeight="1" x14ac:dyDescent="0.2">
      <c r="A964" s="2"/>
      <c r="B964" s="38"/>
      <c r="C964" s="39" t="s">
        <v>2235</v>
      </c>
      <c r="D964" s="39" t="s">
        <v>2236</v>
      </c>
      <c r="E964" s="39" t="s">
        <v>84</v>
      </c>
      <c r="F964" s="39" t="s">
        <v>84</v>
      </c>
      <c r="G964" s="39" t="s">
        <v>84</v>
      </c>
      <c r="H964" s="40" t="s">
        <v>84</v>
      </c>
      <c r="I964" s="40" t="s">
        <v>84</v>
      </c>
      <c r="J964" s="40" t="s">
        <v>84</v>
      </c>
      <c r="K964" s="40" t="s">
        <v>84</v>
      </c>
      <c r="L964" s="39" t="s">
        <v>84</v>
      </c>
      <c r="M964" s="41" t="s">
        <v>95</v>
      </c>
      <c r="N964" s="41" t="s">
        <v>95</v>
      </c>
      <c r="O964" s="41" t="s">
        <v>95</v>
      </c>
      <c r="P964" s="41" t="s">
        <v>95</v>
      </c>
      <c r="Q964" s="41" t="s">
        <v>95</v>
      </c>
      <c r="R964" s="41" t="s">
        <v>95</v>
      </c>
      <c r="S964" s="41" t="s">
        <v>95</v>
      </c>
      <c r="T964" s="41" t="s">
        <v>95</v>
      </c>
      <c r="U964" s="41" t="s">
        <v>95</v>
      </c>
      <c r="V964" s="41" t="s">
        <v>95</v>
      </c>
      <c r="W964" s="41" t="s">
        <v>95</v>
      </c>
      <c r="X964" s="41" t="s">
        <v>95</v>
      </c>
      <c r="Y964" s="42" t="s">
        <v>95</v>
      </c>
      <c r="Z964" s="42" t="s">
        <v>95</v>
      </c>
      <c r="AA964" s="42" t="s">
        <v>95</v>
      </c>
    </row>
    <row r="965" spans="1:27" ht="15.75" customHeight="1" x14ac:dyDescent="0.2">
      <c r="A965" s="2"/>
      <c r="B965" s="38"/>
      <c r="C965" s="43" t="s">
        <v>2237</v>
      </c>
      <c r="D965" s="43" t="s">
        <v>2238</v>
      </c>
      <c r="E965" s="43" t="s">
        <v>84</v>
      </c>
      <c r="F965" s="43" t="s">
        <v>84</v>
      </c>
      <c r="G965" s="43" t="s">
        <v>84</v>
      </c>
      <c r="H965" s="44" t="s">
        <v>84</v>
      </c>
      <c r="I965" s="44" t="s">
        <v>84</v>
      </c>
      <c r="J965" s="44" t="s">
        <v>84</v>
      </c>
      <c r="K965" s="44" t="s">
        <v>84</v>
      </c>
      <c r="L965" s="43" t="s">
        <v>84</v>
      </c>
      <c r="M965" s="41" t="s">
        <v>95</v>
      </c>
      <c r="N965" s="41" t="s">
        <v>95</v>
      </c>
      <c r="O965" s="41" t="s">
        <v>95</v>
      </c>
      <c r="P965" s="41" t="s">
        <v>95</v>
      </c>
      <c r="Q965" s="41" t="s">
        <v>95</v>
      </c>
      <c r="R965" s="41" t="s">
        <v>95</v>
      </c>
      <c r="S965" s="41" t="s">
        <v>95</v>
      </c>
      <c r="T965" s="41" t="s">
        <v>95</v>
      </c>
      <c r="U965" s="41" t="s">
        <v>95</v>
      </c>
      <c r="V965" s="41" t="s">
        <v>95</v>
      </c>
      <c r="W965" s="41" t="s">
        <v>95</v>
      </c>
      <c r="X965" s="41" t="s">
        <v>95</v>
      </c>
      <c r="Y965" s="42" t="s">
        <v>95</v>
      </c>
      <c r="Z965" s="42" t="s">
        <v>95</v>
      </c>
      <c r="AA965" s="42" t="s">
        <v>95</v>
      </c>
    </row>
  </sheetData>
  <autoFilter ref="B5:AA962" xr:uid="{00000000-0009-0000-0000-000001000000}">
    <filterColumn colId="5">
      <filters>
        <filter val="Indofood CBP Sukses Makmur Tbk"/>
        <filter val="Indofood Sukses Makmur Tbk"/>
      </filters>
    </filterColumn>
  </autoFilter>
  <mergeCells count="3">
    <mergeCell ref="B2:AA2"/>
    <mergeCell ref="M4:Q4"/>
    <mergeCell ref="T4:AA4"/>
  </mergeCells>
  <pageMargins left="0.7" right="0.7" top="0.75" bottom="0.75" header="0" footer="0"/>
  <pageSetup paperSize="8"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251"/>
  <sheetViews>
    <sheetView workbookViewId="0"/>
  </sheetViews>
  <sheetFormatPr defaultColWidth="14.390625" defaultRowHeight="15" customHeight="1" x14ac:dyDescent="0.2"/>
  <cols>
    <col min="1" max="1" width="9.14453125" customWidth="1"/>
    <col min="2" max="2" width="38.7421875" customWidth="1"/>
    <col min="3" max="3" width="8.33984375" customWidth="1"/>
    <col min="4" max="4" width="14.9296875" customWidth="1"/>
    <col min="5" max="5" width="11.296875" customWidth="1"/>
    <col min="6" max="6" width="12.64453125" customWidth="1"/>
    <col min="7" max="7" width="11.56640625" customWidth="1"/>
    <col min="8" max="26" width="8.609375" customWidth="1"/>
  </cols>
  <sheetData>
    <row r="1" spans="1:26" x14ac:dyDescent="0.2">
      <c r="A1" s="2"/>
      <c r="B1" s="2"/>
      <c r="C1" s="2"/>
      <c r="D1" s="2"/>
      <c r="E1" s="2"/>
      <c r="F1" s="2"/>
      <c r="G1" s="2"/>
      <c r="H1" s="2"/>
      <c r="I1" s="2"/>
      <c r="J1" s="2"/>
      <c r="K1" s="2"/>
      <c r="L1" s="2"/>
      <c r="M1" s="2"/>
      <c r="N1" s="2"/>
      <c r="O1" s="2"/>
      <c r="P1" s="2"/>
      <c r="Q1" s="2"/>
      <c r="R1" s="2"/>
      <c r="S1" s="2"/>
      <c r="T1" s="2"/>
      <c r="U1" s="2"/>
      <c r="V1" s="2"/>
      <c r="W1" s="2"/>
      <c r="X1" s="2"/>
      <c r="Y1" s="2"/>
      <c r="Z1" s="2"/>
    </row>
    <row r="2" spans="1:26" x14ac:dyDescent="0.2">
      <c r="A2" s="2"/>
      <c r="B2" s="69" t="s">
        <v>2239</v>
      </c>
      <c r="C2" s="70"/>
      <c r="D2" s="70"/>
      <c r="E2" s="70"/>
      <c r="F2" s="70"/>
      <c r="G2" s="70"/>
      <c r="H2" s="2"/>
      <c r="I2" s="2"/>
      <c r="J2" s="2"/>
      <c r="K2" s="2"/>
      <c r="L2" s="2"/>
      <c r="M2" s="2"/>
      <c r="N2" s="2"/>
      <c r="O2" s="2"/>
      <c r="P2" s="2"/>
      <c r="Q2" s="2"/>
      <c r="R2" s="2"/>
      <c r="S2" s="2"/>
      <c r="T2" s="2"/>
      <c r="U2" s="2"/>
      <c r="V2" s="2"/>
      <c r="W2" s="2"/>
      <c r="X2" s="2"/>
      <c r="Y2" s="2"/>
      <c r="Z2" s="2"/>
    </row>
    <row r="3" spans="1:26" x14ac:dyDescent="0.2">
      <c r="A3" s="2"/>
      <c r="B3" s="2"/>
      <c r="C3" s="2"/>
      <c r="D3" s="2"/>
      <c r="E3" s="2"/>
      <c r="F3" s="2"/>
      <c r="G3" s="2"/>
      <c r="H3" s="2"/>
      <c r="I3" s="2"/>
      <c r="J3" s="2"/>
      <c r="K3" s="2"/>
      <c r="L3" s="2"/>
      <c r="M3" s="2"/>
      <c r="N3" s="2"/>
      <c r="O3" s="2"/>
      <c r="P3" s="2"/>
      <c r="Q3" s="2"/>
      <c r="R3" s="2"/>
      <c r="S3" s="2"/>
      <c r="T3" s="2"/>
      <c r="U3" s="2"/>
      <c r="V3" s="2"/>
      <c r="W3" s="2"/>
      <c r="X3" s="2"/>
      <c r="Y3" s="2"/>
      <c r="Z3" s="2"/>
    </row>
    <row r="4" spans="1:26" x14ac:dyDescent="0.2">
      <c r="A4" s="2"/>
      <c r="B4" s="29" t="s">
        <v>2240</v>
      </c>
      <c r="C4" s="29" t="s">
        <v>67</v>
      </c>
      <c r="D4" s="29" t="s">
        <v>68</v>
      </c>
      <c r="E4" s="29" t="s">
        <v>2241</v>
      </c>
      <c r="F4" s="29" t="s">
        <v>2242</v>
      </c>
      <c r="G4" s="29" t="s">
        <v>2243</v>
      </c>
      <c r="H4" s="2"/>
      <c r="I4" s="2"/>
      <c r="J4" s="2"/>
      <c r="K4" s="2"/>
      <c r="L4" s="2"/>
      <c r="M4" s="2"/>
      <c r="N4" s="2"/>
      <c r="O4" s="2"/>
      <c r="P4" s="2"/>
      <c r="Q4" s="2"/>
      <c r="R4" s="2"/>
      <c r="S4" s="2"/>
      <c r="T4" s="2"/>
      <c r="U4" s="2"/>
      <c r="V4" s="2"/>
      <c r="W4" s="2"/>
      <c r="X4" s="2"/>
      <c r="Y4" s="2"/>
      <c r="Z4" s="2"/>
    </row>
    <row r="5" spans="1:26" x14ac:dyDescent="0.2">
      <c r="A5" s="2"/>
      <c r="B5" s="32" t="s">
        <v>2244</v>
      </c>
      <c r="C5" s="34">
        <v>16.63</v>
      </c>
      <c r="D5" s="34">
        <v>226.7</v>
      </c>
      <c r="E5" s="34">
        <v>13.14</v>
      </c>
      <c r="F5" s="34">
        <v>3.63</v>
      </c>
      <c r="G5" s="34">
        <v>0.56999999999999995</v>
      </c>
      <c r="H5" s="2"/>
      <c r="I5" s="2"/>
      <c r="J5" s="2"/>
      <c r="K5" s="2"/>
      <c r="L5" s="2"/>
      <c r="M5" s="2"/>
      <c r="N5" s="2"/>
      <c r="O5" s="2"/>
      <c r="P5" s="2"/>
      <c r="Q5" s="2"/>
      <c r="R5" s="2"/>
      <c r="S5" s="2"/>
      <c r="T5" s="2"/>
      <c r="U5" s="2"/>
      <c r="V5" s="2"/>
      <c r="W5" s="2"/>
      <c r="X5" s="2"/>
      <c r="Y5" s="2"/>
      <c r="Z5" s="2"/>
    </row>
    <row r="6" spans="1:26" x14ac:dyDescent="0.2">
      <c r="A6" s="2"/>
      <c r="B6" s="32" t="s">
        <v>2245</v>
      </c>
      <c r="C6" s="34">
        <v>18.18</v>
      </c>
      <c r="D6" s="34">
        <v>249.64</v>
      </c>
      <c r="E6" s="34">
        <v>13.01</v>
      </c>
      <c r="F6" s="34">
        <v>3.63</v>
      </c>
      <c r="G6" s="34">
        <v>0.6</v>
      </c>
      <c r="H6" s="2"/>
      <c r="I6" s="2"/>
      <c r="J6" s="2"/>
      <c r="K6" s="2"/>
      <c r="L6" s="2"/>
      <c r="M6" s="2"/>
      <c r="N6" s="2"/>
      <c r="O6" s="2"/>
      <c r="P6" s="2"/>
      <c r="Q6" s="2"/>
      <c r="R6" s="2"/>
      <c r="S6" s="2"/>
      <c r="T6" s="2"/>
      <c r="U6" s="2"/>
      <c r="V6" s="2"/>
      <c r="W6" s="2"/>
      <c r="X6" s="2"/>
      <c r="Y6" s="2"/>
      <c r="Z6" s="2"/>
    </row>
    <row r="7" spans="1:26" x14ac:dyDescent="0.2">
      <c r="A7" s="2"/>
      <c r="B7" s="45" t="s">
        <v>2246</v>
      </c>
      <c r="C7" s="34">
        <v>-28.95</v>
      </c>
      <c r="D7" s="34">
        <v>58.18</v>
      </c>
      <c r="E7" s="34">
        <v>34.67</v>
      </c>
      <c r="F7" s="34">
        <v>1.6</v>
      </c>
      <c r="G7" s="34">
        <v>-9.2899999999999991</v>
      </c>
      <c r="H7" s="2"/>
      <c r="I7" s="2"/>
      <c r="J7" s="2"/>
      <c r="K7" s="2"/>
      <c r="L7" s="2"/>
      <c r="M7" s="2"/>
      <c r="N7" s="2"/>
      <c r="O7" s="2"/>
      <c r="P7" s="2"/>
      <c r="Q7" s="2"/>
      <c r="R7" s="2"/>
      <c r="S7" s="2"/>
      <c r="T7" s="2"/>
      <c r="U7" s="2"/>
      <c r="V7" s="2"/>
      <c r="W7" s="2"/>
      <c r="X7" s="2"/>
      <c r="Y7" s="2"/>
      <c r="Z7" s="2"/>
    </row>
    <row r="8" spans="1:26" x14ac:dyDescent="0.2">
      <c r="A8" s="2"/>
      <c r="B8" s="45" t="s">
        <v>2247</v>
      </c>
      <c r="C8" s="34">
        <v>5.9</v>
      </c>
      <c r="D8" s="34">
        <v>276.32</v>
      </c>
      <c r="E8" s="34">
        <v>14.04</v>
      </c>
      <c r="F8" s="34">
        <v>2.77</v>
      </c>
      <c r="G8" s="34">
        <v>0.62</v>
      </c>
      <c r="H8" s="2"/>
      <c r="I8" s="2"/>
      <c r="J8" s="2"/>
      <c r="K8" s="2"/>
      <c r="L8" s="2"/>
      <c r="M8" s="2"/>
      <c r="N8" s="2"/>
      <c r="O8" s="2"/>
      <c r="P8" s="2"/>
      <c r="Q8" s="2"/>
      <c r="R8" s="2"/>
      <c r="S8" s="2"/>
      <c r="T8" s="2"/>
      <c r="U8" s="2"/>
      <c r="V8" s="2"/>
      <c r="W8" s="2"/>
      <c r="X8" s="2"/>
      <c r="Y8" s="2"/>
      <c r="Z8" s="2"/>
    </row>
    <row r="9" spans="1:26" x14ac:dyDescent="0.2">
      <c r="A9" s="2"/>
      <c r="B9" s="32" t="s">
        <v>2248</v>
      </c>
      <c r="C9" s="34">
        <v>5.9</v>
      </c>
      <c r="D9" s="34">
        <v>276.32</v>
      </c>
      <c r="E9" s="34">
        <v>14.04</v>
      </c>
      <c r="F9" s="34">
        <v>2.77</v>
      </c>
      <c r="G9" s="34">
        <v>0.62</v>
      </c>
      <c r="H9" s="2"/>
      <c r="I9" s="2"/>
      <c r="J9" s="2"/>
      <c r="K9" s="2"/>
      <c r="L9" s="2"/>
      <c r="M9" s="2"/>
      <c r="N9" s="2"/>
      <c r="O9" s="2"/>
      <c r="P9" s="2"/>
      <c r="Q9" s="2"/>
      <c r="R9" s="2"/>
      <c r="S9" s="2"/>
      <c r="T9" s="2"/>
      <c r="U9" s="2"/>
      <c r="V9" s="2"/>
      <c r="W9" s="2"/>
      <c r="X9" s="2"/>
      <c r="Y9" s="2"/>
      <c r="Z9" s="2"/>
    </row>
    <row r="10" spans="1:26" x14ac:dyDescent="0.2">
      <c r="A10" s="2"/>
      <c r="B10" s="45" t="s">
        <v>2249</v>
      </c>
      <c r="C10" s="34">
        <v>4.33</v>
      </c>
      <c r="D10" s="34">
        <v>137.03</v>
      </c>
      <c r="E10" s="34">
        <v>12.31</v>
      </c>
      <c r="F10" s="34">
        <v>1.1100000000000001</v>
      </c>
      <c r="G10" s="34">
        <v>0.48</v>
      </c>
      <c r="H10" s="2"/>
      <c r="I10" s="2"/>
      <c r="J10" s="2"/>
      <c r="K10" s="2"/>
      <c r="L10" s="2"/>
      <c r="M10" s="2"/>
      <c r="N10" s="2"/>
      <c r="O10" s="2"/>
      <c r="P10" s="2"/>
      <c r="Q10" s="2"/>
      <c r="R10" s="2"/>
      <c r="S10" s="2"/>
      <c r="T10" s="2"/>
      <c r="U10" s="2"/>
      <c r="V10" s="2"/>
      <c r="W10" s="2"/>
      <c r="X10" s="2"/>
      <c r="Y10" s="2"/>
      <c r="Z10" s="2"/>
    </row>
    <row r="11" spans="1:26" x14ac:dyDescent="0.2">
      <c r="A11" s="2"/>
      <c r="B11" s="32" t="s">
        <v>2250</v>
      </c>
      <c r="C11" s="34">
        <v>6.66</v>
      </c>
      <c r="D11" s="34">
        <v>134.86000000000001</v>
      </c>
      <c r="E11" s="34">
        <v>8.34</v>
      </c>
      <c r="F11" s="34">
        <v>1.9</v>
      </c>
      <c r="G11" s="34">
        <v>0.48</v>
      </c>
      <c r="H11" s="2"/>
      <c r="I11" s="2"/>
      <c r="J11" s="2"/>
      <c r="K11" s="2"/>
      <c r="L11" s="2"/>
      <c r="M11" s="2"/>
      <c r="N11" s="2"/>
      <c r="O11" s="2"/>
      <c r="P11" s="2"/>
      <c r="Q11" s="2"/>
      <c r="R11" s="2"/>
      <c r="S11" s="2"/>
      <c r="T11" s="2"/>
      <c r="U11" s="2"/>
      <c r="V11" s="2"/>
      <c r="W11" s="2"/>
      <c r="X11" s="2"/>
      <c r="Y11" s="2"/>
      <c r="Z11" s="2"/>
    </row>
    <row r="12" spans="1:26" x14ac:dyDescent="0.2">
      <c r="A12" s="2"/>
      <c r="B12" s="45" t="s">
        <v>2251</v>
      </c>
      <c r="C12" s="34">
        <v>8.01</v>
      </c>
      <c r="D12" s="34">
        <v>135.38</v>
      </c>
      <c r="E12" s="34">
        <v>16.670000000000002</v>
      </c>
      <c r="F12" s="34">
        <v>1.67</v>
      </c>
      <c r="G12" s="34">
        <v>0.43</v>
      </c>
      <c r="H12" s="2"/>
      <c r="I12" s="2"/>
      <c r="J12" s="2"/>
      <c r="K12" s="2"/>
      <c r="L12" s="2"/>
      <c r="M12" s="2"/>
      <c r="N12" s="2"/>
      <c r="O12" s="2"/>
      <c r="P12" s="2"/>
      <c r="Q12" s="2"/>
      <c r="R12" s="2"/>
      <c r="S12" s="2"/>
      <c r="T12" s="2"/>
      <c r="U12" s="2"/>
      <c r="V12" s="2"/>
      <c r="W12" s="2"/>
      <c r="X12" s="2"/>
      <c r="Y12" s="2"/>
      <c r="Z12" s="2"/>
    </row>
    <row r="13" spans="1:26" x14ac:dyDescent="0.2">
      <c r="A13" s="2"/>
      <c r="B13" s="45" t="s">
        <v>2252</v>
      </c>
      <c r="C13" s="34">
        <v>1.38</v>
      </c>
      <c r="D13" s="34">
        <v>469.86</v>
      </c>
      <c r="E13" s="34">
        <v>16.89</v>
      </c>
      <c r="F13" s="34">
        <v>0.76</v>
      </c>
      <c r="G13" s="34">
        <v>0.75</v>
      </c>
      <c r="H13" s="2"/>
      <c r="I13" s="2"/>
      <c r="J13" s="2"/>
      <c r="K13" s="2"/>
      <c r="L13" s="2"/>
      <c r="M13" s="2"/>
      <c r="N13" s="2"/>
      <c r="O13" s="2"/>
      <c r="P13" s="2"/>
      <c r="Q13" s="2"/>
      <c r="R13" s="2"/>
      <c r="S13" s="2"/>
      <c r="T13" s="2"/>
      <c r="U13" s="2"/>
      <c r="V13" s="2"/>
      <c r="W13" s="2"/>
      <c r="X13" s="2"/>
      <c r="Y13" s="2"/>
      <c r="Z13" s="2"/>
    </row>
    <row r="14" spans="1:26" x14ac:dyDescent="0.2">
      <c r="A14" s="46"/>
      <c r="B14" s="47" t="s">
        <v>2253</v>
      </c>
      <c r="C14" s="48">
        <v>14.53</v>
      </c>
      <c r="D14" s="48">
        <v>138.75</v>
      </c>
      <c r="E14" s="48">
        <v>14.31</v>
      </c>
      <c r="F14" s="48">
        <v>1.96</v>
      </c>
      <c r="G14" s="48">
        <v>0.73</v>
      </c>
      <c r="H14" s="46"/>
      <c r="I14" s="46"/>
      <c r="J14" s="46"/>
      <c r="K14" s="46"/>
      <c r="L14" s="46"/>
      <c r="M14" s="46"/>
      <c r="N14" s="46"/>
      <c r="O14" s="46"/>
      <c r="P14" s="46"/>
      <c r="Q14" s="46"/>
      <c r="R14" s="46"/>
      <c r="S14" s="46"/>
      <c r="T14" s="46"/>
      <c r="U14" s="46"/>
      <c r="V14" s="46"/>
      <c r="W14" s="46"/>
      <c r="X14" s="46"/>
      <c r="Y14" s="46"/>
      <c r="Z14" s="46"/>
    </row>
    <row r="15" spans="1:26" x14ac:dyDescent="0.2">
      <c r="A15" s="46"/>
      <c r="B15" s="49" t="s">
        <v>2254</v>
      </c>
      <c r="C15" s="48">
        <v>14.38</v>
      </c>
      <c r="D15" s="48">
        <v>189.13</v>
      </c>
      <c r="E15" s="48">
        <v>14.59</v>
      </c>
      <c r="F15" s="48">
        <v>2.75</v>
      </c>
      <c r="G15" s="48">
        <v>1.2</v>
      </c>
      <c r="H15" s="46"/>
      <c r="I15" s="46"/>
      <c r="J15" s="46"/>
      <c r="K15" s="46"/>
      <c r="L15" s="46"/>
      <c r="M15" s="46"/>
      <c r="N15" s="46"/>
      <c r="O15" s="46"/>
      <c r="P15" s="46"/>
      <c r="Q15" s="46"/>
      <c r="R15" s="46"/>
      <c r="S15" s="46"/>
      <c r="T15" s="46"/>
      <c r="U15" s="46"/>
      <c r="V15" s="46"/>
      <c r="W15" s="46"/>
      <c r="X15" s="46"/>
      <c r="Y15" s="46"/>
      <c r="Z15" s="46"/>
    </row>
    <row r="16" spans="1:26" x14ac:dyDescent="0.2">
      <c r="A16" s="46"/>
      <c r="B16" s="47" t="s">
        <v>2255</v>
      </c>
      <c r="C16" s="48">
        <v>12.03</v>
      </c>
      <c r="D16" s="48">
        <v>132.44</v>
      </c>
      <c r="E16" s="48">
        <v>13.61</v>
      </c>
      <c r="F16" s="48">
        <v>1.87</v>
      </c>
      <c r="G16" s="48">
        <v>0.73</v>
      </c>
      <c r="H16" s="46"/>
      <c r="I16" s="46"/>
      <c r="J16" s="46"/>
      <c r="K16" s="46"/>
      <c r="L16" s="46"/>
      <c r="M16" s="46"/>
      <c r="N16" s="46"/>
      <c r="O16" s="46"/>
      <c r="P16" s="46"/>
      <c r="Q16" s="46"/>
      <c r="R16" s="46"/>
      <c r="S16" s="46"/>
      <c r="T16" s="46"/>
      <c r="U16" s="46"/>
      <c r="V16" s="46"/>
      <c r="W16" s="46"/>
      <c r="X16" s="46"/>
      <c r="Y16" s="46"/>
      <c r="Z16" s="46"/>
    </row>
    <row r="17" spans="1:26" x14ac:dyDescent="0.2">
      <c r="A17" s="2"/>
      <c r="B17" s="45" t="s">
        <v>2256</v>
      </c>
      <c r="C17" s="34">
        <v>68.27</v>
      </c>
      <c r="D17" s="34">
        <v>693.03</v>
      </c>
      <c r="E17" s="34">
        <v>17.37</v>
      </c>
      <c r="F17" s="34">
        <v>1.43</v>
      </c>
      <c r="G17" s="34">
        <v>0.53</v>
      </c>
      <c r="H17" s="2"/>
      <c r="I17" s="2"/>
      <c r="J17" s="2"/>
      <c r="K17" s="2"/>
      <c r="L17" s="2"/>
      <c r="M17" s="2"/>
      <c r="N17" s="2"/>
      <c r="O17" s="2"/>
      <c r="P17" s="2"/>
      <c r="Q17" s="2"/>
      <c r="R17" s="2"/>
      <c r="S17" s="2"/>
      <c r="T17" s="2"/>
      <c r="U17" s="2"/>
      <c r="V17" s="2"/>
      <c r="W17" s="2"/>
      <c r="X17" s="2"/>
      <c r="Y17" s="2"/>
      <c r="Z17" s="2"/>
    </row>
    <row r="18" spans="1:26" x14ac:dyDescent="0.2">
      <c r="A18" s="2"/>
      <c r="B18" s="45" t="s">
        <v>2257</v>
      </c>
      <c r="C18" s="34">
        <v>0.59</v>
      </c>
      <c r="D18" s="34">
        <v>228.38</v>
      </c>
      <c r="E18" s="34">
        <v>22.36</v>
      </c>
      <c r="F18" s="34">
        <v>5.23</v>
      </c>
      <c r="G18" s="34">
        <v>0.42</v>
      </c>
      <c r="H18" s="2"/>
      <c r="I18" s="2"/>
      <c r="J18" s="2"/>
      <c r="K18" s="2"/>
      <c r="L18" s="2"/>
      <c r="M18" s="2"/>
      <c r="N18" s="2"/>
      <c r="O18" s="2"/>
      <c r="P18" s="2"/>
      <c r="Q18" s="2"/>
      <c r="R18" s="2"/>
      <c r="S18" s="2"/>
      <c r="T18" s="2"/>
      <c r="U18" s="2"/>
      <c r="V18" s="2"/>
      <c r="W18" s="2"/>
      <c r="X18" s="2"/>
      <c r="Y18" s="2"/>
      <c r="Z18" s="2"/>
    </row>
    <row r="19" spans="1:26" x14ac:dyDescent="0.2">
      <c r="A19" s="2"/>
      <c r="B19" s="45" t="s">
        <v>2258</v>
      </c>
      <c r="C19" s="34">
        <v>1.7</v>
      </c>
      <c r="D19" s="34">
        <v>103.78</v>
      </c>
      <c r="E19" s="34">
        <v>17.32</v>
      </c>
      <c r="F19" s="34">
        <v>1.78</v>
      </c>
      <c r="G19" s="34">
        <v>0.46</v>
      </c>
      <c r="H19" s="2"/>
      <c r="I19" s="2"/>
      <c r="J19" s="2"/>
      <c r="K19" s="2"/>
      <c r="L19" s="2"/>
      <c r="M19" s="2"/>
      <c r="N19" s="2"/>
      <c r="O19" s="2"/>
      <c r="P19" s="2"/>
      <c r="Q19" s="2"/>
      <c r="R19" s="2"/>
      <c r="S19" s="2"/>
      <c r="T19" s="2"/>
      <c r="U19" s="2"/>
      <c r="V19" s="2"/>
      <c r="W19" s="2"/>
      <c r="X19" s="2"/>
      <c r="Y19" s="2"/>
      <c r="Z19" s="2"/>
    </row>
    <row r="20" spans="1:26" x14ac:dyDescent="0.2">
      <c r="A20" s="2"/>
      <c r="B20" s="32" t="s">
        <v>2259</v>
      </c>
      <c r="C20" s="34">
        <v>54</v>
      </c>
      <c r="D20" s="34">
        <v>530.84</v>
      </c>
      <c r="E20" s="34">
        <v>12.15</v>
      </c>
      <c r="F20" s="34">
        <v>2.1</v>
      </c>
      <c r="G20" s="34">
        <v>0.35</v>
      </c>
      <c r="H20" s="2"/>
      <c r="I20" s="2"/>
      <c r="J20" s="2"/>
      <c r="K20" s="2"/>
      <c r="L20" s="2"/>
      <c r="M20" s="2"/>
      <c r="N20" s="2"/>
      <c r="O20" s="2"/>
      <c r="P20" s="2"/>
      <c r="Q20" s="2"/>
      <c r="R20" s="2"/>
      <c r="S20" s="2"/>
      <c r="T20" s="2"/>
      <c r="U20" s="2"/>
      <c r="V20" s="2"/>
      <c r="W20" s="2"/>
      <c r="X20" s="2"/>
      <c r="Y20" s="2"/>
      <c r="Z20" s="2"/>
    </row>
    <row r="21" spans="1:26" ht="15.75" customHeight="1" x14ac:dyDescent="0.2">
      <c r="A21" s="2"/>
      <c r="B21" s="45" t="s">
        <v>2260</v>
      </c>
      <c r="C21" s="34">
        <v>2.15</v>
      </c>
      <c r="D21" s="34">
        <v>125.52</v>
      </c>
      <c r="E21" s="34">
        <v>18.309999999999999</v>
      </c>
      <c r="F21" s="34">
        <v>0.97</v>
      </c>
      <c r="G21" s="34">
        <v>0.5</v>
      </c>
      <c r="H21" s="2"/>
      <c r="I21" s="2"/>
      <c r="J21" s="2"/>
      <c r="K21" s="2"/>
      <c r="L21" s="2"/>
      <c r="M21" s="2"/>
      <c r="N21" s="2"/>
      <c r="O21" s="2"/>
      <c r="P21" s="2"/>
      <c r="Q21" s="2"/>
      <c r="R21" s="2"/>
      <c r="S21" s="2"/>
      <c r="T21" s="2"/>
      <c r="U21" s="2"/>
      <c r="V21" s="2"/>
      <c r="W21" s="2"/>
      <c r="X21" s="2"/>
      <c r="Y21" s="2"/>
      <c r="Z21" s="2"/>
    </row>
    <row r="22" spans="1:26" ht="15.75" customHeight="1" x14ac:dyDescent="0.2">
      <c r="A22" s="2"/>
      <c r="B22" s="45" t="s">
        <v>2261</v>
      </c>
      <c r="C22" s="34">
        <v>2.41</v>
      </c>
      <c r="D22" s="34">
        <v>89.42</v>
      </c>
      <c r="E22" s="34">
        <v>23.71</v>
      </c>
      <c r="F22" s="34">
        <v>2.97</v>
      </c>
      <c r="G22" s="34">
        <v>0.59</v>
      </c>
      <c r="H22" s="2"/>
      <c r="I22" s="2"/>
      <c r="J22" s="2"/>
      <c r="K22" s="2"/>
      <c r="L22" s="2"/>
      <c r="M22" s="2"/>
      <c r="N22" s="2"/>
      <c r="O22" s="2"/>
      <c r="P22" s="2"/>
      <c r="Q22" s="2"/>
      <c r="R22" s="2"/>
      <c r="S22" s="2"/>
      <c r="T22" s="2"/>
      <c r="U22" s="2"/>
      <c r="V22" s="2"/>
      <c r="W22" s="2"/>
      <c r="X22" s="2"/>
      <c r="Y22" s="2"/>
      <c r="Z22" s="2"/>
    </row>
    <row r="23" spans="1:26" ht="15.75" customHeight="1" x14ac:dyDescent="0.2">
      <c r="A23" s="2"/>
      <c r="B23" s="45" t="s">
        <v>2262</v>
      </c>
      <c r="C23" s="34">
        <v>0.06</v>
      </c>
      <c r="D23" s="34">
        <v>77.95</v>
      </c>
      <c r="E23" s="34">
        <v>11.4</v>
      </c>
      <c r="F23" s="34">
        <v>-1.98</v>
      </c>
      <c r="G23" s="34">
        <v>0.62</v>
      </c>
      <c r="H23" s="2"/>
      <c r="I23" s="2"/>
      <c r="J23" s="2"/>
      <c r="K23" s="2"/>
      <c r="L23" s="2"/>
      <c r="M23" s="2"/>
      <c r="N23" s="2"/>
      <c r="O23" s="2"/>
      <c r="P23" s="2"/>
      <c r="Q23" s="2"/>
      <c r="R23" s="2"/>
      <c r="S23" s="2"/>
      <c r="T23" s="2"/>
      <c r="U23" s="2"/>
      <c r="V23" s="2"/>
      <c r="W23" s="2"/>
      <c r="X23" s="2"/>
      <c r="Y23" s="2"/>
      <c r="Z23" s="2"/>
    </row>
    <row r="24" spans="1:26" ht="15.75" customHeight="1" x14ac:dyDescent="0.2">
      <c r="A24" s="2"/>
      <c r="B24" s="45" t="s">
        <v>2263</v>
      </c>
      <c r="C24" s="34">
        <v>0.68</v>
      </c>
      <c r="D24" s="34">
        <v>98.05</v>
      </c>
      <c r="E24" s="34">
        <v>22.26</v>
      </c>
      <c r="F24" s="34">
        <v>1.21</v>
      </c>
      <c r="G24" s="34">
        <v>0.52</v>
      </c>
      <c r="H24" s="2"/>
      <c r="I24" s="2"/>
      <c r="J24" s="2"/>
      <c r="K24" s="2"/>
      <c r="L24" s="2"/>
      <c r="M24" s="2"/>
      <c r="N24" s="2"/>
      <c r="O24" s="2"/>
      <c r="P24" s="2"/>
      <c r="Q24" s="2"/>
      <c r="R24" s="2"/>
      <c r="S24" s="2"/>
      <c r="T24" s="2"/>
      <c r="U24" s="2"/>
      <c r="V24" s="2"/>
      <c r="W24" s="2"/>
      <c r="X24" s="2"/>
      <c r="Y24" s="2"/>
      <c r="Z24" s="2"/>
    </row>
    <row r="25" spans="1:26" ht="15.75" customHeight="1" x14ac:dyDescent="0.2">
      <c r="A25" s="2"/>
      <c r="B25" s="45" t="s">
        <v>2264</v>
      </c>
      <c r="C25" s="34">
        <v>-0.22</v>
      </c>
      <c r="D25" s="34">
        <v>103.78</v>
      </c>
      <c r="E25" s="34">
        <v>59.82</v>
      </c>
      <c r="F25" s="34">
        <v>1.67</v>
      </c>
      <c r="G25" s="34">
        <v>0.24</v>
      </c>
      <c r="H25" s="2"/>
      <c r="I25" s="2"/>
      <c r="J25" s="2"/>
      <c r="K25" s="2"/>
      <c r="L25" s="2"/>
      <c r="M25" s="2"/>
      <c r="N25" s="2"/>
      <c r="O25" s="2"/>
      <c r="P25" s="2"/>
      <c r="Q25" s="2"/>
      <c r="R25" s="2"/>
      <c r="S25" s="2"/>
      <c r="T25" s="2"/>
      <c r="U25" s="2"/>
      <c r="V25" s="2"/>
      <c r="W25" s="2"/>
      <c r="X25" s="2"/>
      <c r="Y25" s="2"/>
      <c r="Z25" s="2"/>
    </row>
    <row r="26" spans="1:26" ht="15.75" customHeight="1" x14ac:dyDescent="0.2">
      <c r="A26" s="2"/>
      <c r="B26" s="45" t="s">
        <v>2265</v>
      </c>
      <c r="C26" s="34">
        <v>7.11</v>
      </c>
      <c r="D26" s="34">
        <v>155.71</v>
      </c>
      <c r="E26" s="34">
        <v>12.09</v>
      </c>
      <c r="F26" s="34">
        <v>1.63</v>
      </c>
      <c r="G26" s="34">
        <v>0.43</v>
      </c>
      <c r="H26" s="2"/>
      <c r="I26" s="2"/>
      <c r="J26" s="2"/>
      <c r="K26" s="2"/>
      <c r="L26" s="2"/>
      <c r="M26" s="2"/>
      <c r="N26" s="2"/>
      <c r="O26" s="2"/>
      <c r="P26" s="2"/>
      <c r="Q26" s="2"/>
      <c r="R26" s="2"/>
      <c r="S26" s="2"/>
      <c r="T26" s="2"/>
      <c r="U26" s="2"/>
      <c r="V26" s="2"/>
      <c r="W26" s="2"/>
      <c r="X26" s="2"/>
      <c r="Y26" s="2"/>
      <c r="Z26" s="2"/>
    </row>
    <row r="27" spans="1:26" ht="15.75" customHeight="1" x14ac:dyDescent="0.2">
      <c r="A27" s="2"/>
      <c r="B27" s="45" t="s">
        <v>2266</v>
      </c>
      <c r="C27" s="34">
        <v>10.1</v>
      </c>
      <c r="D27" s="34">
        <v>215.29</v>
      </c>
      <c r="E27" s="34">
        <v>15.51</v>
      </c>
      <c r="F27" s="34">
        <v>3.74</v>
      </c>
      <c r="G27" s="34">
        <v>0.52</v>
      </c>
      <c r="H27" s="2"/>
      <c r="I27" s="2"/>
      <c r="J27" s="2"/>
      <c r="K27" s="2"/>
      <c r="L27" s="2"/>
      <c r="M27" s="2"/>
      <c r="N27" s="2"/>
      <c r="O27" s="2"/>
      <c r="P27" s="2"/>
      <c r="Q27" s="2"/>
      <c r="R27" s="2"/>
      <c r="S27" s="2"/>
      <c r="T27" s="2"/>
      <c r="U27" s="2"/>
      <c r="V27" s="2"/>
      <c r="W27" s="2"/>
      <c r="X27" s="2"/>
      <c r="Y27" s="2"/>
      <c r="Z27" s="2"/>
    </row>
    <row r="28" spans="1:26" ht="15.75" customHeight="1" x14ac:dyDescent="0.2">
      <c r="A28" s="2"/>
      <c r="B28" s="32" t="s">
        <v>2267</v>
      </c>
      <c r="C28" s="34">
        <v>2.6</v>
      </c>
      <c r="D28" s="34">
        <v>155.19999999999999</v>
      </c>
      <c r="E28" s="34">
        <v>31.06</v>
      </c>
      <c r="F28" s="34">
        <v>5.45</v>
      </c>
      <c r="G28" s="34">
        <v>0.46</v>
      </c>
      <c r="H28" s="2"/>
      <c r="I28" s="2"/>
      <c r="J28" s="2"/>
      <c r="K28" s="2"/>
      <c r="L28" s="2"/>
      <c r="M28" s="2"/>
      <c r="N28" s="2"/>
      <c r="O28" s="2"/>
      <c r="P28" s="2"/>
      <c r="Q28" s="2"/>
      <c r="R28" s="2"/>
      <c r="S28" s="2"/>
      <c r="T28" s="2"/>
      <c r="U28" s="2"/>
      <c r="V28" s="2"/>
      <c r="W28" s="2"/>
      <c r="X28" s="2"/>
      <c r="Y28" s="2"/>
      <c r="Z28" s="2"/>
    </row>
    <row r="29" spans="1:26" ht="15.75" customHeight="1" x14ac:dyDescent="0.2">
      <c r="A29" s="2"/>
      <c r="B29" s="45" t="s">
        <v>2268</v>
      </c>
      <c r="C29" s="34">
        <v>38.770000000000003</v>
      </c>
      <c r="D29" s="34">
        <v>217.47</v>
      </c>
      <c r="E29" s="34">
        <v>9.9499999999999993</v>
      </c>
      <c r="F29" s="34">
        <v>2.13</v>
      </c>
      <c r="G29" s="34">
        <v>0.64</v>
      </c>
      <c r="H29" s="2"/>
      <c r="I29" s="2"/>
      <c r="J29" s="2"/>
      <c r="K29" s="2"/>
      <c r="L29" s="2"/>
      <c r="M29" s="2"/>
      <c r="N29" s="2"/>
      <c r="O29" s="2"/>
      <c r="P29" s="2"/>
      <c r="Q29" s="2"/>
      <c r="R29" s="2"/>
      <c r="S29" s="2"/>
      <c r="T29" s="2"/>
      <c r="U29" s="2"/>
      <c r="V29" s="2"/>
      <c r="W29" s="2"/>
      <c r="X29" s="2"/>
      <c r="Y29" s="2"/>
      <c r="Z29" s="2"/>
    </row>
    <row r="30" spans="1:26" ht="15.75" customHeight="1" x14ac:dyDescent="0.2">
      <c r="A30" s="2"/>
      <c r="B30" s="45" t="s">
        <v>2269</v>
      </c>
      <c r="C30" s="34">
        <v>17</v>
      </c>
      <c r="D30" s="34">
        <v>360.77</v>
      </c>
      <c r="E30" s="34">
        <v>14.67</v>
      </c>
      <c r="F30" s="34">
        <v>1.66</v>
      </c>
      <c r="G30" s="34">
        <v>2.06</v>
      </c>
      <c r="H30" s="2"/>
      <c r="I30" s="2"/>
      <c r="J30" s="2"/>
      <c r="K30" s="2"/>
      <c r="L30" s="2"/>
      <c r="M30" s="2"/>
      <c r="N30" s="2"/>
      <c r="O30" s="2"/>
      <c r="P30" s="2"/>
      <c r="Q30" s="2"/>
      <c r="R30" s="2"/>
      <c r="S30" s="2"/>
      <c r="T30" s="2"/>
      <c r="U30" s="2"/>
      <c r="V30" s="2"/>
      <c r="W30" s="2"/>
      <c r="X30" s="2"/>
      <c r="Y30" s="2"/>
      <c r="Z30" s="2"/>
    </row>
    <row r="31" spans="1:26" ht="15.75" customHeight="1" x14ac:dyDescent="0.2">
      <c r="A31" s="2"/>
      <c r="B31" s="32" t="s">
        <v>2270</v>
      </c>
      <c r="C31" s="34">
        <v>20.54</v>
      </c>
      <c r="D31" s="34">
        <v>631.39</v>
      </c>
      <c r="E31" s="34">
        <v>15.85</v>
      </c>
      <c r="F31" s="34">
        <v>1.71</v>
      </c>
      <c r="G31" s="34">
        <v>3.78</v>
      </c>
      <c r="H31" s="2"/>
      <c r="I31" s="2"/>
      <c r="J31" s="2"/>
      <c r="K31" s="2"/>
      <c r="L31" s="2"/>
      <c r="M31" s="2"/>
      <c r="N31" s="2"/>
      <c r="O31" s="2"/>
      <c r="P31" s="2"/>
      <c r="Q31" s="2"/>
      <c r="R31" s="2"/>
      <c r="S31" s="2"/>
      <c r="T31" s="2"/>
      <c r="U31" s="2"/>
      <c r="V31" s="2"/>
      <c r="W31" s="2"/>
      <c r="X31" s="2"/>
      <c r="Y31" s="2"/>
      <c r="Z31" s="2"/>
    </row>
    <row r="32" spans="1:26" ht="15.75" customHeight="1" x14ac:dyDescent="0.2">
      <c r="A32" s="2"/>
      <c r="B32" s="45" t="s">
        <v>2271</v>
      </c>
      <c r="C32" s="34">
        <v>29.66</v>
      </c>
      <c r="D32" s="34">
        <v>474.73</v>
      </c>
      <c r="E32" s="34">
        <v>9.3800000000000008</v>
      </c>
      <c r="F32" s="34">
        <v>0.88</v>
      </c>
      <c r="G32" s="34">
        <v>1.1299999999999999</v>
      </c>
      <c r="H32" s="2"/>
      <c r="I32" s="2"/>
      <c r="J32" s="2"/>
      <c r="K32" s="2"/>
      <c r="L32" s="2"/>
      <c r="M32" s="2"/>
      <c r="N32" s="2"/>
      <c r="O32" s="2"/>
      <c r="P32" s="2"/>
      <c r="Q32" s="2"/>
      <c r="R32" s="2"/>
      <c r="S32" s="2"/>
      <c r="T32" s="2"/>
      <c r="U32" s="2"/>
      <c r="V32" s="2"/>
      <c r="W32" s="2"/>
      <c r="X32" s="2"/>
      <c r="Y32" s="2"/>
      <c r="Z32" s="2"/>
    </row>
    <row r="33" spans="1:26" ht="15.75" customHeight="1" x14ac:dyDescent="0.2">
      <c r="A33" s="2"/>
      <c r="B33" s="45" t="s">
        <v>2272</v>
      </c>
      <c r="C33" s="34">
        <v>32.85</v>
      </c>
      <c r="D33" s="34">
        <v>275.22000000000003</v>
      </c>
      <c r="E33" s="34">
        <v>13.94</v>
      </c>
      <c r="F33" s="34">
        <v>2.54</v>
      </c>
      <c r="G33" s="34">
        <v>0.38</v>
      </c>
      <c r="H33" s="2"/>
      <c r="I33" s="2"/>
      <c r="J33" s="2"/>
      <c r="K33" s="2"/>
      <c r="L33" s="2"/>
      <c r="M33" s="2"/>
      <c r="N33" s="2"/>
      <c r="O33" s="2"/>
      <c r="P33" s="2"/>
      <c r="Q33" s="2"/>
      <c r="R33" s="2"/>
      <c r="S33" s="2"/>
      <c r="T33" s="2"/>
      <c r="U33" s="2"/>
      <c r="V33" s="2"/>
      <c r="W33" s="2"/>
      <c r="X33" s="2"/>
      <c r="Y33" s="2"/>
      <c r="Z33" s="2"/>
    </row>
    <row r="34" spans="1:26" ht="15.75" customHeight="1" x14ac:dyDescent="0.2">
      <c r="A34" s="2"/>
      <c r="B34" s="45" t="s">
        <v>2273</v>
      </c>
      <c r="C34" s="34">
        <v>36.200000000000003</v>
      </c>
      <c r="D34" s="34">
        <v>359.24</v>
      </c>
      <c r="E34" s="34">
        <v>11.61</v>
      </c>
      <c r="F34" s="34">
        <v>0.28999999999999998</v>
      </c>
      <c r="G34" s="34">
        <v>2.0299999999999998</v>
      </c>
      <c r="H34" s="2"/>
      <c r="I34" s="2"/>
      <c r="J34" s="2"/>
      <c r="K34" s="2"/>
      <c r="L34" s="2"/>
      <c r="M34" s="2"/>
      <c r="N34" s="2"/>
      <c r="O34" s="2"/>
      <c r="P34" s="2"/>
      <c r="Q34" s="2"/>
      <c r="R34" s="2"/>
      <c r="S34" s="2"/>
      <c r="T34" s="2"/>
      <c r="U34" s="2"/>
      <c r="V34" s="2"/>
      <c r="W34" s="2"/>
      <c r="X34" s="2"/>
      <c r="Y34" s="2"/>
      <c r="Z34" s="2"/>
    </row>
    <row r="35" spans="1:26" ht="15.75" customHeight="1" x14ac:dyDescent="0.2">
      <c r="A35" s="2"/>
      <c r="B35" s="45" t="s">
        <v>2274</v>
      </c>
      <c r="C35" s="34">
        <v>4.08</v>
      </c>
      <c r="D35" s="34">
        <v>179.3</v>
      </c>
      <c r="E35" s="34">
        <v>30.31</v>
      </c>
      <c r="F35" s="34">
        <v>3.04</v>
      </c>
      <c r="G35" s="34">
        <v>0.23</v>
      </c>
      <c r="H35" s="2"/>
      <c r="I35" s="2"/>
      <c r="J35" s="2"/>
      <c r="K35" s="2"/>
      <c r="L35" s="2"/>
      <c r="M35" s="2"/>
      <c r="N35" s="2"/>
      <c r="O35" s="2"/>
      <c r="P35" s="2"/>
      <c r="Q35" s="2"/>
      <c r="R35" s="2"/>
      <c r="S35" s="2"/>
      <c r="T35" s="2"/>
      <c r="U35" s="2"/>
      <c r="V35" s="2"/>
      <c r="W35" s="2"/>
      <c r="X35" s="2"/>
      <c r="Y35" s="2"/>
      <c r="Z35" s="2"/>
    </row>
    <row r="36" spans="1:26" ht="15.75" customHeight="1" x14ac:dyDescent="0.2">
      <c r="A36" s="2"/>
      <c r="B36" s="45" t="s">
        <v>2275</v>
      </c>
      <c r="C36" s="34">
        <v>1.37</v>
      </c>
      <c r="D36" s="34">
        <v>187.08</v>
      </c>
      <c r="E36" s="34">
        <v>17.89</v>
      </c>
      <c r="F36" s="34">
        <v>1.48</v>
      </c>
      <c r="G36" s="34">
        <v>0.37</v>
      </c>
      <c r="H36" s="2"/>
      <c r="I36" s="2"/>
      <c r="J36" s="2"/>
      <c r="K36" s="2"/>
      <c r="L36" s="2"/>
      <c r="M36" s="2"/>
      <c r="N36" s="2"/>
      <c r="O36" s="2"/>
      <c r="P36" s="2"/>
      <c r="Q36" s="2"/>
      <c r="R36" s="2"/>
      <c r="S36" s="2"/>
      <c r="T36" s="2"/>
      <c r="U36" s="2"/>
      <c r="V36" s="2"/>
      <c r="W36" s="2"/>
      <c r="X36" s="2"/>
      <c r="Y36" s="2"/>
      <c r="Z36" s="2"/>
    </row>
    <row r="37" spans="1:26" ht="15.75" customHeight="1" x14ac:dyDescent="0.2">
      <c r="A37" s="2"/>
      <c r="B37" s="32" t="s">
        <v>2276</v>
      </c>
      <c r="C37" s="34">
        <v>1.37</v>
      </c>
      <c r="D37" s="34">
        <v>187.08</v>
      </c>
      <c r="E37" s="34">
        <v>17.89</v>
      </c>
      <c r="F37" s="34">
        <v>1.48</v>
      </c>
      <c r="G37" s="34">
        <v>0.37</v>
      </c>
      <c r="H37" s="2"/>
      <c r="I37" s="2"/>
      <c r="J37" s="2"/>
      <c r="K37" s="2"/>
      <c r="L37" s="2"/>
      <c r="M37" s="2"/>
      <c r="N37" s="2"/>
      <c r="O37" s="2"/>
      <c r="P37" s="2"/>
      <c r="Q37" s="2"/>
      <c r="R37" s="2"/>
      <c r="S37" s="2"/>
      <c r="T37" s="2"/>
      <c r="U37" s="2"/>
      <c r="V37" s="2"/>
      <c r="W37" s="2"/>
      <c r="X37" s="2"/>
      <c r="Y37" s="2"/>
      <c r="Z37" s="2"/>
    </row>
    <row r="38" spans="1:26" ht="15.75" customHeight="1" x14ac:dyDescent="0.2">
      <c r="A38" s="2"/>
      <c r="B38" s="45" t="s">
        <v>2277</v>
      </c>
      <c r="C38" s="34">
        <v>1.38</v>
      </c>
      <c r="D38" s="34">
        <v>92.04</v>
      </c>
      <c r="E38" s="34">
        <v>21.06</v>
      </c>
      <c r="F38" s="34">
        <v>6.98</v>
      </c>
      <c r="G38" s="34">
        <v>0.44</v>
      </c>
      <c r="H38" s="2"/>
      <c r="I38" s="2"/>
      <c r="J38" s="2"/>
      <c r="K38" s="2"/>
      <c r="L38" s="2"/>
      <c r="M38" s="2"/>
      <c r="N38" s="2"/>
      <c r="O38" s="2"/>
      <c r="P38" s="2"/>
      <c r="Q38" s="2"/>
      <c r="R38" s="2"/>
      <c r="S38" s="2"/>
      <c r="T38" s="2"/>
      <c r="U38" s="2"/>
      <c r="V38" s="2"/>
      <c r="W38" s="2"/>
      <c r="X38" s="2"/>
      <c r="Y38" s="2"/>
      <c r="Z38" s="2"/>
    </row>
    <row r="39" spans="1:26" ht="15.75" customHeight="1" x14ac:dyDescent="0.2">
      <c r="A39" s="2"/>
      <c r="B39" s="32" t="s">
        <v>2278</v>
      </c>
      <c r="C39" s="34">
        <v>0.78</v>
      </c>
      <c r="D39" s="34">
        <v>84.49</v>
      </c>
      <c r="E39" s="34">
        <v>41.56</v>
      </c>
      <c r="F39" s="34">
        <v>7.36</v>
      </c>
      <c r="G39" s="34">
        <v>0.43</v>
      </c>
      <c r="H39" s="2"/>
      <c r="I39" s="2"/>
      <c r="J39" s="2"/>
      <c r="K39" s="2"/>
      <c r="L39" s="2"/>
      <c r="M39" s="2"/>
      <c r="N39" s="2"/>
      <c r="O39" s="2"/>
      <c r="P39" s="2"/>
      <c r="Q39" s="2"/>
      <c r="R39" s="2"/>
      <c r="S39" s="2"/>
      <c r="T39" s="2"/>
      <c r="U39" s="2"/>
      <c r="V39" s="2"/>
      <c r="W39" s="2"/>
      <c r="X39" s="2"/>
      <c r="Y39" s="2"/>
      <c r="Z39" s="2"/>
    </row>
    <row r="40" spans="1:26" ht="15.75" customHeight="1" x14ac:dyDescent="0.2">
      <c r="A40" s="2"/>
      <c r="B40" s="45" t="s">
        <v>2279</v>
      </c>
      <c r="C40" s="34">
        <v>10.46</v>
      </c>
      <c r="D40" s="34">
        <v>179.06</v>
      </c>
      <c r="E40" s="34">
        <v>12.53</v>
      </c>
      <c r="F40" s="34">
        <v>1.62</v>
      </c>
      <c r="G40" s="34">
        <v>0.52</v>
      </c>
      <c r="H40" s="2"/>
      <c r="I40" s="2"/>
      <c r="J40" s="2"/>
      <c r="K40" s="2"/>
      <c r="L40" s="2"/>
      <c r="M40" s="2"/>
      <c r="N40" s="2"/>
      <c r="O40" s="2"/>
      <c r="P40" s="2"/>
      <c r="Q40" s="2"/>
      <c r="R40" s="2"/>
      <c r="S40" s="2"/>
      <c r="T40" s="2"/>
      <c r="U40" s="2"/>
      <c r="V40" s="2"/>
      <c r="W40" s="2"/>
      <c r="X40" s="2"/>
      <c r="Y40" s="2"/>
      <c r="Z40" s="2"/>
    </row>
    <row r="41" spans="1:26" ht="15.75" customHeight="1" x14ac:dyDescent="0.2">
      <c r="A41" s="2"/>
      <c r="B41" s="45" t="s">
        <v>2280</v>
      </c>
      <c r="C41" s="34">
        <v>10.81</v>
      </c>
      <c r="D41" s="34">
        <v>245.37</v>
      </c>
      <c r="E41" s="34">
        <v>13.67</v>
      </c>
      <c r="F41" s="34">
        <v>4.26</v>
      </c>
      <c r="G41" s="34">
        <v>0.75</v>
      </c>
      <c r="H41" s="2"/>
      <c r="I41" s="2"/>
      <c r="J41" s="2"/>
      <c r="K41" s="2"/>
      <c r="L41" s="2"/>
      <c r="M41" s="2"/>
      <c r="N41" s="2"/>
      <c r="O41" s="2"/>
      <c r="P41" s="2"/>
      <c r="Q41" s="2"/>
      <c r="R41" s="2"/>
      <c r="S41" s="2"/>
      <c r="T41" s="2"/>
      <c r="U41" s="2"/>
      <c r="V41" s="2"/>
      <c r="W41" s="2"/>
      <c r="X41" s="2"/>
      <c r="Y41" s="2"/>
      <c r="Z41" s="2"/>
    </row>
    <row r="42" spans="1:26" ht="15.75" customHeight="1" x14ac:dyDescent="0.2">
      <c r="A42" s="2"/>
      <c r="B42" s="32" t="s">
        <v>2281</v>
      </c>
      <c r="C42" s="34">
        <v>48.22</v>
      </c>
      <c r="D42" s="34">
        <v>391.4</v>
      </c>
      <c r="E42" s="34">
        <v>8.85</v>
      </c>
      <c r="F42" s="34">
        <v>0.67</v>
      </c>
      <c r="G42" s="34">
        <v>0.52</v>
      </c>
      <c r="H42" s="2"/>
      <c r="I42" s="2"/>
      <c r="J42" s="2"/>
      <c r="K42" s="2"/>
      <c r="L42" s="2"/>
      <c r="M42" s="2"/>
      <c r="N42" s="2"/>
      <c r="O42" s="2"/>
      <c r="P42" s="2"/>
      <c r="Q42" s="2"/>
      <c r="R42" s="2"/>
      <c r="S42" s="2"/>
      <c r="T42" s="2"/>
      <c r="U42" s="2"/>
      <c r="V42" s="2"/>
      <c r="W42" s="2"/>
      <c r="X42" s="2"/>
      <c r="Y42" s="2"/>
      <c r="Z42" s="2"/>
    </row>
    <row r="43" spans="1:26" ht="15.75" customHeight="1" x14ac:dyDescent="0.2">
      <c r="A43" s="2"/>
      <c r="B43" s="45" t="s">
        <v>2282</v>
      </c>
      <c r="C43" s="34">
        <v>2.57</v>
      </c>
      <c r="D43" s="34">
        <v>165.47</v>
      </c>
      <c r="E43" s="34">
        <v>10.32</v>
      </c>
      <c r="F43" s="34">
        <v>0.76</v>
      </c>
      <c r="G43" s="34">
        <v>0.84</v>
      </c>
      <c r="H43" s="2"/>
      <c r="I43" s="2"/>
      <c r="J43" s="2"/>
      <c r="K43" s="2"/>
      <c r="L43" s="2"/>
      <c r="M43" s="2"/>
      <c r="N43" s="2"/>
      <c r="O43" s="2"/>
      <c r="P43" s="2"/>
      <c r="Q43" s="2"/>
      <c r="R43" s="2"/>
      <c r="S43" s="2"/>
      <c r="T43" s="2"/>
      <c r="U43" s="2"/>
      <c r="V43" s="2"/>
      <c r="W43" s="2"/>
      <c r="X43" s="2"/>
      <c r="Y43" s="2"/>
      <c r="Z43" s="2"/>
    </row>
    <row r="44" spans="1:26" ht="15.75" customHeight="1" x14ac:dyDescent="0.2">
      <c r="A44" s="2"/>
      <c r="B44" s="45" t="s">
        <v>2283</v>
      </c>
      <c r="C44" s="34">
        <v>32.96</v>
      </c>
      <c r="D44" s="34">
        <v>397.53</v>
      </c>
      <c r="E44" s="34">
        <v>21.28</v>
      </c>
      <c r="F44" s="34">
        <v>2.0499999999999998</v>
      </c>
      <c r="G44" s="34">
        <v>0.86</v>
      </c>
      <c r="H44" s="2"/>
      <c r="I44" s="2"/>
      <c r="J44" s="2"/>
      <c r="K44" s="2"/>
      <c r="L44" s="2"/>
      <c r="M44" s="2"/>
      <c r="N44" s="2"/>
      <c r="O44" s="2"/>
      <c r="P44" s="2"/>
      <c r="Q44" s="2"/>
      <c r="R44" s="2"/>
      <c r="S44" s="2"/>
      <c r="T44" s="2"/>
      <c r="U44" s="2"/>
      <c r="V44" s="2"/>
      <c r="W44" s="2"/>
      <c r="X44" s="2"/>
      <c r="Y44" s="2"/>
      <c r="Z44" s="2"/>
    </row>
    <row r="45" spans="1:26" ht="15.75" customHeight="1" x14ac:dyDescent="0.2">
      <c r="A45" s="2"/>
      <c r="B45" s="45" t="s">
        <v>2284</v>
      </c>
      <c r="C45" s="34">
        <v>13.15</v>
      </c>
      <c r="D45" s="34">
        <v>135.53</v>
      </c>
      <c r="E45" s="34">
        <v>47.01</v>
      </c>
      <c r="F45" s="34">
        <v>19.96</v>
      </c>
      <c r="G45" s="34">
        <v>0.54</v>
      </c>
      <c r="H45" s="2"/>
      <c r="I45" s="2"/>
      <c r="J45" s="2"/>
      <c r="K45" s="2"/>
      <c r="L45" s="2"/>
      <c r="M45" s="2"/>
      <c r="N45" s="2"/>
      <c r="O45" s="2"/>
      <c r="P45" s="2"/>
      <c r="Q45" s="2"/>
      <c r="R45" s="2"/>
      <c r="S45" s="2"/>
      <c r="T45" s="2"/>
      <c r="U45" s="2"/>
      <c r="V45" s="2"/>
      <c r="W45" s="2"/>
      <c r="X45" s="2"/>
      <c r="Y45" s="2"/>
      <c r="Z45" s="2"/>
    </row>
    <row r="46" spans="1:26" ht="15.75" customHeight="1" x14ac:dyDescent="0.2">
      <c r="A46" s="2"/>
      <c r="B46" s="45" t="s">
        <v>2285</v>
      </c>
      <c r="C46" s="34">
        <v>3.7</v>
      </c>
      <c r="D46" s="34">
        <v>122.85</v>
      </c>
      <c r="E46" s="34">
        <v>10.26</v>
      </c>
      <c r="F46" s="34">
        <v>7.9</v>
      </c>
      <c r="G46" s="34">
        <v>0.66</v>
      </c>
      <c r="H46" s="2"/>
      <c r="I46" s="2"/>
      <c r="J46" s="2"/>
      <c r="K46" s="2"/>
      <c r="L46" s="2"/>
      <c r="M46" s="2"/>
      <c r="N46" s="2"/>
      <c r="O46" s="2"/>
      <c r="P46" s="2"/>
      <c r="Q46" s="2"/>
      <c r="R46" s="2"/>
      <c r="S46" s="2"/>
      <c r="T46" s="2"/>
      <c r="U46" s="2"/>
      <c r="V46" s="2"/>
      <c r="W46" s="2"/>
      <c r="X46" s="2"/>
      <c r="Y46" s="2"/>
      <c r="Z46" s="2"/>
    </row>
    <row r="47" spans="1:26" ht="15.75" customHeight="1" x14ac:dyDescent="0.2">
      <c r="A47" s="2"/>
      <c r="B47" s="32" t="s">
        <v>2286</v>
      </c>
      <c r="C47" s="34">
        <v>10.39</v>
      </c>
      <c r="D47" s="34">
        <v>169.17</v>
      </c>
      <c r="E47" s="34">
        <v>7.85</v>
      </c>
      <c r="F47" s="34">
        <v>-1.02</v>
      </c>
      <c r="G47" s="34">
        <v>0.78</v>
      </c>
      <c r="H47" s="2"/>
      <c r="I47" s="2"/>
      <c r="J47" s="2"/>
      <c r="K47" s="2"/>
      <c r="L47" s="2"/>
      <c r="M47" s="2"/>
      <c r="N47" s="2"/>
      <c r="O47" s="2"/>
      <c r="P47" s="2"/>
      <c r="Q47" s="2"/>
      <c r="R47" s="2"/>
      <c r="S47" s="2"/>
      <c r="T47" s="2"/>
      <c r="U47" s="2"/>
      <c r="V47" s="2"/>
      <c r="W47" s="2"/>
      <c r="X47" s="2"/>
      <c r="Y47" s="2"/>
      <c r="Z47" s="2"/>
    </row>
    <row r="48" spans="1:26" ht="15.75" customHeight="1" x14ac:dyDescent="0.2">
      <c r="A48" s="2"/>
      <c r="B48" s="45" t="s">
        <v>2287</v>
      </c>
      <c r="C48" s="34">
        <v>3.04</v>
      </c>
      <c r="D48" s="34">
        <v>112.79</v>
      </c>
      <c r="E48" s="34">
        <v>12.32</v>
      </c>
      <c r="F48" s="34">
        <v>1.05</v>
      </c>
      <c r="G48" s="34">
        <v>0.66</v>
      </c>
      <c r="H48" s="2"/>
      <c r="I48" s="2"/>
      <c r="J48" s="2"/>
      <c r="K48" s="2"/>
      <c r="L48" s="2"/>
      <c r="M48" s="2"/>
      <c r="N48" s="2"/>
      <c r="O48" s="2"/>
      <c r="P48" s="2"/>
      <c r="Q48" s="2"/>
      <c r="R48" s="2"/>
      <c r="S48" s="2"/>
      <c r="T48" s="2"/>
      <c r="U48" s="2"/>
      <c r="V48" s="2"/>
      <c r="W48" s="2"/>
      <c r="X48" s="2"/>
      <c r="Y48" s="2"/>
      <c r="Z48" s="2"/>
    </row>
    <row r="49" spans="1:26" ht="15.75" customHeight="1" x14ac:dyDescent="0.2">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2">
      <c r="A50" s="2"/>
      <c r="B50" s="39" t="s">
        <v>2235</v>
      </c>
      <c r="C50" s="41">
        <v>14.55</v>
      </c>
      <c r="D50" s="41" t="s">
        <v>84</v>
      </c>
      <c r="E50" s="41" t="s">
        <v>84</v>
      </c>
      <c r="F50" s="41" t="s">
        <v>84</v>
      </c>
      <c r="G50" s="41" t="s">
        <v>84</v>
      </c>
      <c r="H50" s="2"/>
      <c r="I50" s="2"/>
      <c r="J50" s="2"/>
      <c r="K50" s="2"/>
      <c r="L50" s="2"/>
      <c r="M50" s="2"/>
      <c r="N50" s="2"/>
      <c r="O50" s="2"/>
      <c r="P50" s="2"/>
      <c r="Q50" s="2"/>
      <c r="R50" s="2"/>
      <c r="S50" s="2"/>
      <c r="T50" s="2"/>
      <c r="U50" s="2"/>
      <c r="V50" s="2"/>
      <c r="W50" s="2"/>
      <c r="X50" s="2"/>
      <c r="Y50" s="2"/>
      <c r="Z50" s="2"/>
    </row>
    <row r="51" spans="1:26" ht="15.75" customHeight="1" x14ac:dyDescent="0.2">
      <c r="A51" s="2"/>
      <c r="B51" s="50" t="s">
        <v>2237</v>
      </c>
      <c r="C51" s="41">
        <v>2.42</v>
      </c>
      <c r="D51" s="41" t="s">
        <v>84</v>
      </c>
      <c r="E51" s="41" t="s">
        <v>84</v>
      </c>
      <c r="F51" s="41" t="s">
        <v>84</v>
      </c>
      <c r="G51" s="41" t="s">
        <v>84</v>
      </c>
      <c r="H51" s="2"/>
      <c r="I51" s="2"/>
      <c r="J51" s="2"/>
      <c r="K51" s="2"/>
      <c r="L51" s="2"/>
      <c r="M51" s="2"/>
      <c r="N51" s="2"/>
      <c r="O51" s="2"/>
      <c r="P51" s="2"/>
      <c r="Q51" s="2"/>
      <c r="R51" s="2"/>
      <c r="S51" s="2"/>
      <c r="T51" s="2"/>
      <c r="U51" s="2"/>
      <c r="V51" s="2"/>
      <c r="W51" s="2"/>
      <c r="X51" s="2"/>
      <c r="Y51" s="2"/>
      <c r="Z51" s="2"/>
    </row>
    <row r="52" spans="1:26" ht="15.75" customHeight="1" x14ac:dyDescent="0.2">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2">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2">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2">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2">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2">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2">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2">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2">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2">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2">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2">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2">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2">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2">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2">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2">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2">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2">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2">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2">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2">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2">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2">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2">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2">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2">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2">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2">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2">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2">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2">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2">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2">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2">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2">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2">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2">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2">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2">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2">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2">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2">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2">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2">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2">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2">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2">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2">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2">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2">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2">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2">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2">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2">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2">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2">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2">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2">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2">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2">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2">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2">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2">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2">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2">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2">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2">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2">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2">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2">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2">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2">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2">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2">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2">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2">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2">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2">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2">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2">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2">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2">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2">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2">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2">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2">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2">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2">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2">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2">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2">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2">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2">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2">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2">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2">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2">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2">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2">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2">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2">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2">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2">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2">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2">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2">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2">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2">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2">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2">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2">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2">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2">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2">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2">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2">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2">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2">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2">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2">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2">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2">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2">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2">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2">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2">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2">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2">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2">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2">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2">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2">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2">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2">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2">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2">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2">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2">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2">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2">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2">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2">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2">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2">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2">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2">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2">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2">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2">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2">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2">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2">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2">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2">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2">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2">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2">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2">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2">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2">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2">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x14ac:dyDescent="0.2">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x14ac:dyDescent="0.2">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x14ac:dyDescent="0.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x14ac:dyDescent="0.2">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x14ac:dyDescent="0.2">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x14ac:dyDescent="0.2">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x14ac:dyDescent="0.2">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x14ac:dyDescent="0.2">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x14ac:dyDescent="0.2">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x14ac:dyDescent="0.2">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x14ac:dyDescent="0.2">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x14ac:dyDescent="0.2">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x14ac:dyDescent="0.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x14ac:dyDescent="0.2">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x14ac:dyDescent="0.2">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x14ac:dyDescent="0.2">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x14ac:dyDescent="0.2">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x14ac:dyDescent="0.2">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x14ac:dyDescent="0.2">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x14ac:dyDescent="0.2">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x14ac:dyDescent="0.2">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x14ac:dyDescent="0.2">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sheetData>
  <mergeCells count="1">
    <mergeCell ref="B2:G2"/>
  </mergeCells>
  <pageMargins left="0.7" right="0.7" top="0.75" bottom="0.75" header="0" footer="0"/>
  <pageSetup paperSize="8"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80"/>
  <sheetViews>
    <sheetView workbookViewId="0">
      <pane xSplit="1" ySplit="1" topLeftCell="B2" activePane="bottomRight" state="frozen"/>
      <selection pane="bottomLeft" activeCell="A2" sqref="A2"/>
      <selection pane="topRight" activeCell="B1" sqref="B1"/>
      <selection pane="bottomRight" activeCell="B2" sqref="B2"/>
    </sheetView>
  </sheetViews>
  <sheetFormatPr defaultColWidth="14.390625" defaultRowHeight="15" customHeight="1" x14ac:dyDescent="0.2"/>
  <cols>
    <col min="1" max="1" width="59.59375" customWidth="1"/>
    <col min="2" max="3" width="18.6953125" customWidth="1"/>
    <col min="4" max="7" width="19.63671875" customWidth="1"/>
    <col min="8" max="26" width="8.609375" customWidth="1"/>
  </cols>
  <sheetData>
    <row r="1" spans="1:26" ht="16.5" x14ac:dyDescent="0.25">
      <c r="A1" s="51" t="s">
        <v>2288</v>
      </c>
      <c r="B1" s="51" t="s">
        <v>2289</v>
      </c>
      <c r="C1" s="51" t="s">
        <v>2290</v>
      </c>
      <c r="D1" s="51" t="s">
        <v>2291</v>
      </c>
      <c r="E1" s="51" t="s">
        <v>2292</v>
      </c>
      <c r="F1" s="51" t="s">
        <v>2293</v>
      </c>
      <c r="G1" s="51" t="s">
        <v>2294</v>
      </c>
      <c r="H1" s="52"/>
      <c r="I1" s="52"/>
      <c r="J1" s="52"/>
      <c r="K1" s="52"/>
      <c r="L1" s="52"/>
      <c r="M1" s="52"/>
      <c r="N1" s="52"/>
      <c r="O1" s="52"/>
      <c r="P1" s="52"/>
      <c r="Q1" s="52"/>
      <c r="R1" s="52"/>
      <c r="S1" s="52"/>
      <c r="T1" s="52"/>
      <c r="U1" s="52"/>
      <c r="V1" s="52"/>
      <c r="W1" s="52"/>
      <c r="X1" s="52"/>
      <c r="Y1" s="52"/>
      <c r="Z1" s="52"/>
    </row>
    <row r="2" spans="1:26" x14ac:dyDescent="0.2">
      <c r="A2" s="53" t="s">
        <v>2295</v>
      </c>
      <c r="B2" s="54">
        <v>26755152000000</v>
      </c>
      <c r="C2" s="54">
        <v>32576751000000</v>
      </c>
      <c r="D2" s="54">
        <v>33835567000000</v>
      </c>
      <c r="E2" s="54">
        <v>36050469000000</v>
      </c>
      <c r="F2" s="54">
        <v>40136529000000</v>
      </c>
      <c r="G2" s="54">
        <v>40158876000000</v>
      </c>
      <c r="H2" s="55"/>
      <c r="I2" s="55"/>
      <c r="J2" s="55"/>
      <c r="K2" s="55"/>
      <c r="L2" s="55"/>
      <c r="M2" s="55"/>
      <c r="N2" s="55"/>
      <c r="O2" s="55"/>
      <c r="P2" s="55"/>
      <c r="Q2" s="55"/>
      <c r="R2" s="55"/>
      <c r="S2" s="55"/>
      <c r="T2" s="55"/>
      <c r="U2" s="55"/>
      <c r="V2" s="55"/>
      <c r="W2" s="55"/>
      <c r="X2" s="55"/>
      <c r="Y2" s="55"/>
      <c r="Z2" s="55"/>
    </row>
    <row r="3" spans="1:26" x14ac:dyDescent="0.2">
      <c r="A3" s="56" t="s">
        <v>2296</v>
      </c>
      <c r="B3" s="54">
        <v>81731469000000</v>
      </c>
      <c r="C3" s="54">
        <v>99345618000000</v>
      </c>
      <c r="D3" s="54">
        <v>110830272000000</v>
      </c>
      <c r="E3" s="54">
        <v>111703611000000</v>
      </c>
      <c r="F3" s="54">
        <v>115786525000000</v>
      </c>
      <c r="G3" s="54">
        <v>118333462000000</v>
      </c>
      <c r="H3" s="55"/>
      <c r="I3" s="55"/>
      <c r="J3" s="55"/>
      <c r="K3" s="55"/>
      <c r="L3" s="55"/>
      <c r="M3" s="55"/>
      <c r="N3" s="55"/>
      <c r="O3" s="55"/>
      <c r="P3" s="55"/>
      <c r="Q3" s="55"/>
      <c r="R3" s="55"/>
      <c r="S3" s="55"/>
      <c r="T3" s="55"/>
      <c r="U3" s="55"/>
      <c r="V3" s="55"/>
      <c r="W3" s="55"/>
      <c r="X3" s="55"/>
      <c r="Y3" s="55"/>
      <c r="Z3" s="55"/>
    </row>
    <row r="4" spans="1:26" x14ac:dyDescent="0.2">
      <c r="A4" s="57" t="s">
        <v>2297</v>
      </c>
      <c r="B4" s="58">
        <v>81731469000000</v>
      </c>
      <c r="C4" s="58">
        <v>99345618000000</v>
      </c>
      <c r="D4" s="58">
        <v>110830272000000</v>
      </c>
      <c r="E4" s="58">
        <v>111703611000000</v>
      </c>
      <c r="F4" s="58">
        <v>115786525000000</v>
      </c>
      <c r="G4" s="58">
        <v>118333462000000</v>
      </c>
    </row>
    <row r="5" spans="1:26" x14ac:dyDescent="0.2">
      <c r="A5" s="57" t="s">
        <v>2298</v>
      </c>
      <c r="B5" s="58">
        <v>-54976317000000</v>
      </c>
      <c r="C5" s="58">
        <v>-66768867000000</v>
      </c>
      <c r="D5" s="58">
        <v>-76994705000000</v>
      </c>
      <c r="E5" s="58">
        <v>-75653142000000</v>
      </c>
      <c r="F5" s="58">
        <v>-75649996000000</v>
      </c>
      <c r="G5" s="58">
        <v>-78174586000000</v>
      </c>
    </row>
    <row r="6" spans="1:26" x14ac:dyDescent="0.2">
      <c r="A6" s="57" t="s">
        <v>2299</v>
      </c>
      <c r="B6" s="58">
        <v>-54976317000000</v>
      </c>
      <c r="C6" s="58">
        <v>-66768867000000</v>
      </c>
      <c r="D6" s="58">
        <v>-76994705000000</v>
      </c>
      <c r="E6" s="58">
        <v>-75653142000000</v>
      </c>
      <c r="F6" s="58">
        <v>-75649996000000</v>
      </c>
      <c r="G6" s="58">
        <v>-78174586000000</v>
      </c>
    </row>
    <row r="7" spans="1:26" x14ac:dyDescent="0.2">
      <c r="A7" s="56" t="s">
        <v>2300</v>
      </c>
      <c r="B7" s="54">
        <v>-13925847000000</v>
      </c>
      <c r="C7" s="54">
        <v>-15093666000000</v>
      </c>
      <c r="D7" s="54">
        <v>-15042968000000</v>
      </c>
      <c r="E7" s="54">
        <v>-15906060000000</v>
      </c>
      <c r="F7" s="54">
        <v>-16622468000000</v>
      </c>
      <c r="G7" s="54">
        <v>-16832855000000</v>
      </c>
      <c r="H7" s="55"/>
      <c r="I7" s="55"/>
      <c r="J7" s="55"/>
      <c r="K7" s="55"/>
      <c r="L7" s="55"/>
      <c r="M7" s="55"/>
      <c r="N7" s="55"/>
      <c r="O7" s="55"/>
      <c r="P7" s="55"/>
      <c r="Q7" s="55"/>
      <c r="R7" s="55"/>
      <c r="S7" s="55"/>
      <c r="T7" s="55"/>
      <c r="U7" s="55"/>
      <c r="V7" s="55"/>
      <c r="W7" s="55"/>
      <c r="X7" s="55"/>
      <c r="Y7" s="55"/>
      <c r="Z7" s="55"/>
    </row>
    <row r="8" spans="1:26" x14ac:dyDescent="0.2">
      <c r="A8" s="56" t="s">
        <v>2301</v>
      </c>
      <c r="B8" s="54">
        <v>-12814650000000</v>
      </c>
      <c r="C8" s="54">
        <v>-13785818000000</v>
      </c>
      <c r="D8" s="54">
        <v>-13938602000000</v>
      </c>
      <c r="E8" s="54">
        <v>-15175375000000</v>
      </c>
      <c r="F8" s="54">
        <v>-16111677000000</v>
      </c>
      <c r="G8" s="54">
        <v>-15998800000000</v>
      </c>
      <c r="H8" s="55"/>
      <c r="I8" s="55"/>
      <c r="J8" s="55"/>
      <c r="K8" s="55"/>
      <c r="L8" s="55"/>
      <c r="M8" s="55"/>
      <c r="N8" s="55"/>
      <c r="O8" s="55"/>
      <c r="P8" s="55"/>
      <c r="Q8" s="55"/>
      <c r="R8" s="55"/>
      <c r="S8" s="55"/>
      <c r="T8" s="55"/>
      <c r="U8" s="55"/>
      <c r="V8" s="55"/>
      <c r="W8" s="55"/>
      <c r="X8" s="55"/>
      <c r="Y8" s="55"/>
      <c r="Z8" s="55"/>
    </row>
    <row r="9" spans="1:26" x14ac:dyDescent="0.2">
      <c r="A9" s="57" t="s">
        <v>2302</v>
      </c>
      <c r="B9" s="58">
        <v>-4539280000000</v>
      </c>
      <c r="C9" s="58">
        <v>-5081040000000</v>
      </c>
      <c r="D9" s="58">
        <v>-4710590000000</v>
      </c>
      <c r="E9" s="58">
        <v>-5256523000000</v>
      </c>
      <c r="F9" s="58">
        <v>-5653308000000</v>
      </c>
      <c r="G9" s="58">
        <v>-5527921000000</v>
      </c>
    </row>
    <row r="10" spans="1:26" x14ac:dyDescent="0.2">
      <c r="A10" s="57" t="s">
        <v>2303</v>
      </c>
      <c r="B10" s="57" t="s">
        <v>84</v>
      </c>
      <c r="C10" s="57" t="s">
        <v>84</v>
      </c>
      <c r="D10" s="57" t="s">
        <v>84</v>
      </c>
      <c r="E10" s="57" t="s">
        <v>84</v>
      </c>
      <c r="F10" s="58">
        <v>-5048296000000</v>
      </c>
      <c r="G10" s="57" t="s">
        <v>84</v>
      </c>
    </row>
    <row r="11" spans="1:26" x14ac:dyDescent="0.2">
      <c r="A11" s="57" t="s">
        <v>2304</v>
      </c>
      <c r="B11" s="57" t="s">
        <v>84</v>
      </c>
      <c r="C11" s="57" t="s">
        <v>84</v>
      </c>
      <c r="D11" s="57" t="s">
        <v>84</v>
      </c>
      <c r="E11" s="57" t="s">
        <v>84</v>
      </c>
      <c r="F11" s="58">
        <v>-605012000000</v>
      </c>
      <c r="G11" s="57" t="s">
        <v>84</v>
      </c>
    </row>
    <row r="12" spans="1:26" x14ac:dyDescent="0.2">
      <c r="A12" s="57" t="s">
        <v>2305</v>
      </c>
      <c r="B12" s="58">
        <v>-1467274000000</v>
      </c>
      <c r="C12" s="58">
        <v>-1058252000000</v>
      </c>
      <c r="D12" s="58">
        <v>-999782000000</v>
      </c>
      <c r="E12" s="58">
        <v>-1154241000000</v>
      </c>
      <c r="F12" s="58">
        <v>-696520000000</v>
      </c>
      <c r="G12" s="58">
        <v>-512906000000</v>
      </c>
    </row>
    <row r="13" spans="1:26" x14ac:dyDescent="0.2">
      <c r="A13" s="57" t="s">
        <v>2306</v>
      </c>
      <c r="B13" s="58">
        <v>-135819000000</v>
      </c>
      <c r="C13" s="58">
        <v>-259298000000</v>
      </c>
      <c r="D13" s="58">
        <v>-216689000000</v>
      </c>
      <c r="E13" s="58">
        <v>-200352000000</v>
      </c>
      <c r="F13" s="58">
        <v>-187161000000</v>
      </c>
      <c r="G13" s="58">
        <v>-207701000000</v>
      </c>
    </row>
    <row r="14" spans="1:26" x14ac:dyDescent="0.2">
      <c r="A14" s="57" t="s">
        <v>2307</v>
      </c>
      <c r="B14" s="58">
        <v>-6672277000000</v>
      </c>
      <c r="C14" s="58">
        <v>-7165359000000</v>
      </c>
      <c r="D14" s="58">
        <v>-8011541000000</v>
      </c>
      <c r="E14" s="58">
        <v>-8564259000000</v>
      </c>
      <c r="F14" s="58">
        <v>-9574688000000</v>
      </c>
      <c r="G14" s="58">
        <v>-9735960000000</v>
      </c>
    </row>
    <row r="15" spans="1:26" x14ac:dyDescent="0.2">
      <c r="A15" s="57" t="s">
        <v>2308</v>
      </c>
      <c r="B15" s="57" t="s">
        <v>84</v>
      </c>
      <c r="C15" s="58">
        <v>-221869000000</v>
      </c>
      <c r="D15" s="57" t="s">
        <v>84</v>
      </c>
      <c r="E15" s="57" t="s">
        <v>84</v>
      </c>
      <c r="F15" s="57" t="s">
        <v>84</v>
      </c>
      <c r="G15" s="57" t="s">
        <v>84</v>
      </c>
    </row>
    <row r="16" spans="1:26" x14ac:dyDescent="0.2">
      <c r="A16" s="56" t="s">
        <v>2309</v>
      </c>
      <c r="B16" s="54">
        <v>-339986000000</v>
      </c>
      <c r="C16" s="54">
        <v>-333228000000</v>
      </c>
      <c r="D16" s="54">
        <v>-323745000000</v>
      </c>
      <c r="E16" s="54">
        <v>-325936000000</v>
      </c>
      <c r="F16" s="54">
        <v>-324449000000</v>
      </c>
      <c r="G16" s="54">
        <v>-331140000000</v>
      </c>
    </row>
    <row r="17" spans="1:26" x14ac:dyDescent="0.2">
      <c r="A17" s="56" t="s">
        <v>2310</v>
      </c>
      <c r="B17" s="54">
        <v>-748281000000</v>
      </c>
      <c r="C17" s="54">
        <v>-799718000000</v>
      </c>
      <c r="D17" s="54">
        <v>-825673000000</v>
      </c>
      <c r="E17" s="54">
        <v>-721863000000</v>
      </c>
      <c r="F17" s="54">
        <v>-720272000000</v>
      </c>
      <c r="G17" s="54">
        <v>-716018000000</v>
      </c>
    </row>
    <row r="18" spans="1:26" x14ac:dyDescent="0.2">
      <c r="A18" s="56" t="s">
        <v>2311</v>
      </c>
      <c r="B18" s="54">
        <v>-748281000000</v>
      </c>
      <c r="C18" s="54">
        <v>-799718000000</v>
      </c>
      <c r="D18" s="54">
        <v>-825673000000</v>
      </c>
      <c r="E18" s="54">
        <v>-721863000000</v>
      </c>
      <c r="F18" s="54">
        <v>-720272000000</v>
      </c>
      <c r="G18" s="54">
        <v>-716018000000</v>
      </c>
    </row>
    <row r="19" spans="1:26" x14ac:dyDescent="0.2">
      <c r="A19" s="57" t="s">
        <v>2312</v>
      </c>
      <c r="B19" s="58">
        <v>-615043000000</v>
      </c>
      <c r="C19" s="58">
        <v>-666480000000</v>
      </c>
      <c r="D19" s="58">
        <v>-692435000000</v>
      </c>
      <c r="E19" s="58">
        <v>-588625000000</v>
      </c>
      <c r="F19" s="58">
        <v>-587034000000</v>
      </c>
      <c r="G19" s="58">
        <v>-582780000000</v>
      </c>
    </row>
    <row r="20" spans="1:26" x14ac:dyDescent="0.2">
      <c r="A20" s="57" t="s">
        <v>2313</v>
      </c>
      <c r="B20" s="58">
        <v>-133238000000</v>
      </c>
      <c r="C20" s="58">
        <v>-133238000000</v>
      </c>
      <c r="D20" s="58">
        <v>-133238000000</v>
      </c>
      <c r="E20" s="58">
        <v>-133238000000</v>
      </c>
      <c r="F20" s="58">
        <v>-133238000000</v>
      </c>
      <c r="G20" s="58">
        <v>-133238000000</v>
      </c>
    </row>
    <row r="21" spans="1:26" ht="15.75" customHeight="1" x14ac:dyDescent="0.2">
      <c r="A21" s="56" t="s">
        <v>2314</v>
      </c>
      <c r="B21" s="54">
        <v>-262280000000</v>
      </c>
      <c r="C21" s="54">
        <v>-578541000000</v>
      </c>
      <c r="D21" s="54">
        <v>-333920000000</v>
      </c>
      <c r="E21" s="54">
        <v>-281859000000</v>
      </c>
      <c r="F21" s="54">
        <v>-283621000000</v>
      </c>
      <c r="G21" s="54">
        <v>-306836000000</v>
      </c>
    </row>
    <row r="22" spans="1:26" ht="15.75" customHeight="1" x14ac:dyDescent="0.2">
      <c r="A22" s="56" t="s">
        <v>2315</v>
      </c>
      <c r="B22" s="54">
        <v>-55197000000</v>
      </c>
      <c r="C22" s="54">
        <v>-352527000000</v>
      </c>
      <c r="D22" s="54">
        <v>-369384000000</v>
      </c>
      <c r="E22" s="54">
        <v>-116256000000</v>
      </c>
      <c r="F22" s="54">
        <v>-264453000000</v>
      </c>
      <c r="G22" s="54">
        <v>-278893000000</v>
      </c>
    </row>
    <row r="23" spans="1:26" ht="15.75" customHeight="1" x14ac:dyDescent="0.2">
      <c r="A23" s="57" t="s">
        <v>2316</v>
      </c>
      <c r="B23" s="58">
        <v>-55197000000</v>
      </c>
      <c r="C23" s="58">
        <v>-352527000000</v>
      </c>
      <c r="D23" s="58">
        <v>-369384000000</v>
      </c>
      <c r="E23" s="58">
        <v>-116256000000</v>
      </c>
      <c r="F23" s="58">
        <v>-264453000000</v>
      </c>
      <c r="G23" s="58">
        <v>-278893000000</v>
      </c>
    </row>
    <row r="24" spans="1:26" ht="15.75" customHeight="1" x14ac:dyDescent="0.2">
      <c r="A24" s="56" t="s">
        <v>2317</v>
      </c>
      <c r="B24" s="54">
        <v>294547000000</v>
      </c>
      <c r="C24" s="54">
        <v>756166000000</v>
      </c>
      <c r="D24" s="54">
        <v>748356000000</v>
      </c>
      <c r="E24" s="54">
        <v>715229000000</v>
      </c>
      <c r="F24" s="54">
        <v>1082004000000</v>
      </c>
      <c r="G24" s="54">
        <v>798832000000</v>
      </c>
      <c r="H24" s="55"/>
      <c r="I24" s="55"/>
      <c r="J24" s="55"/>
      <c r="K24" s="55"/>
      <c r="L24" s="55"/>
      <c r="M24" s="55"/>
      <c r="N24" s="55"/>
      <c r="O24" s="55"/>
      <c r="P24" s="55"/>
      <c r="Q24" s="55"/>
      <c r="R24" s="55"/>
      <c r="S24" s="55"/>
      <c r="T24" s="55"/>
      <c r="U24" s="55"/>
      <c r="V24" s="55"/>
      <c r="W24" s="55"/>
      <c r="X24" s="55"/>
      <c r="Y24" s="55"/>
      <c r="Z24" s="55"/>
    </row>
    <row r="25" spans="1:26" ht="15.75" customHeight="1" x14ac:dyDescent="0.2">
      <c r="A25" s="57" t="s">
        <v>2318</v>
      </c>
      <c r="B25" s="58">
        <v>669427000000</v>
      </c>
      <c r="C25" s="58">
        <v>873010000000</v>
      </c>
      <c r="D25" s="58">
        <v>933477000000</v>
      </c>
      <c r="E25" s="58">
        <v>962526000000</v>
      </c>
      <c r="F25" s="58">
        <v>1215375000000</v>
      </c>
      <c r="G25" s="58">
        <v>1106020000000</v>
      </c>
    </row>
    <row r="26" spans="1:26" ht="15.75" customHeight="1" x14ac:dyDescent="0.2">
      <c r="A26" s="57" t="s">
        <v>2319</v>
      </c>
      <c r="B26" s="58">
        <v>-374880000000</v>
      </c>
      <c r="C26" s="58">
        <v>-116844000000</v>
      </c>
      <c r="D26" s="58">
        <v>-185121000000</v>
      </c>
      <c r="E26" s="58">
        <v>-247297000000</v>
      </c>
      <c r="F26" s="58">
        <v>-133371000000</v>
      </c>
      <c r="G26" s="58">
        <v>-307188000000</v>
      </c>
    </row>
    <row r="27" spans="1:26" ht="15.75" customHeight="1" x14ac:dyDescent="0.2">
      <c r="A27" s="53" t="s">
        <v>2320</v>
      </c>
      <c r="B27" s="54">
        <v>12829305000000</v>
      </c>
      <c r="C27" s="54">
        <v>17483085000000</v>
      </c>
      <c r="D27" s="54">
        <v>18792599000000</v>
      </c>
      <c r="E27" s="54">
        <v>20144409000000</v>
      </c>
      <c r="F27" s="54">
        <v>23514061000000</v>
      </c>
      <c r="G27" s="54">
        <v>23326021000000</v>
      </c>
      <c r="H27" s="55"/>
      <c r="I27" s="55"/>
      <c r="J27" s="55"/>
      <c r="K27" s="55"/>
      <c r="L27" s="55"/>
      <c r="M27" s="55"/>
      <c r="N27" s="55"/>
      <c r="O27" s="55"/>
      <c r="P27" s="55"/>
      <c r="Q27" s="55"/>
      <c r="R27" s="55"/>
      <c r="S27" s="55"/>
      <c r="T27" s="55"/>
      <c r="U27" s="55"/>
      <c r="V27" s="55"/>
      <c r="W27" s="55"/>
      <c r="X27" s="55"/>
      <c r="Y27" s="55"/>
      <c r="Z27" s="55"/>
    </row>
    <row r="28" spans="1:26" ht="15.75" customHeight="1" x14ac:dyDescent="0.2">
      <c r="A28" s="57" t="s">
        <v>2321</v>
      </c>
      <c r="B28" s="58">
        <v>-402971000000</v>
      </c>
      <c r="C28" s="58">
        <v>-3027000000000</v>
      </c>
      <c r="D28" s="58">
        <v>-6473834000000</v>
      </c>
      <c r="E28" s="58">
        <v>-4529025000000</v>
      </c>
      <c r="F28" s="58">
        <v>-6474279000000</v>
      </c>
      <c r="G28" s="58">
        <v>-3560744000000</v>
      </c>
    </row>
    <row r="29" spans="1:26" ht="15.75" customHeight="1" x14ac:dyDescent="0.2">
      <c r="A29" s="56" t="s">
        <v>2322</v>
      </c>
      <c r="B29" s="54">
        <v>-1270040000000</v>
      </c>
      <c r="C29" s="54">
        <v>-2445539000000</v>
      </c>
      <c r="D29" s="54">
        <v>-2609859000000</v>
      </c>
      <c r="E29" s="54">
        <v>-2375857000000</v>
      </c>
      <c r="F29" s="54">
        <v>-2052858000000</v>
      </c>
      <c r="G29" s="54">
        <v>-2088419000000</v>
      </c>
      <c r="H29" s="55"/>
      <c r="I29" s="55"/>
      <c r="J29" s="55"/>
      <c r="K29" s="55"/>
      <c r="L29" s="55"/>
      <c r="M29" s="55"/>
      <c r="N29" s="55"/>
      <c r="O29" s="55"/>
      <c r="P29" s="55"/>
      <c r="Q29" s="55"/>
      <c r="R29" s="55"/>
      <c r="S29" s="55"/>
      <c r="T29" s="55"/>
      <c r="U29" s="55"/>
      <c r="V29" s="55"/>
      <c r="W29" s="55"/>
      <c r="X29" s="55"/>
      <c r="Y29" s="55"/>
      <c r="Z29" s="55"/>
    </row>
    <row r="30" spans="1:26" ht="15.75" customHeight="1" x14ac:dyDescent="0.2">
      <c r="A30" s="56" t="s">
        <v>2323</v>
      </c>
      <c r="B30" s="54">
        <v>-1270040000000</v>
      </c>
      <c r="C30" s="54">
        <v>-2445539000000</v>
      </c>
      <c r="D30" s="54">
        <v>-2609859000000</v>
      </c>
      <c r="E30" s="54">
        <v>-2375857000000</v>
      </c>
      <c r="F30" s="54">
        <v>-2052858000000</v>
      </c>
      <c r="G30" s="54">
        <v>-2088419000000</v>
      </c>
      <c r="H30" s="55"/>
      <c r="I30" s="55"/>
      <c r="J30" s="55"/>
      <c r="K30" s="55"/>
      <c r="L30" s="55"/>
      <c r="M30" s="55"/>
      <c r="N30" s="55"/>
      <c r="O30" s="55"/>
      <c r="P30" s="55"/>
      <c r="Q30" s="55"/>
      <c r="R30" s="55"/>
      <c r="S30" s="55"/>
      <c r="T30" s="55"/>
      <c r="U30" s="55"/>
      <c r="V30" s="55"/>
      <c r="W30" s="55"/>
      <c r="X30" s="55"/>
      <c r="Y30" s="55"/>
      <c r="Z30" s="55"/>
    </row>
    <row r="31" spans="1:26" ht="15.75" customHeight="1" x14ac:dyDescent="0.2">
      <c r="A31" s="57" t="s">
        <v>2324</v>
      </c>
      <c r="B31" s="58">
        <v>-1875812000000</v>
      </c>
      <c r="C31" s="58">
        <v>-2842883000000</v>
      </c>
      <c r="D31" s="58">
        <v>-3206093000000</v>
      </c>
      <c r="E31" s="58">
        <v>-3524625000000</v>
      </c>
      <c r="F31" s="58">
        <v>-3826849000000</v>
      </c>
      <c r="G31" s="58">
        <v>-3733060000000</v>
      </c>
    </row>
    <row r="32" spans="1:26" ht="15.75" customHeight="1" x14ac:dyDescent="0.2">
      <c r="A32" s="57" t="s">
        <v>2325</v>
      </c>
      <c r="B32" s="58">
        <v>605772000000</v>
      </c>
      <c r="C32" s="58">
        <v>397344000000</v>
      </c>
      <c r="D32" s="58">
        <v>596234000000</v>
      </c>
      <c r="E32" s="58">
        <v>1148768000000</v>
      </c>
      <c r="F32" s="58">
        <v>1773991000000</v>
      </c>
      <c r="G32" s="58">
        <v>1644641000000</v>
      </c>
    </row>
    <row r="33" spans="1:26" ht="15.75" customHeight="1" x14ac:dyDescent="0.2">
      <c r="A33" s="57" t="s">
        <v>2326</v>
      </c>
      <c r="B33" s="57" t="s">
        <v>84</v>
      </c>
      <c r="C33" s="57" t="s">
        <v>84</v>
      </c>
      <c r="D33" s="57" t="s">
        <v>84</v>
      </c>
      <c r="E33" s="57" t="s">
        <v>84</v>
      </c>
      <c r="F33" s="57" t="s">
        <v>84</v>
      </c>
      <c r="G33" s="57" t="s">
        <v>84</v>
      </c>
    </row>
    <row r="34" spans="1:26" ht="15.75" customHeight="1" x14ac:dyDescent="0.2">
      <c r="A34" s="57" t="s">
        <v>2327</v>
      </c>
      <c r="B34" s="57" t="s">
        <v>84</v>
      </c>
      <c r="C34" s="57" t="s">
        <v>84</v>
      </c>
      <c r="D34" s="57" t="s">
        <v>84</v>
      </c>
      <c r="E34" s="57" t="s">
        <v>84</v>
      </c>
      <c r="F34" s="57" t="s">
        <v>84</v>
      </c>
      <c r="G34" s="57" t="s">
        <v>84</v>
      </c>
    </row>
    <row r="35" spans="1:26" ht="15.75" customHeight="1" x14ac:dyDescent="0.2">
      <c r="A35" s="56" t="s">
        <v>2328</v>
      </c>
      <c r="B35" s="54">
        <v>1006807000000</v>
      </c>
      <c r="C35" s="54">
        <v>-80473000000</v>
      </c>
      <c r="D35" s="54">
        <v>-3543547000000</v>
      </c>
      <c r="E35" s="54">
        <v>-1878259000000</v>
      </c>
      <c r="F35" s="54">
        <v>-3649306000000</v>
      </c>
      <c r="G35" s="54">
        <v>-582562000000</v>
      </c>
    </row>
    <row r="36" spans="1:26" ht="15.75" customHeight="1" x14ac:dyDescent="0.2">
      <c r="A36" s="57" t="s">
        <v>2329</v>
      </c>
      <c r="B36" s="58">
        <v>-253641000000</v>
      </c>
      <c r="C36" s="58">
        <v>133927000000</v>
      </c>
      <c r="D36" s="58">
        <v>123181000000</v>
      </c>
      <c r="E36" s="58">
        <v>-2314353000000</v>
      </c>
      <c r="F36" s="58">
        <v>-1361608000000</v>
      </c>
      <c r="G36" s="58">
        <v>-1406729000000</v>
      </c>
    </row>
    <row r="37" spans="1:26" ht="15.75" customHeight="1" x14ac:dyDescent="0.2">
      <c r="A37" s="57" t="s">
        <v>2330</v>
      </c>
      <c r="B37" s="57" t="s">
        <v>84</v>
      </c>
      <c r="C37" s="57" t="s">
        <v>84</v>
      </c>
      <c r="D37" s="57" t="s">
        <v>84</v>
      </c>
      <c r="E37" s="57" t="s">
        <v>84</v>
      </c>
      <c r="F37" s="57" t="s">
        <v>84</v>
      </c>
      <c r="G37" s="57" t="s">
        <v>84</v>
      </c>
    </row>
    <row r="38" spans="1:26" ht="15.75" customHeight="1" x14ac:dyDescent="0.2">
      <c r="A38" s="57" t="s">
        <v>2331</v>
      </c>
      <c r="B38" s="58">
        <v>1260448000000</v>
      </c>
      <c r="C38" s="58">
        <v>-214400000000</v>
      </c>
      <c r="D38" s="58">
        <v>-3666728000000</v>
      </c>
      <c r="E38" s="58">
        <v>436094000000</v>
      </c>
      <c r="F38" s="58">
        <v>-2287698000000</v>
      </c>
      <c r="G38" s="58">
        <v>824167000000</v>
      </c>
    </row>
    <row r="39" spans="1:26" ht="15.75" customHeight="1" x14ac:dyDescent="0.2">
      <c r="A39" s="57" t="s">
        <v>2332</v>
      </c>
      <c r="B39" s="57" t="s">
        <v>84</v>
      </c>
      <c r="C39" s="57" t="s">
        <v>84</v>
      </c>
      <c r="D39" s="57" t="s">
        <v>84</v>
      </c>
      <c r="E39" s="57" t="s">
        <v>84</v>
      </c>
      <c r="F39" s="57" t="s">
        <v>84</v>
      </c>
      <c r="G39" s="57" t="s">
        <v>84</v>
      </c>
    </row>
    <row r="40" spans="1:26" ht="15.75" customHeight="1" x14ac:dyDescent="0.2">
      <c r="A40" s="56" t="s">
        <v>2333</v>
      </c>
      <c r="B40" s="54">
        <v>-35898000000</v>
      </c>
      <c r="C40" s="54">
        <v>-428250000000</v>
      </c>
      <c r="D40" s="54">
        <v>-225558000000</v>
      </c>
      <c r="E40" s="54">
        <v>-100579000000</v>
      </c>
      <c r="F40" s="54">
        <v>-503556000000</v>
      </c>
      <c r="G40" s="54">
        <v>-621838000000</v>
      </c>
    </row>
    <row r="41" spans="1:26" ht="15.75" customHeight="1" x14ac:dyDescent="0.2">
      <c r="A41" s="57" t="s">
        <v>2334</v>
      </c>
      <c r="B41" s="57" t="s">
        <v>84</v>
      </c>
      <c r="C41" s="57" t="s">
        <v>84</v>
      </c>
      <c r="D41" s="57" t="s">
        <v>84</v>
      </c>
      <c r="E41" s="57" t="s">
        <v>84</v>
      </c>
      <c r="F41" s="58">
        <v>117256000000</v>
      </c>
      <c r="G41" s="58">
        <v>117256000000</v>
      </c>
    </row>
    <row r="42" spans="1:26" ht="15.75" customHeight="1" x14ac:dyDescent="0.2">
      <c r="A42" s="57" t="s">
        <v>2335</v>
      </c>
      <c r="B42" s="58">
        <v>27143000000</v>
      </c>
      <c r="C42" s="58">
        <v>49590000000</v>
      </c>
      <c r="D42" s="58">
        <v>38468000000</v>
      </c>
      <c r="E42" s="58">
        <v>79996000000</v>
      </c>
      <c r="F42" s="58">
        <v>94447000000</v>
      </c>
      <c r="G42" s="58">
        <v>67557000000</v>
      </c>
    </row>
    <row r="43" spans="1:26" ht="15.75" customHeight="1" x14ac:dyDescent="0.2">
      <c r="A43" s="57" t="s">
        <v>2336</v>
      </c>
      <c r="B43" s="57" t="s">
        <v>84</v>
      </c>
      <c r="C43" s="58">
        <v>-477840000000</v>
      </c>
      <c r="D43" s="58">
        <v>-159341000000</v>
      </c>
      <c r="E43" s="58">
        <v>-174471000000</v>
      </c>
      <c r="F43" s="58">
        <v>-715259000000</v>
      </c>
      <c r="G43" s="58">
        <v>-715259000000</v>
      </c>
    </row>
    <row r="44" spans="1:26" ht="15.75" customHeight="1" x14ac:dyDescent="0.2">
      <c r="A44" s="57" t="s">
        <v>2337</v>
      </c>
      <c r="B44" s="57" t="s">
        <v>84</v>
      </c>
      <c r="C44" s="57" t="s">
        <v>84</v>
      </c>
      <c r="D44" s="58">
        <v>-104685000000</v>
      </c>
      <c r="E44" s="58">
        <v>-6104000000</v>
      </c>
      <c r="F44" s="57" t="s">
        <v>84</v>
      </c>
      <c r="G44" s="57" t="s">
        <v>84</v>
      </c>
    </row>
    <row r="45" spans="1:26" ht="15.75" customHeight="1" x14ac:dyDescent="0.2">
      <c r="A45" s="57" t="s">
        <v>2338</v>
      </c>
      <c r="B45" s="58">
        <v>-63041000000</v>
      </c>
      <c r="C45" s="57" t="s">
        <v>84</v>
      </c>
      <c r="D45" s="57" t="s">
        <v>84</v>
      </c>
      <c r="E45" s="57" t="s">
        <v>84</v>
      </c>
      <c r="F45" s="57" t="s">
        <v>84</v>
      </c>
      <c r="G45" s="58">
        <v>91392000000</v>
      </c>
    </row>
    <row r="46" spans="1:26" ht="15.75" customHeight="1" x14ac:dyDescent="0.2">
      <c r="A46" s="56" t="s">
        <v>2339</v>
      </c>
      <c r="B46" s="54">
        <v>-103840000000</v>
      </c>
      <c r="C46" s="54">
        <v>-72738000000</v>
      </c>
      <c r="D46" s="54">
        <v>-94870000000</v>
      </c>
      <c r="E46" s="54">
        <v>-174330000000</v>
      </c>
      <c r="F46" s="54">
        <v>-268559000000</v>
      </c>
      <c r="G46" s="54">
        <v>-267925000000</v>
      </c>
    </row>
    <row r="47" spans="1:26" ht="15.75" customHeight="1" x14ac:dyDescent="0.2">
      <c r="A47" s="53" t="s">
        <v>2340</v>
      </c>
      <c r="B47" s="54">
        <v>12426334000000</v>
      </c>
      <c r="C47" s="54">
        <v>14456085000000</v>
      </c>
      <c r="D47" s="54">
        <v>12318765000000</v>
      </c>
      <c r="E47" s="54">
        <v>15615384000000</v>
      </c>
      <c r="F47" s="54">
        <v>17039782000000</v>
      </c>
      <c r="G47" s="54">
        <v>19765277000000</v>
      </c>
      <c r="H47" s="55"/>
      <c r="I47" s="55"/>
      <c r="J47" s="55"/>
      <c r="K47" s="55"/>
      <c r="L47" s="55"/>
      <c r="M47" s="55"/>
      <c r="N47" s="55"/>
      <c r="O47" s="55"/>
      <c r="P47" s="55"/>
      <c r="Q47" s="55"/>
      <c r="R47" s="55"/>
      <c r="S47" s="55"/>
      <c r="T47" s="55"/>
      <c r="U47" s="55"/>
      <c r="V47" s="55"/>
      <c r="W47" s="55"/>
      <c r="X47" s="55"/>
      <c r="Y47" s="55"/>
      <c r="Z47" s="55"/>
    </row>
    <row r="48" spans="1:26" ht="15.75" customHeight="1" x14ac:dyDescent="0.2">
      <c r="A48" s="57" t="s">
        <v>2341</v>
      </c>
      <c r="B48" s="58">
        <v>-3674268000000</v>
      </c>
      <c r="C48" s="58">
        <v>-3252500000000</v>
      </c>
      <c r="D48" s="58">
        <v>-3126196000000</v>
      </c>
      <c r="E48" s="58">
        <v>-4121651000000</v>
      </c>
      <c r="F48" s="58">
        <v>-3962286000000</v>
      </c>
      <c r="G48" s="58">
        <v>-4429545000000</v>
      </c>
    </row>
    <row r="49" spans="1:7" ht="15.75" customHeight="1" x14ac:dyDescent="0.2">
      <c r="A49" s="53" t="s">
        <v>2342</v>
      </c>
      <c r="B49" s="54">
        <v>8752066000000</v>
      </c>
      <c r="C49" s="54">
        <v>11203585000000</v>
      </c>
      <c r="D49" s="54">
        <v>9192569000000</v>
      </c>
      <c r="E49" s="54">
        <v>11493733000000</v>
      </c>
      <c r="F49" s="54">
        <v>13077496000000</v>
      </c>
      <c r="G49" s="54">
        <v>15335732000000</v>
      </c>
    </row>
    <row r="50" spans="1:7" ht="15.75" customHeight="1" x14ac:dyDescent="0.2">
      <c r="A50" s="53" t="s">
        <v>2343</v>
      </c>
      <c r="B50" s="54">
        <v>8752066000000</v>
      </c>
      <c r="C50" s="54">
        <v>11203585000000</v>
      </c>
      <c r="D50" s="54">
        <v>9192569000000</v>
      </c>
      <c r="E50" s="54">
        <v>11493733000000</v>
      </c>
      <c r="F50" s="54">
        <v>13077496000000</v>
      </c>
      <c r="G50" s="54">
        <v>15335732000000</v>
      </c>
    </row>
    <row r="51" spans="1:7" ht="15.75" customHeight="1" x14ac:dyDescent="0.2">
      <c r="A51" s="57" t="s">
        <v>2344</v>
      </c>
      <c r="B51" s="58">
        <v>-2296434000000</v>
      </c>
      <c r="C51" s="58">
        <v>-3561388000000</v>
      </c>
      <c r="D51" s="58">
        <v>-2833475000000</v>
      </c>
      <c r="E51" s="58">
        <v>-3346714000000</v>
      </c>
      <c r="F51" s="58">
        <v>-4435884000000</v>
      </c>
      <c r="G51" s="58">
        <v>-4710098000000</v>
      </c>
    </row>
    <row r="52" spans="1:7" ht="15.75" customHeight="1" x14ac:dyDescent="0.2">
      <c r="A52" s="53" t="s">
        <v>2345</v>
      </c>
      <c r="B52" s="54">
        <v>6455632000000</v>
      </c>
      <c r="C52" s="54">
        <v>7642197000000</v>
      </c>
      <c r="D52" s="54">
        <v>6359094000000</v>
      </c>
      <c r="E52" s="54">
        <v>8147019000000</v>
      </c>
      <c r="F52" s="54">
        <v>8641612000000</v>
      </c>
      <c r="G52" s="54">
        <v>10625634000000</v>
      </c>
    </row>
    <row r="53" spans="1:7" ht="15.75" customHeight="1" x14ac:dyDescent="0.2">
      <c r="A53" s="56" t="s">
        <v>2346</v>
      </c>
      <c r="B53" s="54">
        <v>6455632000000</v>
      </c>
      <c r="C53" s="54">
        <v>7642197000000</v>
      </c>
      <c r="D53" s="54">
        <v>6359094000000</v>
      </c>
      <c r="E53" s="54">
        <v>8147019000000</v>
      </c>
      <c r="F53" s="54">
        <v>8641612000000</v>
      </c>
      <c r="G53" s="54">
        <v>10625634000000</v>
      </c>
    </row>
    <row r="54" spans="1:7" ht="15.75" customHeight="1" x14ac:dyDescent="0.2">
      <c r="A54" s="56" t="s">
        <v>2347</v>
      </c>
      <c r="B54" s="54">
        <v>6455632000000</v>
      </c>
      <c r="C54" s="54">
        <v>7642197000000</v>
      </c>
      <c r="D54" s="54">
        <v>6359094000000</v>
      </c>
      <c r="E54" s="54">
        <v>8147019000000</v>
      </c>
      <c r="F54" s="54">
        <v>8641612000000</v>
      </c>
      <c r="G54" s="54">
        <v>10625634000000</v>
      </c>
    </row>
    <row r="55" spans="1:7" ht="15.75" customHeight="1" x14ac:dyDescent="0.2">
      <c r="A55" s="57" t="s">
        <v>2348</v>
      </c>
      <c r="B55" s="57" t="s">
        <v>84</v>
      </c>
      <c r="C55" s="57" t="s">
        <v>84</v>
      </c>
      <c r="D55" s="57" t="s">
        <v>84</v>
      </c>
      <c r="E55" s="57" t="s">
        <v>84</v>
      </c>
      <c r="F55" s="57" t="s">
        <v>84</v>
      </c>
      <c r="G55" s="57" t="s">
        <v>84</v>
      </c>
    </row>
    <row r="56" spans="1:7" ht="15.75" customHeight="1" x14ac:dyDescent="0.2">
      <c r="A56" s="57" t="s">
        <v>2349</v>
      </c>
      <c r="B56" s="57" t="s">
        <v>84</v>
      </c>
      <c r="C56" s="57" t="s">
        <v>84</v>
      </c>
      <c r="D56" s="57" t="s">
        <v>84</v>
      </c>
      <c r="E56" s="57" t="s">
        <v>84</v>
      </c>
      <c r="F56" s="57" t="s">
        <v>84</v>
      </c>
      <c r="G56" s="57" t="s">
        <v>84</v>
      </c>
    </row>
    <row r="57" spans="1:7" ht="15.75" customHeight="1" x14ac:dyDescent="0.2">
      <c r="A57" s="57" t="s">
        <v>2350</v>
      </c>
      <c r="B57" s="58">
        <v>81731469000000</v>
      </c>
      <c r="C57" s="58">
        <v>99345618000000</v>
      </c>
      <c r="D57" s="58">
        <v>110830272000000</v>
      </c>
      <c r="E57" s="58">
        <v>111703611000000</v>
      </c>
      <c r="F57" s="58">
        <v>115786525000000</v>
      </c>
      <c r="G57" s="58">
        <v>118333462000000</v>
      </c>
    </row>
    <row r="58" spans="1:7" ht="15.75" customHeight="1" x14ac:dyDescent="0.2">
      <c r="A58" s="57" t="s">
        <v>2351</v>
      </c>
      <c r="B58" s="58">
        <v>12889087000000</v>
      </c>
      <c r="C58" s="58">
        <v>16882324000000</v>
      </c>
      <c r="D58" s="58">
        <v>19693110000000</v>
      </c>
      <c r="E58" s="58">
        <v>19663598000000</v>
      </c>
      <c r="F58" s="58">
        <v>23088184000000</v>
      </c>
      <c r="G58" s="58">
        <v>23029303000000</v>
      </c>
    </row>
    <row r="59" spans="1:7" ht="15.75" customHeight="1" x14ac:dyDescent="0.2">
      <c r="A59" s="57" t="s">
        <v>2352</v>
      </c>
      <c r="B59" s="58">
        <v>5960000000000</v>
      </c>
      <c r="C59" s="58">
        <v>8050000000000</v>
      </c>
      <c r="D59" s="58">
        <v>9060000000000</v>
      </c>
      <c r="E59" s="58">
        <v>9780</v>
      </c>
      <c r="F59" s="58">
        <v>11340000000000</v>
      </c>
      <c r="G59" s="57" t="s">
        <v>84</v>
      </c>
    </row>
    <row r="60" spans="1:7" ht="15.75" customHeight="1" x14ac:dyDescent="0.2">
      <c r="A60" s="57" t="s">
        <v>2353</v>
      </c>
      <c r="B60" s="57" t="s">
        <v>84</v>
      </c>
      <c r="C60" s="57" t="s">
        <v>84</v>
      </c>
      <c r="D60" s="57" t="s">
        <v>84</v>
      </c>
      <c r="E60" s="57" t="s">
        <v>84</v>
      </c>
      <c r="F60" s="57" t="s">
        <v>84</v>
      </c>
      <c r="G60" s="57" t="s">
        <v>84</v>
      </c>
    </row>
    <row r="61" spans="1:7" ht="15.75" customHeight="1" x14ac:dyDescent="0.2">
      <c r="A61" s="57" t="s">
        <v>2354</v>
      </c>
      <c r="B61" s="58">
        <v>-3568530000000</v>
      </c>
      <c r="C61" s="58">
        <v>-3772475000000</v>
      </c>
      <c r="D61" s="57" t="s">
        <v>84</v>
      </c>
      <c r="E61" s="58">
        <v>-3882231000000</v>
      </c>
      <c r="F61" s="57" t="s">
        <v>84</v>
      </c>
      <c r="G61" s="57" t="s">
        <v>84</v>
      </c>
    </row>
    <row r="62" spans="1:7" ht="15.75" customHeight="1" x14ac:dyDescent="0.2">
      <c r="A62" s="57" t="s">
        <v>2355</v>
      </c>
      <c r="B62" s="58">
        <v>-3568530000000</v>
      </c>
      <c r="C62" s="58">
        <v>-3772475000000</v>
      </c>
      <c r="D62" s="57" t="s">
        <v>84</v>
      </c>
      <c r="E62" s="58">
        <v>-3882231000000</v>
      </c>
      <c r="F62" s="57" t="s">
        <v>84</v>
      </c>
      <c r="G62" s="57" t="s">
        <v>84</v>
      </c>
    </row>
    <row r="63" spans="1:7" ht="15.75" customHeight="1" x14ac:dyDescent="0.2">
      <c r="A63" s="57" t="s">
        <v>2356</v>
      </c>
      <c r="B63" s="58">
        <v>-3435292000000</v>
      </c>
      <c r="C63" s="58">
        <v>-3639237000000</v>
      </c>
      <c r="D63" s="57" t="s">
        <v>84</v>
      </c>
      <c r="E63" s="58">
        <v>-3748993000000</v>
      </c>
      <c r="F63" s="57" t="s">
        <v>84</v>
      </c>
      <c r="G63" s="57" t="s">
        <v>84</v>
      </c>
    </row>
    <row r="64" spans="1:7" ht="15.75" customHeight="1" x14ac:dyDescent="0.2">
      <c r="A64" s="57" t="s">
        <v>2357</v>
      </c>
      <c r="B64" s="58">
        <v>-133238000000</v>
      </c>
      <c r="C64" s="58">
        <v>-133238000000</v>
      </c>
      <c r="D64" s="57" t="s">
        <v>84</v>
      </c>
      <c r="E64" s="58">
        <v>-133238000000</v>
      </c>
      <c r="F64" s="57" t="s">
        <v>84</v>
      </c>
      <c r="G64" s="57" t="s">
        <v>84</v>
      </c>
    </row>
    <row r="65" spans="1:7" ht="15.75" customHeight="1" x14ac:dyDescent="0.2">
      <c r="A65" s="57" t="s">
        <v>2358</v>
      </c>
      <c r="B65" s="57" t="s">
        <v>84</v>
      </c>
      <c r="C65" s="57" t="s">
        <v>84</v>
      </c>
      <c r="D65" s="57" t="s">
        <v>84</v>
      </c>
      <c r="E65" s="57" t="s">
        <v>84</v>
      </c>
      <c r="F65" s="57" t="s">
        <v>84</v>
      </c>
      <c r="G65" s="57" t="s">
        <v>84</v>
      </c>
    </row>
    <row r="66" spans="1:7" ht="15.75" customHeight="1" x14ac:dyDescent="0.2">
      <c r="A66" s="57" t="s">
        <v>2359</v>
      </c>
      <c r="B66" s="58">
        <v>735</v>
      </c>
      <c r="C66" s="58">
        <v>870</v>
      </c>
      <c r="D66" s="58">
        <v>724</v>
      </c>
      <c r="E66" s="58">
        <v>928</v>
      </c>
      <c r="F66" s="58">
        <v>984</v>
      </c>
      <c r="G66" s="58">
        <v>1210</v>
      </c>
    </row>
    <row r="67" spans="1:7" ht="15.75" customHeight="1" x14ac:dyDescent="0.2">
      <c r="A67" s="57" t="s">
        <v>2360</v>
      </c>
      <c r="B67" s="58">
        <v>735</v>
      </c>
      <c r="C67" s="58">
        <v>870</v>
      </c>
      <c r="D67" s="58">
        <v>724</v>
      </c>
      <c r="E67" s="58">
        <v>928</v>
      </c>
      <c r="F67" s="58">
        <v>984</v>
      </c>
      <c r="G67" s="58">
        <v>1210</v>
      </c>
    </row>
    <row r="68" spans="1:7" ht="15.75" customHeight="1" x14ac:dyDescent="0.2">
      <c r="A68" s="57" t="s">
        <v>2361</v>
      </c>
      <c r="B68" s="57" t="s">
        <v>84</v>
      </c>
      <c r="C68" s="57" t="s">
        <v>84</v>
      </c>
      <c r="D68" s="57" t="s">
        <v>84</v>
      </c>
      <c r="E68" s="57" t="s">
        <v>84</v>
      </c>
      <c r="F68" s="57" t="s">
        <v>84</v>
      </c>
      <c r="G68" s="57" t="s">
        <v>84</v>
      </c>
    </row>
    <row r="69" spans="1:7" ht="15.75" customHeight="1" x14ac:dyDescent="0.2">
      <c r="A69" s="57" t="s">
        <v>2362</v>
      </c>
      <c r="B69" s="58">
        <v>735</v>
      </c>
      <c r="C69" s="58">
        <v>870</v>
      </c>
      <c r="D69" s="58">
        <v>724</v>
      </c>
      <c r="E69" s="58">
        <v>927.86</v>
      </c>
      <c r="F69" s="58">
        <v>984</v>
      </c>
      <c r="G69" s="58">
        <v>1209.96</v>
      </c>
    </row>
    <row r="70" spans="1:7" ht="15.75" customHeight="1" x14ac:dyDescent="0.2">
      <c r="A70" s="57" t="s">
        <v>2363</v>
      </c>
      <c r="B70" s="58">
        <v>735</v>
      </c>
      <c r="C70" s="58">
        <v>870</v>
      </c>
      <c r="D70" s="58">
        <v>724</v>
      </c>
      <c r="E70" s="58">
        <v>927.86</v>
      </c>
      <c r="F70" s="58">
        <v>984</v>
      </c>
      <c r="G70" s="58">
        <v>1209.96</v>
      </c>
    </row>
    <row r="71" spans="1:7" ht="15.75" customHeight="1" x14ac:dyDescent="0.2">
      <c r="A71" s="57" t="s">
        <v>2364</v>
      </c>
      <c r="B71" s="57" t="s">
        <v>84</v>
      </c>
      <c r="C71" s="57" t="s">
        <v>84</v>
      </c>
      <c r="D71" s="57" t="s">
        <v>84</v>
      </c>
      <c r="E71" s="57" t="s">
        <v>84</v>
      </c>
      <c r="F71" s="57" t="s">
        <v>84</v>
      </c>
      <c r="G71" s="57" t="s">
        <v>84</v>
      </c>
    </row>
    <row r="72" spans="1:7" ht="15.75" customHeight="1" x14ac:dyDescent="0.2">
      <c r="A72" s="57" t="s">
        <v>2365</v>
      </c>
      <c r="B72" s="58">
        <v>8780426500</v>
      </c>
      <c r="C72" s="58">
        <v>8780426500</v>
      </c>
      <c r="D72" s="58">
        <v>8780426500</v>
      </c>
      <c r="E72" s="58">
        <v>8780426500</v>
      </c>
      <c r="F72" s="58">
        <v>8780426500</v>
      </c>
      <c r="G72" s="58">
        <v>8780426500</v>
      </c>
    </row>
    <row r="73" spans="1:7" ht="15.75" customHeight="1" x14ac:dyDescent="0.2">
      <c r="A73" s="57" t="s">
        <v>2366</v>
      </c>
      <c r="B73" s="58">
        <v>8780426500</v>
      </c>
      <c r="C73" s="58">
        <v>8780426500</v>
      </c>
      <c r="D73" s="58">
        <v>8780426500</v>
      </c>
      <c r="E73" s="58">
        <v>8780426500</v>
      </c>
      <c r="F73" s="58">
        <v>8780426500</v>
      </c>
      <c r="G73" s="58">
        <v>8780426500</v>
      </c>
    </row>
    <row r="74" spans="1:7" ht="15.75" customHeight="1" x14ac:dyDescent="0.2">
      <c r="A74" s="57" t="s">
        <v>2367</v>
      </c>
      <c r="B74" s="58">
        <v>278</v>
      </c>
      <c r="C74" s="58">
        <v>278</v>
      </c>
      <c r="D74" s="58">
        <v>278</v>
      </c>
      <c r="E74" s="58">
        <v>257</v>
      </c>
      <c r="F74" s="58">
        <v>267</v>
      </c>
      <c r="G74" s="58">
        <v>547</v>
      </c>
    </row>
    <row r="75" spans="1:7" ht="15.75" customHeight="1" x14ac:dyDescent="0.2">
      <c r="A75" s="57" t="s">
        <v>2368</v>
      </c>
      <c r="B75" s="58">
        <v>278</v>
      </c>
      <c r="C75" s="58">
        <v>278</v>
      </c>
      <c r="D75" s="58">
        <v>278</v>
      </c>
      <c r="E75" s="58">
        <v>257</v>
      </c>
      <c r="F75" s="58">
        <v>267</v>
      </c>
      <c r="G75" s="58">
        <v>547</v>
      </c>
    </row>
    <row r="76" spans="1:7" ht="15.75" customHeight="1" x14ac:dyDescent="0.2">
      <c r="A76" s="57" t="s">
        <v>2359</v>
      </c>
      <c r="B76" s="58">
        <v>735</v>
      </c>
      <c r="C76" s="58">
        <v>870</v>
      </c>
      <c r="D76" s="58">
        <v>724</v>
      </c>
      <c r="E76" s="58">
        <v>928</v>
      </c>
      <c r="F76" s="58">
        <v>984</v>
      </c>
      <c r="G76" s="58">
        <v>1210</v>
      </c>
    </row>
    <row r="77" spans="1:7" ht="15.75" customHeight="1" x14ac:dyDescent="0.2">
      <c r="A77" s="57" t="s">
        <v>2362</v>
      </c>
      <c r="B77" s="58">
        <v>735</v>
      </c>
      <c r="C77" s="58">
        <v>870</v>
      </c>
      <c r="D77" s="58">
        <v>724</v>
      </c>
      <c r="E77" s="58">
        <v>928</v>
      </c>
      <c r="F77" s="58">
        <v>984</v>
      </c>
      <c r="G77" s="58">
        <v>1210</v>
      </c>
    </row>
    <row r="78" spans="1:7" ht="15.75" customHeight="1" x14ac:dyDescent="0.2">
      <c r="A78" s="57" t="s">
        <v>2369</v>
      </c>
      <c r="B78" s="58">
        <v>8780426500</v>
      </c>
      <c r="C78" s="58">
        <v>8780426500</v>
      </c>
      <c r="D78" s="58">
        <v>8780426500</v>
      </c>
      <c r="E78" s="58">
        <v>8780426500</v>
      </c>
      <c r="F78" s="58">
        <v>8780426500</v>
      </c>
      <c r="G78" s="58">
        <v>8780426500</v>
      </c>
    </row>
    <row r="79" spans="1:7" ht="15.75" customHeight="1" x14ac:dyDescent="0.2">
      <c r="A79" s="57" t="s">
        <v>2370</v>
      </c>
      <c r="B79" s="58">
        <v>8780426500</v>
      </c>
      <c r="C79" s="58">
        <v>8780426500</v>
      </c>
      <c r="D79" s="58">
        <v>8780426500</v>
      </c>
      <c r="E79" s="58">
        <v>8780426500</v>
      </c>
      <c r="F79" s="58">
        <v>8780426500</v>
      </c>
      <c r="G79" s="58">
        <v>8780426500</v>
      </c>
    </row>
    <row r="80" spans="1:7" ht="15.75" customHeight="1" x14ac:dyDescent="0.2">
      <c r="A80" s="57" t="s">
        <v>2371</v>
      </c>
      <c r="B80" s="57"/>
      <c r="C80" s="57"/>
      <c r="D80" s="57"/>
      <c r="E80" s="57"/>
      <c r="F80" s="57"/>
      <c r="G80" s="57"/>
    </row>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58"/>
  <sheetViews>
    <sheetView workbookViewId="0"/>
  </sheetViews>
  <sheetFormatPr defaultColWidth="14.390625" defaultRowHeight="15" customHeight="1" x14ac:dyDescent="0.2"/>
  <cols>
    <col min="1" max="1" width="62.8203125" customWidth="1"/>
    <col min="2" max="3" width="18.6953125" customWidth="1"/>
    <col min="4" max="7" width="19.63671875" customWidth="1"/>
  </cols>
  <sheetData>
    <row r="1" spans="1:7" x14ac:dyDescent="0.2">
      <c r="A1" s="59" t="s">
        <v>2372</v>
      </c>
      <c r="B1" s="59" t="s">
        <v>2289</v>
      </c>
      <c r="C1" s="59" t="s">
        <v>2290</v>
      </c>
      <c r="D1" s="59" t="s">
        <v>2291</v>
      </c>
      <c r="E1" s="59" t="s">
        <v>2292</v>
      </c>
      <c r="F1" s="59" t="s">
        <v>2293</v>
      </c>
      <c r="G1" s="59" t="s">
        <v>2294</v>
      </c>
    </row>
    <row r="2" spans="1:7" x14ac:dyDescent="0.2">
      <c r="A2" s="57" t="s">
        <v>2373</v>
      </c>
      <c r="B2" s="58">
        <v>13855497000000</v>
      </c>
      <c r="C2" s="58">
        <v>14692641000000</v>
      </c>
      <c r="D2" s="58">
        <v>13587686000000</v>
      </c>
      <c r="E2" s="58">
        <v>18460624000000</v>
      </c>
      <c r="F2" s="58">
        <v>17507956000000</v>
      </c>
      <c r="G2" s="58">
        <v>18498022000000</v>
      </c>
    </row>
    <row r="3" spans="1:7" x14ac:dyDescent="0.2">
      <c r="A3" s="57" t="s">
        <v>2374</v>
      </c>
      <c r="B3" s="58">
        <v>13855497000000</v>
      </c>
      <c r="C3" s="58">
        <v>14692641000000</v>
      </c>
      <c r="D3" s="58">
        <v>13587686000000</v>
      </c>
      <c r="E3" s="58">
        <v>18460624000000</v>
      </c>
      <c r="F3" s="58">
        <v>17507956000000</v>
      </c>
      <c r="G3" s="58">
        <v>18498022000000</v>
      </c>
    </row>
    <row r="4" spans="1:7" x14ac:dyDescent="0.2">
      <c r="A4" s="57" t="s">
        <v>2375</v>
      </c>
      <c r="B4" s="58">
        <v>82741551000000</v>
      </c>
      <c r="C4" s="58">
        <v>98996928000000</v>
      </c>
      <c r="D4" s="58">
        <v>111460656000000</v>
      </c>
      <c r="E4" s="58">
        <v>113343826000000</v>
      </c>
      <c r="F4" s="58">
        <v>116985957000000</v>
      </c>
      <c r="G4" s="58">
        <v>119512510000000</v>
      </c>
    </row>
    <row r="5" spans="1:7" x14ac:dyDescent="0.2">
      <c r="A5" s="57" t="s">
        <v>2376</v>
      </c>
      <c r="B5" s="58">
        <v>81974807000000</v>
      </c>
      <c r="C5" s="58">
        <v>98434144000000</v>
      </c>
      <c r="D5" s="58">
        <v>110669817000000</v>
      </c>
      <c r="E5" s="58">
        <v>112104124000000</v>
      </c>
      <c r="F5" s="58">
        <v>115014921000000</v>
      </c>
      <c r="G5" s="58">
        <v>117710681000000</v>
      </c>
    </row>
    <row r="6" spans="1:7" x14ac:dyDescent="0.2">
      <c r="A6" s="57" t="s">
        <v>2377</v>
      </c>
      <c r="B6" s="58">
        <v>607230000000</v>
      </c>
      <c r="C6" s="58">
        <v>395950000000</v>
      </c>
      <c r="D6" s="58">
        <v>602816000000</v>
      </c>
      <c r="E6" s="58">
        <v>1163276000000</v>
      </c>
      <c r="F6" s="58">
        <v>1753911000000</v>
      </c>
      <c r="G6" s="58">
        <v>1623756000000</v>
      </c>
    </row>
    <row r="7" spans="1:7" x14ac:dyDescent="0.2">
      <c r="A7" s="57" t="s">
        <v>2378</v>
      </c>
      <c r="B7" s="58">
        <v>159514000000</v>
      </c>
      <c r="C7" s="58">
        <v>166834000000</v>
      </c>
      <c r="D7" s="58">
        <v>188023000000</v>
      </c>
      <c r="E7" s="58">
        <v>76426000000</v>
      </c>
      <c r="F7" s="58">
        <v>217125000000</v>
      </c>
      <c r="G7" s="58">
        <v>178073000000</v>
      </c>
    </row>
    <row r="8" spans="1:7" x14ac:dyDescent="0.2">
      <c r="A8" s="57" t="s">
        <v>2379</v>
      </c>
      <c r="B8" s="58">
        <v>-68886054000000</v>
      </c>
      <c r="C8" s="58">
        <v>-84304287000000</v>
      </c>
      <c r="D8" s="58">
        <v>-97872970000000</v>
      </c>
      <c r="E8" s="58">
        <v>-94883202000000</v>
      </c>
      <c r="F8" s="58">
        <v>-99478001000000</v>
      </c>
      <c r="G8" s="58">
        <v>-101014488000000</v>
      </c>
    </row>
    <row r="9" spans="1:7" x14ac:dyDescent="0.2">
      <c r="A9" s="57" t="s">
        <v>2380</v>
      </c>
      <c r="B9" s="58">
        <v>-39571039000000</v>
      </c>
      <c r="C9" s="58">
        <v>-50101494000000</v>
      </c>
      <c r="D9" s="58">
        <v>-61407297000000</v>
      </c>
      <c r="E9" s="58">
        <v>-56028686000000</v>
      </c>
      <c r="F9" s="58">
        <v>-58059224000000</v>
      </c>
      <c r="G9" s="58">
        <v>-59406304000000</v>
      </c>
    </row>
    <row r="10" spans="1:7" x14ac:dyDescent="0.2">
      <c r="A10" s="57" t="s">
        <v>2381</v>
      </c>
      <c r="B10" s="58">
        <v>-7851131000000</v>
      </c>
      <c r="C10" s="58">
        <v>-9468622000000</v>
      </c>
      <c r="D10" s="58">
        <v>-9442157000000</v>
      </c>
      <c r="E10" s="58">
        <v>-10389358000000</v>
      </c>
      <c r="F10" s="58">
        <v>-10404798000000</v>
      </c>
      <c r="G10" s="58">
        <v>-11048853000000</v>
      </c>
    </row>
    <row r="11" spans="1:7" x14ac:dyDescent="0.2">
      <c r="A11" s="57" t="s">
        <v>2382</v>
      </c>
      <c r="B11" s="58">
        <v>-2784615000000</v>
      </c>
      <c r="C11" s="58">
        <v>-3577269000000</v>
      </c>
      <c r="D11" s="58">
        <v>-3775947000000</v>
      </c>
      <c r="E11" s="58">
        <v>-4325824000000</v>
      </c>
      <c r="F11" s="58">
        <v>-5172128000000</v>
      </c>
      <c r="G11" s="58">
        <v>-4745553000000</v>
      </c>
    </row>
    <row r="12" spans="1:7" x14ac:dyDescent="0.2">
      <c r="A12" s="57" t="s">
        <v>2383</v>
      </c>
      <c r="B12" s="58">
        <v>-1840068000000</v>
      </c>
      <c r="C12" s="58">
        <v>-2308523000000</v>
      </c>
      <c r="D12" s="58">
        <v>-3143191000000</v>
      </c>
      <c r="E12" s="58">
        <v>-3518728000000</v>
      </c>
      <c r="F12" s="58">
        <v>-3840151000000</v>
      </c>
      <c r="G12" s="58">
        <v>-3782820000000</v>
      </c>
    </row>
    <row r="13" spans="1:7" x14ac:dyDescent="0.2">
      <c r="A13" s="57" t="s">
        <v>2384</v>
      </c>
      <c r="B13" s="58">
        <v>-16839201000000</v>
      </c>
      <c r="C13" s="58">
        <v>-18848379000000</v>
      </c>
      <c r="D13" s="58">
        <v>-20104378000000</v>
      </c>
      <c r="E13" s="58">
        <v>-20620606000000</v>
      </c>
      <c r="F13" s="58">
        <v>-22001700000000</v>
      </c>
      <c r="G13" s="58">
        <v>-22030958000000</v>
      </c>
    </row>
    <row r="14" spans="1:7" x14ac:dyDescent="0.2">
      <c r="A14" s="57" t="s">
        <v>2385</v>
      </c>
      <c r="B14" s="58">
        <v>-37636597000000</v>
      </c>
      <c r="C14" s="58">
        <v>-6489675000000</v>
      </c>
      <c r="D14" s="58">
        <v>-3862994000000</v>
      </c>
      <c r="E14" s="58">
        <v>-10775851000000</v>
      </c>
      <c r="F14" s="58">
        <v>-6994964000000</v>
      </c>
      <c r="G14" s="58">
        <v>-5512196000000</v>
      </c>
    </row>
    <row r="15" spans="1:7" x14ac:dyDescent="0.2">
      <c r="A15" s="57" t="s">
        <v>2386</v>
      </c>
      <c r="B15" s="58">
        <v>-37636597000000</v>
      </c>
      <c r="C15" s="58">
        <v>-6489675000000</v>
      </c>
      <c r="D15" s="58">
        <v>-3862994000000</v>
      </c>
      <c r="E15" s="58">
        <v>-10775851000000</v>
      </c>
      <c r="F15" s="58">
        <v>-6994964000000</v>
      </c>
      <c r="G15" s="58">
        <v>-5512196000000</v>
      </c>
    </row>
    <row r="16" spans="1:7" x14ac:dyDescent="0.2">
      <c r="A16" s="57" t="s">
        <v>2387</v>
      </c>
      <c r="B16" s="58">
        <v>-194004000000</v>
      </c>
      <c r="C16" s="58">
        <v>-190075000000</v>
      </c>
      <c r="D16" s="58">
        <v>-200853000000</v>
      </c>
      <c r="E16" s="58">
        <v>-280062000000</v>
      </c>
      <c r="F16" s="58">
        <v>-272326000000</v>
      </c>
      <c r="G16" s="58">
        <v>-294620000000</v>
      </c>
    </row>
    <row r="17" spans="1:7" x14ac:dyDescent="0.2">
      <c r="A17" s="57" t="s">
        <v>2388</v>
      </c>
      <c r="B17" s="58">
        <v>-4355609000000</v>
      </c>
      <c r="C17" s="58">
        <v>-4522689000000</v>
      </c>
      <c r="D17" s="58">
        <v>-3667160000000</v>
      </c>
      <c r="E17" s="58">
        <v>-3327518000000</v>
      </c>
      <c r="F17" s="58">
        <v>-5259223000000</v>
      </c>
      <c r="G17" s="58">
        <v>-5159957000000</v>
      </c>
    </row>
    <row r="18" spans="1:7" x14ac:dyDescent="0.2">
      <c r="A18" s="57" t="s">
        <v>2389</v>
      </c>
      <c r="B18" s="58">
        <v>-4398300000000</v>
      </c>
      <c r="C18" s="58">
        <v>-4594593000000</v>
      </c>
      <c r="D18" s="58">
        <v>-3741651000000</v>
      </c>
      <c r="E18" s="58">
        <v>-3687802000000</v>
      </c>
      <c r="F18" s="58">
        <v>-5417096000000</v>
      </c>
      <c r="G18" s="58">
        <v>-5282252000000</v>
      </c>
    </row>
    <row r="19" spans="1:7" x14ac:dyDescent="0.2">
      <c r="A19" s="57" t="s">
        <v>2390</v>
      </c>
      <c r="B19" s="58">
        <v>42691000000</v>
      </c>
      <c r="C19" s="58">
        <v>71904000000</v>
      </c>
      <c r="D19" s="58">
        <v>74491000000</v>
      </c>
      <c r="E19" s="58">
        <v>360284000000</v>
      </c>
      <c r="F19" s="58">
        <v>157873000000</v>
      </c>
      <c r="G19" s="58">
        <v>122295000000</v>
      </c>
    </row>
    <row r="20" spans="1:7" x14ac:dyDescent="0.2">
      <c r="A20" s="57" t="s">
        <v>2391</v>
      </c>
      <c r="B20" s="58">
        <v>-33011855000000</v>
      </c>
      <c r="C20" s="58">
        <v>-506714000000</v>
      </c>
      <c r="D20" s="58">
        <v>-15242000000</v>
      </c>
      <c r="E20" s="58">
        <v>-31016000000</v>
      </c>
      <c r="F20" s="58">
        <v>-38376000000</v>
      </c>
      <c r="G20" s="58">
        <v>-63163000000</v>
      </c>
    </row>
    <row r="21" spans="1:7" ht="15.75" customHeight="1" x14ac:dyDescent="0.2">
      <c r="A21" s="57" t="s">
        <v>2392</v>
      </c>
      <c r="B21" s="58">
        <v>-33011855000000</v>
      </c>
      <c r="C21" s="58">
        <v>-506714000000</v>
      </c>
      <c r="D21" s="58">
        <v>-15242000000</v>
      </c>
      <c r="E21" s="58">
        <v>-31016000000</v>
      </c>
      <c r="F21" s="58">
        <v>-38376000000</v>
      </c>
      <c r="G21" s="58">
        <v>-63163000000</v>
      </c>
    </row>
    <row r="22" spans="1:7" ht="15.75" customHeight="1" x14ac:dyDescent="0.2">
      <c r="A22" s="57" t="s">
        <v>2393</v>
      </c>
      <c r="B22" s="57" t="s">
        <v>84</v>
      </c>
      <c r="C22" s="57" t="s">
        <v>84</v>
      </c>
      <c r="D22" s="57" t="s">
        <v>84</v>
      </c>
      <c r="E22" s="57" t="s">
        <v>84</v>
      </c>
      <c r="F22" s="57" t="s">
        <v>84</v>
      </c>
      <c r="G22" s="57" t="s">
        <v>84</v>
      </c>
    </row>
    <row r="23" spans="1:7" ht="15.75" customHeight="1" x14ac:dyDescent="0.2">
      <c r="A23" s="57" t="s">
        <v>2394</v>
      </c>
      <c r="B23" s="58">
        <v>54371000000</v>
      </c>
      <c r="C23" s="58">
        <v>-1152401000000</v>
      </c>
      <c r="D23" s="58">
        <v>177502000000</v>
      </c>
      <c r="E23" s="58">
        <v>-7137255000000</v>
      </c>
      <c r="F23" s="58">
        <v>-1425039000000</v>
      </c>
      <c r="G23" s="58">
        <v>-17956000000</v>
      </c>
    </row>
    <row r="24" spans="1:7" ht="15.75" customHeight="1" x14ac:dyDescent="0.2">
      <c r="A24" s="57" t="s">
        <v>2395</v>
      </c>
      <c r="B24" s="57" t="s">
        <v>84</v>
      </c>
      <c r="C24" s="57" t="s">
        <v>84</v>
      </c>
      <c r="D24" s="57" t="s">
        <v>84</v>
      </c>
      <c r="E24" s="57" t="s">
        <v>84</v>
      </c>
      <c r="F24" s="58">
        <v>-1425039000000</v>
      </c>
      <c r="G24" s="58">
        <v>-17956000000</v>
      </c>
    </row>
    <row r="25" spans="1:7" ht="15.75" customHeight="1" x14ac:dyDescent="0.2">
      <c r="A25" s="57" t="s">
        <v>2396</v>
      </c>
      <c r="B25" s="58">
        <v>54371000000</v>
      </c>
      <c r="C25" s="57" t="s">
        <v>84</v>
      </c>
      <c r="D25" s="57" t="s">
        <v>84</v>
      </c>
      <c r="E25" s="57" t="s">
        <v>84</v>
      </c>
      <c r="F25" s="57" t="s">
        <v>84</v>
      </c>
      <c r="G25" s="57" t="s">
        <v>84</v>
      </c>
    </row>
    <row r="26" spans="1:7" ht="15.75" customHeight="1" x14ac:dyDescent="0.2">
      <c r="A26" s="57" t="s">
        <v>2397</v>
      </c>
      <c r="B26" s="58">
        <v>-129500000000</v>
      </c>
      <c r="C26" s="58">
        <v>-117796000000</v>
      </c>
      <c r="D26" s="58">
        <v>-157241000000</v>
      </c>
      <c r="E26" s="58">
        <v>0</v>
      </c>
      <c r="F26" s="57" t="s">
        <v>84</v>
      </c>
      <c r="G26" s="57" t="s">
        <v>84</v>
      </c>
    </row>
    <row r="27" spans="1:7" ht="15.75" customHeight="1" x14ac:dyDescent="0.2">
      <c r="A27" s="57" t="s">
        <v>2398</v>
      </c>
      <c r="B27" s="58">
        <v>-129500000000</v>
      </c>
      <c r="C27" s="58">
        <v>-117796000000</v>
      </c>
      <c r="D27" s="58">
        <v>-157241000000</v>
      </c>
      <c r="E27" s="58">
        <v>0</v>
      </c>
      <c r="F27" s="57" t="s">
        <v>84</v>
      </c>
      <c r="G27" s="57" t="s">
        <v>84</v>
      </c>
    </row>
    <row r="28" spans="1:7" ht="15.75" customHeight="1" x14ac:dyDescent="0.2">
      <c r="A28" s="57" t="s">
        <v>2399</v>
      </c>
      <c r="B28" s="57" t="s">
        <v>84</v>
      </c>
      <c r="C28" s="57" t="s">
        <v>84</v>
      </c>
      <c r="D28" s="57" t="s">
        <v>84</v>
      </c>
      <c r="E28" s="57" t="s">
        <v>84</v>
      </c>
      <c r="F28" s="57" t="s">
        <v>84</v>
      </c>
      <c r="G28" s="57" t="s">
        <v>84</v>
      </c>
    </row>
    <row r="29" spans="1:7" ht="15.75" customHeight="1" x14ac:dyDescent="0.2">
      <c r="A29" s="57" t="s">
        <v>2400</v>
      </c>
      <c r="B29" s="57" t="s">
        <v>84</v>
      </c>
      <c r="C29" s="57" t="s">
        <v>84</v>
      </c>
      <c r="D29" s="57" t="s">
        <v>84</v>
      </c>
      <c r="E29" s="57" t="s">
        <v>84</v>
      </c>
      <c r="F29" s="57" t="s">
        <v>84</v>
      </c>
      <c r="G29" s="57" t="s">
        <v>84</v>
      </c>
    </row>
    <row r="30" spans="1:7" ht="15.75" customHeight="1" x14ac:dyDescent="0.2">
      <c r="A30" s="57" t="s">
        <v>2401</v>
      </c>
      <c r="B30" s="57" t="s">
        <v>84</v>
      </c>
      <c r="C30" s="57" t="s">
        <v>84</v>
      </c>
      <c r="D30" s="57" t="s">
        <v>84</v>
      </c>
      <c r="E30" s="57" t="s">
        <v>84</v>
      </c>
      <c r="F30" s="57" t="s">
        <v>84</v>
      </c>
      <c r="G30" s="57" t="s">
        <v>84</v>
      </c>
    </row>
    <row r="31" spans="1:7" ht="15.75" customHeight="1" x14ac:dyDescent="0.2">
      <c r="A31" s="57" t="s">
        <v>2402</v>
      </c>
      <c r="B31" s="57" t="s">
        <v>84</v>
      </c>
      <c r="C31" s="57" t="s">
        <v>84</v>
      </c>
      <c r="D31" s="57" t="s">
        <v>84</v>
      </c>
      <c r="E31" s="57" t="s">
        <v>84</v>
      </c>
      <c r="F31" s="57" t="s">
        <v>84</v>
      </c>
      <c r="G31" s="57" t="s">
        <v>84</v>
      </c>
    </row>
    <row r="32" spans="1:7" ht="15.75" customHeight="1" x14ac:dyDescent="0.2">
      <c r="A32" s="57" t="s">
        <v>2403</v>
      </c>
      <c r="B32" s="57" t="s">
        <v>84</v>
      </c>
      <c r="C32" s="57" t="s">
        <v>84</v>
      </c>
      <c r="D32" s="57" t="s">
        <v>84</v>
      </c>
      <c r="E32" s="57" t="s">
        <v>84</v>
      </c>
      <c r="F32" s="57" t="s">
        <v>84</v>
      </c>
      <c r="G32" s="57" t="s">
        <v>84</v>
      </c>
    </row>
    <row r="33" spans="1:7" ht="15.75" customHeight="1" x14ac:dyDescent="0.2">
      <c r="A33" s="57" t="s">
        <v>2404</v>
      </c>
      <c r="B33" s="57" t="s">
        <v>84</v>
      </c>
      <c r="C33" s="57" t="s">
        <v>84</v>
      </c>
      <c r="D33" s="57" t="s">
        <v>84</v>
      </c>
      <c r="E33" s="57" t="s">
        <v>84</v>
      </c>
      <c r="F33" s="57" t="s">
        <v>84</v>
      </c>
      <c r="G33" s="57" t="s">
        <v>84</v>
      </c>
    </row>
    <row r="34" spans="1:7" ht="15.75" customHeight="1" x14ac:dyDescent="0.2">
      <c r="A34" s="57" t="s">
        <v>2405</v>
      </c>
      <c r="B34" s="58">
        <v>27285509000000</v>
      </c>
      <c r="C34" s="58">
        <v>3852424000000</v>
      </c>
      <c r="D34" s="58">
        <v>-14329188000000</v>
      </c>
      <c r="E34" s="58">
        <v>-4889846000000</v>
      </c>
      <c r="F34" s="58">
        <v>-680208000000</v>
      </c>
      <c r="G34" s="58">
        <v>-6439433000000</v>
      </c>
    </row>
    <row r="35" spans="1:7" ht="15.75" customHeight="1" x14ac:dyDescent="0.2">
      <c r="A35" s="57" t="s">
        <v>2406</v>
      </c>
      <c r="B35" s="58">
        <v>27285509000000</v>
      </c>
      <c r="C35" s="58">
        <v>3852424000000</v>
      </c>
      <c r="D35" s="58">
        <v>-14329188000000</v>
      </c>
      <c r="E35" s="58">
        <v>-4889846000000</v>
      </c>
      <c r="F35" s="58">
        <v>-680208000000</v>
      </c>
      <c r="G35" s="58">
        <v>-6439433000000</v>
      </c>
    </row>
    <row r="36" spans="1:7" ht="15.75" customHeight="1" x14ac:dyDescent="0.2">
      <c r="A36" s="57" t="s">
        <v>2407</v>
      </c>
      <c r="B36" s="58">
        <v>31200680000000</v>
      </c>
      <c r="C36" s="58">
        <v>8320832000000</v>
      </c>
      <c r="D36" s="58">
        <v>-386447000000</v>
      </c>
      <c r="E36" s="58">
        <v>-648512000000</v>
      </c>
      <c r="F36" s="58">
        <v>3685430000000</v>
      </c>
      <c r="G36" s="58">
        <v>-2128629000000</v>
      </c>
    </row>
    <row r="37" spans="1:7" ht="15.75" customHeight="1" x14ac:dyDescent="0.2">
      <c r="A37" s="57" t="s">
        <v>2408</v>
      </c>
      <c r="B37" s="58">
        <v>767007000000</v>
      </c>
      <c r="C37" s="58">
        <v>-410406000000</v>
      </c>
      <c r="D37" s="58">
        <v>1426178000000</v>
      </c>
      <c r="E37" s="58">
        <v>1061820000000</v>
      </c>
      <c r="F37" s="58">
        <v>4295425000000</v>
      </c>
      <c r="G37" s="58">
        <v>-4572773000000</v>
      </c>
    </row>
    <row r="38" spans="1:7" ht="15.75" customHeight="1" x14ac:dyDescent="0.2">
      <c r="A38" s="57" t="s">
        <v>2409</v>
      </c>
      <c r="B38" s="58">
        <v>30031557000000</v>
      </c>
      <c r="C38" s="58">
        <v>25747645000000</v>
      </c>
      <c r="D38" s="58">
        <v>37880699000000</v>
      </c>
      <c r="E38" s="58">
        <v>34795471000000</v>
      </c>
      <c r="F38" s="58">
        <v>29578782000000</v>
      </c>
      <c r="G38" s="58">
        <v>26240748000000</v>
      </c>
    </row>
    <row r="39" spans="1:7" ht="15.75" customHeight="1" x14ac:dyDescent="0.2">
      <c r="A39" s="57" t="s">
        <v>2410</v>
      </c>
      <c r="B39" s="58">
        <v>-29264550000000</v>
      </c>
      <c r="C39" s="58">
        <v>-26158051000000</v>
      </c>
      <c r="D39" s="58">
        <v>-36454521000000</v>
      </c>
      <c r="E39" s="58">
        <v>-33733651000000</v>
      </c>
      <c r="F39" s="58">
        <v>-25283357000000</v>
      </c>
      <c r="G39" s="58">
        <v>-30813521000000</v>
      </c>
    </row>
    <row r="40" spans="1:7" ht="15.75" customHeight="1" x14ac:dyDescent="0.2">
      <c r="A40" s="57" t="s">
        <v>2411</v>
      </c>
      <c r="B40" s="58">
        <v>30433673000000</v>
      </c>
      <c r="C40" s="58">
        <v>8731238000000</v>
      </c>
      <c r="D40" s="58">
        <v>-1812625000000</v>
      </c>
      <c r="E40" s="58">
        <v>-1710332000000</v>
      </c>
      <c r="F40" s="58">
        <v>-609995000000</v>
      </c>
      <c r="G40" s="58">
        <v>2444144000000</v>
      </c>
    </row>
    <row r="41" spans="1:7" ht="15.75" customHeight="1" x14ac:dyDescent="0.2">
      <c r="A41" s="57" t="s">
        <v>2412</v>
      </c>
      <c r="B41" s="58">
        <v>31624693000000</v>
      </c>
      <c r="C41" s="58">
        <v>44079170000000</v>
      </c>
      <c r="D41" s="58">
        <v>4676743000000</v>
      </c>
      <c r="E41" s="58">
        <v>2588900000000</v>
      </c>
      <c r="F41" s="58">
        <v>1777184000000</v>
      </c>
      <c r="G41" s="58">
        <v>4954666000000</v>
      </c>
    </row>
    <row r="42" spans="1:7" ht="15.75" customHeight="1" x14ac:dyDescent="0.2">
      <c r="A42" s="57" t="s">
        <v>2413</v>
      </c>
      <c r="B42" s="58">
        <v>-1191020000000</v>
      </c>
      <c r="C42" s="58">
        <v>-35347932000000</v>
      </c>
      <c r="D42" s="58">
        <v>-6489368000000</v>
      </c>
      <c r="E42" s="58">
        <v>-4299232000000</v>
      </c>
      <c r="F42" s="58">
        <v>-2387179000000</v>
      </c>
      <c r="G42" s="58">
        <v>-2510522000000</v>
      </c>
    </row>
    <row r="43" spans="1:7" ht="15.75" customHeight="1" x14ac:dyDescent="0.2">
      <c r="A43" s="57" t="s">
        <v>2414</v>
      </c>
      <c r="B43" s="58">
        <v>-336408000000</v>
      </c>
      <c r="C43" s="58">
        <v>-341770000000</v>
      </c>
      <c r="D43" s="58">
        <v>-409845000000</v>
      </c>
      <c r="E43" s="58">
        <v>-306974000000</v>
      </c>
      <c r="F43" s="58">
        <v>-384298000000</v>
      </c>
      <c r="G43" s="58">
        <v>-362054000000</v>
      </c>
    </row>
    <row r="44" spans="1:7" ht="15.75" customHeight="1" x14ac:dyDescent="0.2">
      <c r="A44" s="57" t="s">
        <v>2415</v>
      </c>
      <c r="B44" s="58">
        <v>-336408000000</v>
      </c>
      <c r="C44" s="58">
        <v>-341770000000</v>
      </c>
      <c r="D44" s="58">
        <v>-409845000000</v>
      </c>
      <c r="E44" s="58">
        <v>-306974000000</v>
      </c>
      <c r="F44" s="58">
        <v>-384298000000</v>
      </c>
      <c r="G44" s="58">
        <v>-362054000000</v>
      </c>
    </row>
    <row r="45" spans="1:7" ht="15.75" customHeight="1" x14ac:dyDescent="0.2">
      <c r="A45" s="57" t="s">
        <v>2416</v>
      </c>
      <c r="B45" s="57" t="s">
        <v>84</v>
      </c>
      <c r="C45" s="57" t="s">
        <v>84</v>
      </c>
      <c r="D45" s="57" t="s">
        <v>84</v>
      </c>
      <c r="E45" s="57" t="s">
        <v>84</v>
      </c>
      <c r="F45" s="58">
        <v>377331000000</v>
      </c>
      <c r="G45" s="57" t="s">
        <v>84</v>
      </c>
    </row>
    <row r="46" spans="1:7" ht="15.75" customHeight="1" x14ac:dyDescent="0.2">
      <c r="A46" s="57" t="s">
        <v>2417</v>
      </c>
      <c r="B46" s="58">
        <v>-2440959000000</v>
      </c>
      <c r="C46" s="58">
        <v>-2440959000000</v>
      </c>
      <c r="D46" s="58">
        <v>-2440959000000</v>
      </c>
      <c r="E46" s="58">
        <v>-2256570000000</v>
      </c>
      <c r="F46" s="58">
        <v>-2344374000000</v>
      </c>
      <c r="G46" s="57" t="s">
        <v>84</v>
      </c>
    </row>
    <row r="47" spans="1:7" ht="15.75" customHeight="1" x14ac:dyDescent="0.2">
      <c r="A47" s="57" t="s">
        <v>2418</v>
      </c>
      <c r="B47" s="58">
        <v>-2440959000000</v>
      </c>
      <c r="C47" s="58">
        <v>-2440959000000</v>
      </c>
      <c r="D47" s="58">
        <v>-2440959000000</v>
      </c>
      <c r="E47" s="58">
        <v>-2256570000000</v>
      </c>
      <c r="F47" s="58">
        <v>-2344374000000</v>
      </c>
      <c r="G47" s="57" t="s">
        <v>84</v>
      </c>
    </row>
    <row r="48" spans="1:7" ht="15.75" customHeight="1" x14ac:dyDescent="0.2">
      <c r="A48" s="57" t="s">
        <v>2419</v>
      </c>
      <c r="B48" s="58">
        <v>-1137804000000</v>
      </c>
      <c r="C48" s="58">
        <v>-1685679000000</v>
      </c>
      <c r="D48" s="58">
        <v>-1760386000000</v>
      </c>
      <c r="E48" s="58">
        <v>-1677790000000</v>
      </c>
      <c r="F48" s="58">
        <v>-2014297000000</v>
      </c>
      <c r="G48" s="58">
        <v>-2003470000000</v>
      </c>
    </row>
    <row r="49" spans="1:7" ht="15.75" customHeight="1" x14ac:dyDescent="0.2">
      <c r="A49" s="57" t="s">
        <v>2420</v>
      </c>
      <c r="B49" s="57" t="s">
        <v>84</v>
      </c>
      <c r="C49" s="57" t="s">
        <v>84</v>
      </c>
      <c r="D49" s="58">
        <v>-9331551000000</v>
      </c>
      <c r="E49" s="58">
        <v>0</v>
      </c>
      <c r="F49" s="57" t="s">
        <v>84</v>
      </c>
      <c r="G49" s="57" t="s">
        <v>84</v>
      </c>
    </row>
    <row r="50" spans="1:7" ht="15.75" customHeight="1" x14ac:dyDescent="0.2">
      <c r="A50" s="57" t="s">
        <v>2421</v>
      </c>
      <c r="B50" s="57" t="s">
        <v>84</v>
      </c>
      <c r="C50" s="57" t="s">
        <v>84</v>
      </c>
      <c r="D50" s="57" t="s">
        <v>84</v>
      </c>
      <c r="E50" s="57" t="s">
        <v>84</v>
      </c>
      <c r="F50" s="57" t="s">
        <v>84</v>
      </c>
      <c r="G50" s="57" t="s">
        <v>84</v>
      </c>
    </row>
    <row r="51" spans="1:7" ht="15.75" customHeight="1" x14ac:dyDescent="0.2">
      <c r="A51" s="57" t="s">
        <v>2422</v>
      </c>
      <c r="B51" s="57" t="s">
        <v>84</v>
      </c>
      <c r="C51" s="57" t="s">
        <v>84</v>
      </c>
      <c r="D51" s="57" t="s">
        <v>84</v>
      </c>
      <c r="E51" s="57" t="s">
        <v>84</v>
      </c>
      <c r="F51" s="57" t="s">
        <v>84</v>
      </c>
      <c r="G51" s="57" t="s">
        <v>84</v>
      </c>
    </row>
    <row r="52" spans="1:7" ht="15.75" customHeight="1" x14ac:dyDescent="0.2">
      <c r="A52" s="57" t="s">
        <v>2423</v>
      </c>
      <c r="B52" s="58">
        <v>17329459000000</v>
      </c>
      <c r="C52" s="58">
        <v>29478126000000</v>
      </c>
      <c r="D52" s="58">
        <v>25945916000000</v>
      </c>
      <c r="E52" s="58">
        <v>28575968000000</v>
      </c>
      <c r="F52" s="58">
        <v>38710056000000</v>
      </c>
      <c r="G52" s="58">
        <v>42012522000000</v>
      </c>
    </row>
    <row r="53" spans="1:7" ht="15.75" customHeight="1" x14ac:dyDescent="0.2">
      <c r="A53" s="57" t="s">
        <v>2424</v>
      </c>
      <c r="B53" s="58">
        <v>3504409000000</v>
      </c>
      <c r="C53" s="58">
        <v>12055390000000</v>
      </c>
      <c r="D53" s="58">
        <v>-4604496000000</v>
      </c>
      <c r="E53" s="58">
        <v>2794927000000</v>
      </c>
      <c r="F53" s="58">
        <v>9832784000000</v>
      </c>
      <c r="G53" s="58">
        <v>6546393000000</v>
      </c>
    </row>
    <row r="54" spans="1:7" ht="15.75" customHeight="1" x14ac:dyDescent="0.2">
      <c r="A54" s="57" t="s">
        <v>2425</v>
      </c>
      <c r="B54" s="58">
        <v>98540000000</v>
      </c>
      <c r="C54" s="58">
        <v>93277000000</v>
      </c>
      <c r="D54" s="58">
        <v>1072286000000</v>
      </c>
      <c r="E54" s="58">
        <v>-164875000000</v>
      </c>
      <c r="F54" s="58">
        <v>301304000000</v>
      </c>
      <c r="G54" s="58">
        <v>-270270000000</v>
      </c>
    </row>
    <row r="55" spans="1:7" ht="15.75" customHeight="1" x14ac:dyDescent="0.2">
      <c r="A55" s="57" t="s">
        <v>2426</v>
      </c>
      <c r="B55" s="58">
        <v>13726510000000</v>
      </c>
      <c r="C55" s="58">
        <v>17329459000000</v>
      </c>
      <c r="D55" s="58">
        <v>29478126000000</v>
      </c>
      <c r="E55" s="58">
        <v>25945916000000</v>
      </c>
      <c r="F55" s="58">
        <v>28575968000000</v>
      </c>
      <c r="G55" s="58">
        <v>35736399000000</v>
      </c>
    </row>
    <row r="56" spans="1:7" ht="15.75" customHeight="1" x14ac:dyDescent="0.2">
      <c r="A56" s="57" t="s">
        <v>2427</v>
      </c>
      <c r="B56" s="57" t="s">
        <v>84</v>
      </c>
      <c r="C56" s="57" t="s">
        <v>84</v>
      </c>
      <c r="D56" s="57" t="s">
        <v>84</v>
      </c>
      <c r="E56" s="57" t="s">
        <v>84</v>
      </c>
      <c r="F56" s="57" t="s">
        <v>84</v>
      </c>
      <c r="G56" s="57" t="s">
        <v>84</v>
      </c>
    </row>
    <row r="57" spans="1:7" ht="15.75" customHeight="1" x14ac:dyDescent="0.2">
      <c r="A57" s="57" t="s">
        <v>2428</v>
      </c>
      <c r="B57" s="58">
        <v>3602949000000</v>
      </c>
      <c r="C57" s="58">
        <v>12148667000000</v>
      </c>
      <c r="D57" s="58">
        <v>-3532210000000</v>
      </c>
      <c r="E57" s="58">
        <v>2630052000000</v>
      </c>
      <c r="F57" s="58">
        <v>10134088000000</v>
      </c>
      <c r="G57" s="58">
        <v>6276123000000</v>
      </c>
    </row>
    <row r="58" spans="1:7" ht="15.75" customHeight="1" x14ac:dyDescent="0.2">
      <c r="A58" s="57" t="s">
        <v>2371</v>
      </c>
      <c r="B58" s="57"/>
      <c r="C58" s="57"/>
      <c r="D58" s="57"/>
      <c r="E58" s="57"/>
      <c r="F58" s="57"/>
      <c r="G58" s="57"/>
    </row>
    <row r="59" spans="1:7" ht="15.75" customHeight="1" x14ac:dyDescent="0.2"/>
    <row r="60" spans="1:7" ht="15.75" customHeight="1" x14ac:dyDescent="0.2"/>
    <row r="61" spans="1:7" ht="15.75" customHeight="1" x14ac:dyDescent="0.2"/>
    <row r="62" spans="1:7" ht="15.75" customHeight="1" x14ac:dyDescent="0.2"/>
    <row r="63" spans="1:7" ht="15.75" customHeight="1" x14ac:dyDescent="0.2"/>
    <row r="64" spans="1:7"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363"/>
  <sheetViews>
    <sheetView workbookViewId="0">
      <pane xSplit="1" ySplit="1" topLeftCell="B2" activePane="bottomRight" state="frozen"/>
      <selection pane="bottomLeft" activeCell="A2" sqref="A2"/>
      <selection pane="topRight" activeCell="B1" sqref="B1"/>
      <selection pane="bottomRight" activeCell="B2" sqref="B2"/>
    </sheetView>
  </sheetViews>
  <sheetFormatPr defaultColWidth="14.390625" defaultRowHeight="15" customHeight="1" x14ac:dyDescent="0.2"/>
  <cols>
    <col min="1" max="1" width="73.71875" customWidth="1"/>
    <col min="2" max="6" width="19.63671875" customWidth="1"/>
    <col min="7" max="26" width="8.609375" customWidth="1"/>
  </cols>
  <sheetData>
    <row r="1" spans="1:26" x14ac:dyDescent="0.2">
      <c r="A1" s="59" t="s">
        <v>2429</v>
      </c>
      <c r="B1" s="59" t="s">
        <v>2289</v>
      </c>
      <c r="C1" s="59" t="s">
        <v>2290</v>
      </c>
      <c r="D1" s="59" t="s">
        <v>2291</v>
      </c>
      <c r="E1" s="59" t="s">
        <v>2292</v>
      </c>
      <c r="F1" s="59" t="s">
        <v>2293</v>
      </c>
    </row>
    <row r="2" spans="1:26" x14ac:dyDescent="0.2">
      <c r="A2" s="53" t="s">
        <v>2430</v>
      </c>
      <c r="B2" s="54">
        <v>163136516000000</v>
      </c>
      <c r="C2" s="54">
        <v>179356193000000</v>
      </c>
      <c r="D2" s="54">
        <v>180433300000000</v>
      </c>
      <c r="E2" s="54">
        <v>186587957000000</v>
      </c>
      <c r="F2" s="54">
        <v>201713313000000</v>
      </c>
    </row>
    <row r="3" spans="1:26" x14ac:dyDescent="0.2">
      <c r="A3" s="56" t="s">
        <v>2431</v>
      </c>
      <c r="B3" s="54">
        <v>38418238000000</v>
      </c>
      <c r="C3" s="54">
        <v>54183399000000</v>
      </c>
      <c r="D3" s="54">
        <v>54876668000000</v>
      </c>
      <c r="E3" s="54">
        <v>63101797000000</v>
      </c>
      <c r="F3" s="54">
        <v>79765476000000</v>
      </c>
    </row>
    <row r="4" spans="1:26" x14ac:dyDescent="0.2">
      <c r="A4" s="56" t="s">
        <v>2432</v>
      </c>
      <c r="B4" s="54">
        <v>17338235000000</v>
      </c>
      <c r="C4" s="54">
        <v>30631763000000</v>
      </c>
      <c r="D4" s="54">
        <v>26922050000000</v>
      </c>
      <c r="E4" s="54">
        <v>36689357000000</v>
      </c>
      <c r="F4" s="54">
        <v>48224984000000</v>
      </c>
    </row>
    <row r="5" spans="1:26" x14ac:dyDescent="0.2">
      <c r="A5" s="56" t="s">
        <v>2433</v>
      </c>
      <c r="B5" s="54">
        <v>17336960000000</v>
      </c>
      <c r="C5" s="54">
        <v>29478126000000</v>
      </c>
      <c r="D5" s="54">
        <v>25945916000000</v>
      </c>
      <c r="E5" s="54">
        <v>28575968000000</v>
      </c>
      <c r="F5" s="54">
        <v>38710056000000</v>
      </c>
      <c r="G5" s="55"/>
      <c r="H5" s="55"/>
      <c r="I5" s="55"/>
      <c r="J5" s="55"/>
      <c r="K5" s="55"/>
      <c r="L5" s="55"/>
      <c r="M5" s="55"/>
      <c r="N5" s="55"/>
      <c r="O5" s="55"/>
      <c r="P5" s="55"/>
      <c r="Q5" s="55"/>
      <c r="R5" s="55"/>
      <c r="S5" s="55"/>
      <c r="T5" s="55"/>
      <c r="U5" s="55"/>
      <c r="V5" s="55"/>
      <c r="W5" s="55"/>
      <c r="X5" s="55"/>
      <c r="Y5" s="55"/>
      <c r="Z5" s="55"/>
    </row>
    <row r="6" spans="1:26" x14ac:dyDescent="0.2">
      <c r="A6" s="57" t="s">
        <v>2434</v>
      </c>
      <c r="B6" s="58">
        <v>15079784000000</v>
      </c>
      <c r="C6" s="58">
        <v>26390158000000</v>
      </c>
      <c r="D6" s="58">
        <v>21051926000000</v>
      </c>
      <c r="E6" s="58">
        <v>21575281000000</v>
      </c>
      <c r="F6" s="58">
        <v>31904063000000</v>
      </c>
    </row>
    <row r="7" spans="1:26" x14ac:dyDescent="0.2">
      <c r="A7" s="57" t="s">
        <v>2435</v>
      </c>
      <c r="B7" s="58">
        <v>2257176000000</v>
      </c>
      <c r="C7" s="58">
        <v>3087968000000</v>
      </c>
      <c r="D7" s="58">
        <v>4893990000000</v>
      </c>
      <c r="E7" s="58">
        <v>7000687000000</v>
      </c>
      <c r="F7" s="58">
        <v>6805993000000</v>
      </c>
    </row>
    <row r="8" spans="1:26" x14ac:dyDescent="0.2">
      <c r="A8" s="56" t="s">
        <v>2436</v>
      </c>
      <c r="B8" s="54">
        <v>1275000000</v>
      </c>
      <c r="C8" s="54">
        <v>1153637000000</v>
      </c>
      <c r="D8" s="54">
        <v>976134000000</v>
      </c>
      <c r="E8" s="54">
        <v>8113389000000</v>
      </c>
      <c r="F8" s="54">
        <v>9514928000000</v>
      </c>
    </row>
    <row r="9" spans="1:26" x14ac:dyDescent="0.2">
      <c r="A9" s="57" t="s">
        <v>2437</v>
      </c>
      <c r="B9" s="58">
        <v>1275000000</v>
      </c>
      <c r="C9" s="58">
        <v>1153637000000</v>
      </c>
      <c r="D9" s="58">
        <v>976134000000</v>
      </c>
      <c r="E9" s="58">
        <v>8113389000000</v>
      </c>
      <c r="F9" s="58">
        <v>9514928000000</v>
      </c>
    </row>
    <row r="10" spans="1:26" x14ac:dyDescent="0.2">
      <c r="A10" s="57" t="s">
        <v>2438</v>
      </c>
      <c r="B10" s="57" t="s">
        <v>84</v>
      </c>
      <c r="C10" s="57" t="s">
        <v>84</v>
      </c>
      <c r="D10" s="57" t="s">
        <v>84</v>
      </c>
      <c r="E10" s="57" t="s">
        <v>84</v>
      </c>
      <c r="F10" s="57" t="s">
        <v>84</v>
      </c>
    </row>
    <row r="11" spans="1:26" x14ac:dyDescent="0.2">
      <c r="A11" s="56" t="s">
        <v>2439</v>
      </c>
      <c r="B11" s="54">
        <v>11927820000000</v>
      </c>
      <c r="C11" s="54">
        <v>13557229000000</v>
      </c>
      <c r="D11" s="54">
        <v>17287007000000</v>
      </c>
      <c r="E11" s="54">
        <v>15977913000000</v>
      </c>
      <c r="F11" s="54">
        <v>19086016000000</v>
      </c>
    </row>
    <row r="12" spans="1:26" x14ac:dyDescent="0.2">
      <c r="A12" s="57" t="s">
        <v>2440</v>
      </c>
      <c r="B12" s="58">
        <v>6267652000000</v>
      </c>
      <c r="C12" s="58">
        <v>6977688000000</v>
      </c>
      <c r="D12" s="58">
        <v>9620851000000</v>
      </c>
      <c r="E12" s="58">
        <v>8752232000000</v>
      </c>
      <c r="F12" s="58">
        <v>9920505000000</v>
      </c>
    </row>
    <row r="13" spans="1:26" x14ac:dyDescent="0.2">
      <c r="A13" s="57" t="s">
        <v>2441</v>
      </c>
      <c r="B13" s="58">
        <v>167409000000</v>
      </c>
      <c r="C13" s="58">
        <v>242875000000</v>
      </c>
      <c r="D13" s="58">
        <v>234774000000</v>
      </c>
      <c r="E13" s="58">
        <v>247474000000</v>
      </c>
      <c r="F13" s="58">
        <v>354972000000</v>
      </c>
    </row>
    <row r="14" spans="1:26" x14ac:dyDescent="0.2">
      <c r="A14" s="57" t="s">
        <v>2442</v>
      </c>
      <c r="B14" s="58">
        <v>4328760000000</v>
      </c>
      <c r="C14" s="58">
        <v>4572745000000</v>
      </c>
      <c r="D14" s="58">
        <v>5801497000000</v>
      </c>
      <c r="E14" s="58">
        <v>4867607000000</v>
      </c>
      <c r="F14" s="58">
        <v>6066994000000</v>
      </c>
    </row>
    <row r="15" spans="1:26" x14ac:dyDescent="0.2">
      <c r="A15" s="57" t="s">
        <v>2443</v>
      </c>
      <c r="B15" s="58">
        <v>1440360000000</v>
      </c>
      <c r="C15" s="58">
        <v>2029684000000</v>
      </c>
      <c r="D15" s="58">
        <v>1947895000000</v>
      </c>
      <c r="E15" s="58">
        <v>2390429000000</v>
      </c>
      <c r="F15" s="58">
        <v>2995010000000</v>
      </c>
    </row>
    <row r="16" spans="1:26" x14ac:dyDescent="0.2">
      <c r="A16" s="57" t="s">
        <v>2444</v>
      </c>
      <c r="B16" s="58">
        <v>-276361000000</v>
      </c>
      <c r="C16" s="58">
        <v>-265763000000</v>
      </c>
      <c r="D16" s="58">
        <v>-318010000000</v>
      </c>
      <c r="E16" s="58">
        <v>-279829000000</v>
      </c>
      <c r="F16" s="58">
        <v>-251465000000</v>
      </c>
    </row>
    <row r="17" spans="1:6" x14ac:dyDescent="0.2">
      <c r="A17" s="56" t="s">
        <v>2445</v>
      </c>
      <c r="B17" s="54">
        <v>7451670000000</v>
      </c>
      <c r="C17" s="54">
        <v>8464306000000</v>
      </c>
      <c r="D17" s="54">
        <v>9000849000000</v>
      </c>
      <c r="E17" s="54">
        <v>8674000000000</v>
      </c>
      <c r="F17" s="54">
        <v>10017297000000</v>
      </c>
    </row>
    <row r="18" spans="1:6" x14ac:dyDescent="0.2">
      <c r="A18" s="56" t="s">
        <v>2446</v>
      </c>
      <c r="B18" s="54">
        <v>6429130000000</v>
      </c>
      <c r="C18" s="54">
        <v>7626041000000</v>
      </c>
      <c r="D18" s="54">
        <v>8280536000000</v>
      </c>
      <c r="E18" s="54">
        <v>7978466000000</v>
      </c>
      <c r="F18" s="54">
        <v>9283543000000</v>
      </c>
    </row>
    <row r="19" spans="1:6" x14ac:dyDescent="0.2">
      <c r="A19" s="57" t="s">
        <v>2447</v>
      </c>
      <c r="B19" s="58">
        <v>6620815000000</v>
      </c>
      <c r="C19" s="58">
        <v>7770244000000</v>
      </c>
      <c r="D19" s="58">
        <v>8421277000000</v>
      </c>
      <c r="E19" s="58">
        <v>8126726000000</v>
      </c>
      <c r="F19" s="58">
        <v>9475380000000</v>
      </c>
    </row>
    <row r="20" spans="1:6" x14ac:dyDescent="0.2">
      <c r="A20" s="57" t="s">
        <v>2448</v>
      </c>
      <c r="B20" s="58">
        <v>-191685000000</v>
      </c>
      <c r="C20" s="58">
        <v>-144203000000</v>
      </c>
      <c r="D20" s="58">
        <v>-140741000000</v>
      </c>
      <c r="E20" s="58">
        <v>-148260000000</v>
      </c>
      <c r="F20" s="58">
        <v>-191837000000</v>
      </c>
    </row>
    <row r="21" spans="1:6" ht="15.75" customHeight="1" x14ac:dyDescent="0.2">
      <c r="A21" s="56" t="s">
        <v>2449</v>
      </c>
      <c r="B21" s="54">
        <v>601605000000</v>
      </c>
      <c r="C21" s="54">
        <v>644187000000</v>
      </c>
      <c r="D21" s="54">
        <v>418341000000</v>
      </c>
      <c r="E21" s="54">
        <v>412658000000</v>
      </c>
      <c r="F21" s="54">
        <v>426153000000</v>
      </c>
    </row>
    <row r="22" spans="1:6" ht="15.75" customHeight="1" x14ac:dyDescent="0.2">
      <c r="A22" s="56" t="s">
        <v>2450</v>
      </c>
      <c r="B22" s="54">
        <v>420935000000</v>
      </c>
      <c r="C22" s="54">
        <v>194078000000</v>
      </c>
      <c r="D22" s="54">
        <v>301972000000</v>
      </c>
      <c r="E22" s="54">
        <v>282876000000</v>
      </c>
      <c r="F22" s="54">
        <v>307601000000</v>
      </c>
    </row>
    <row r="23" spans="1:6" ht="15.75" customHeight="1" x14ac:dyDescent="0.2">
      <c r="A23" s="57" t="s">
        <v>2451</v>
      </c>
      <c r="B23" s="58">
        <v>1594326000000</v>
      </c>
      <c r="C23" s="58">
        <v>1411525000000</v>
      </c>
      <c r="D23" s="58">
        <v>1512948000000</v>
      </c>
      <c r="E23" s="58">
        <v>1658102000000</v>
      </c>
      <c r="F23" s="58">
        <v>2340417000000</v>
      </c>
    </row>
    <row r="24" spans="1:6" ht="15.75" customHeight="1" x14ac:dyDescent="0.2">
      <c r="A24" s="57" t="s">
        <v>2452</v>
      </c>
      <c r="B24" s="58">
        <v>106187000000</v>
      </c>
      <c r="C24" s="58">
        <v>118576000000</v>
      </c>
      <c r="D24" s="58">
        <v>153814000000</v>
      </c>
      <c r="E24" s="58">
        <v>102425000000</v>
      </c>
      <c r="F24" s="58">
        <v>96762000000</v>
      </c>
    </row>
    <row r="25" spans="1:6" ht="15.75" customHeight="1" x14ac:dyDescent="0.2">
      <c r="A25" s="57" t="s">
        <v>2453</v>
      </c>
      <c r="B25" s="57" t="s">
        <v>84</v>
      </c>
      <c r="C25" s="57" t="s">
        <v>84</v>
      </c>
      <c r="D25" s="57" t="s">
        <v>84</v>
      </c>
      <c r="E25" s="57" t="s">
        <v>84</v>
      </c>
      <c r="F25" s="57" t="s">
        <v>84</v>
      </c>
    </row>
    <row r="26" spans="1:6" ht="15.75" customHeight="1" x14ac:dyDescent="0.2">
      <c r="A26" s="56" t="s">
        <v>2454</v>
      </c>
      <c r="B26" s="54">
        <v>124718278000000</v>
      </c>
      <c r="C26" s="54">
        <v>125172794000000</v>
      </c>
      <c r="D26" s="54">
        <v>125556632000000</v>
      </c>
      <c r="E26" s="54">
        <v>123486160000000</v>
      </c>
      <c r="F26" s="54">
        <v>121947837000000</v>
      </c>
    </row>
    <row r="27" spans="1:6" ht="15.75" customHeight="1" x14ac:dyDescent="0.2">
      <c r="A27" s="56" t="s">
        <v>2455</v>
      </c>
      <c r="B27" s="54">
        <v>37206691000000</v>
      </c>
      <c r="C27" s="54">
        <v>38028431000000</v>
      </c>
      <c r="D27" s="54">
        <v>38662201000000</v>
      </c>
      <c r="E27" s="54">
        <v>38435528000000</v>
      </c>
      <c r="F27" s="54">
        <v>38550387000000</v>
      </c>
    </row>
    <row r="28" spans="1:6" ht="15.75" customHeight="1" x14ac:dyDescent="0.2">
      <c r="A28" s="56" t="s">
        <v>2456</v>
      </c>
      <c r="B28" s="54">
        <v>66179334000000</v>
      </c>
      <c r="C28" s="54">
        <v>70415673000000</v>
      </c>
      <c r="D28" s="54">
        <v>74230000000000</v>
      </c>
      <c r="E28" s="54">
        <v>76795926000000</v>
      </c>
      <c r="F28" s="54">
        <v>80033909000000</v>
      </c>
    </row>
    <row r="29" spans="1:6" ht="15.75" customHeight="1" x14ac:dyDescent="0.2">
      <c r="A29" s="56" t="s">
        <v>2457</v>
      </c>
      <c r="B29" s="54">
        <v>15642411000000</v>
      </c>
      <c r="C29" s="54">
        <v>15992707000000</v>
      </c>
      <c r="D29" s="54">
        <v>16660512000000</v>
      </c>
      <c r="E29" s="54">
        <v>17693217000000</v>
      </c>
      <c r="F29" s="54">
        <v>18183598000000</v>
      </c>
    </row>
    <row r="30" spans="1:6" ht="15.75" customHeight="1" x14ac:dyDescent="0.2">
      <c r="A30" s="57" t="s">
        <v>2458</v>
      </c>
      <c r="B30" s="58">
        <v>15578574000000</v>
      </c>
      <c r="C30" s="58">
        <v>15933899000000</v>
      </c>
      <c r="D30" s="58">
        <v>16602455000000</v>
      </c>
      <c r="E30" s="58">
        <v>17632911000000</v>
      </c>
      <c r="F30" s="58">
        <v>18123839000000</v>
      </c>
    </row>
    <row r="31" spans="1:6" ht="15.75" customHeight="1" x14ac:dyDescent="0.2">
      <c r="A31" s="57" t="s">
        <v>2459</v>
      </c>
      <c r="B31" s="58">
        <v>63837000000</v>
      </c>
      <c r="C31" s="58">
        <v>58808000000</v>
      </c>
      <c r="D31" s="58">
        <v>58057000000</v>
      </c>
      <c r="E31" s="58">
        <v>60306000000</v>
      </c>
      <c r="F31" s="58">
        <v>59759000000</v>
      </c>
    </row>
    <row r="32" spans="1:6" ht="15.75" customHeight="1" x14ac:dyDescent="0.2">
      <c r="A32" s="57" t="s">
        <v>2460</v>
      </c>
      <c r="B32" s="57" t="s">
        <v>84</v>
      </c>
      <c r="C32" s="57" t="s">
        <v>84</v>
      </c>
      <c r="D32" s="57" t="s">
        <v>84</v>
      </c>
      <c r="E32" s="57" t="s">
        <v>84</v>
      </c>
      <c r="F32" s="57" t="s">
        <v>84</v>
      </c>
    </row>
    <row r="33" spans="1:6" ht="15.75" customHeight="1" x14ac:dyDescent="0.2">
      <c r="A33" s="56" t="s">
        <v>2461</v>
      </c>
      <c r="B33" s="54">
        <v>32771714000000</v>
      </c>
      <c r="C33" s="54">
        <v>35763589000000</v>
      </c>
      <c r="D33" s="54">
        <v>37959723000000</v>
      </c>
      <c r="E33" s="54">
        <v>39364601000000</v>
      </c>
      <c r="F33" s="54">
        <v>42972781000000</v>
      </c>
    </row>
    <row r="34" spans="1:6" ht="15.75" customHeight="1" x14ac:dyDescent="0.2">
      <c r="A34" s="57" t="s">
        <v>2462</v>
      </c>
      <c r="B34" s="58">
        <v>21321369000000</v>
      </c>
      <c r="C34" s="58">
        <v>23174303000000</v>
      </c>
      <c r="D34" s="58">
        <v>24615873000000</v>
      </c>
      <c r="E34" s="58">
        <v>26478024000000</v>
      </c>
      <c r="F34" s="58">
        <v>27606194000000</v>
      </c>
    </row>
    <row r="35" spans="1:6" ht="15.75" customHeight="1" x14ac:dyDescent="0.2">
      <c r="A35" s="57" t="s">
        <v>2463</v>
      </c>
      <c r="B35" s="58">
        <v>2055486000000</v>
      </c>
      <c r="C35" s="58">
        <v>2177096000000</v>
      </c>
      <c r="D35" s="58">
        <v>2314484000000</v>
      </c>
      <c r="E35" s="58">
        <v>2440009000000</v>
      </c>
      <c r="F35" s="58">
        <v>2539158000000</v>
      </c>
    </row>
    <row r="36" spans="1:6" ht="15.75" customHeight="1" x14ac:dyDescent="0.2">
      <c r="A36" s="57" t="s">
        <v>2464</v>
      </c>
      <c r="B36" s="58">
        <v>9394859000000</v>
      </c>
      <c r="C36" s="58">
        <v>10412190000000</v>
      </c>
      <c r="D36" s="58">
        <v>11029366000000</v>
      </c>
      <c r="E36" s="58">
        <v>10446568000000</v>
      </c>
      <c r="F36" s="58">
        <v>12827429000000</v>
      </c>
    </row>
    <row r="37" spans="1:6" ht="15.75" customHeight="1" x14ac:dyDescent="0.2">
      <c r="A37" s="56" t="s">
        <v>2465</v>
      </c>
      <c r="B37" s="54">
        <v>2194366000000</v>
      </c>
      <c r="C37" s="54">
        <v>2574156000000</v>
      </c>
      <c r="D37" s="54">
        <v>2878287000000</v>
      </c>
      <c r="E37" s="54">
        <v>2405384000000</v>
      </c>
      <c r="F37" s="54">
        <v>1619189000000</v>
      </c>
    </row>
    <row r="38" spans="1:6" ht="15.75" customHeight="1" x14ac:dyDescent="0.2">
      <c r="A38" s="56" t="s">
        <v>2466</v>
      </c>
      <c r="B38" s="54">
        <v>14566000000</v>
      </c>
      <c r="C38" s="54">
        <v>8733000000</v>
      </c>
      <c r="D38" s="54">
        <v>19892000000</v>
      </c>
      <c r="E38" s="54">
        <v>18356000000</v>
      </c>
      <c r="F38" s="54">
        <v>13331000000</v>
      </c>
    </row>
    <row r="39" spans="1:6" ht="15.75" customHeight="1" x14ac:dyDescent="0.2">
      <c r="A39" s="56" t="s">
        <v>2467</v>
      </c>
      <c r="B39" s="54">
        <v>15556277000000</v>
      </c>
      <c r="C39" s="54">
        <v>16076488000000</v>
      </c>
      <c r="D39" s="54">
        <v>16711586000000</v>
      </c>
      <c r="E39" s="54">
        <v>17314368000000</v>
      </c>
      <c r="F39" s="54">
        <v>17245010000000</v>
      </c>
    </row>
    <row r="40" spans="1:6" ht="15.75" customHeight="1" x14ac:dyDescent="0.2">
      <c r="A40" s="56" t="s">
        <v>2468</v>
      </c>
      <c r="B40" s="54">
        <v>-28972643000000</v>
      </c>
      <c r="C40" s="54">
        <v>-32387242000000</v>
      </c>
      <c r="D40" s="54">
        <v>-35567799000000</v>
      </c>
      <c r="E40" s="54">
        <v>-38360398000000</v>
      </c>
      <c r="F40" s="54">
        <v>-41483522000000</v>
      </c>
    </row>
    <row r="41" spans="1:6" ht="15.75" customHeight="1" x14ac:dyDescent="0.2">
      <c r="A41" s="56" t="s">
        <v>2469</v>
      </c>
      <c r="B41" s="54">
        <v>-28972643000000</v>
      </c>
      <c r="C41" s="54">
        <v>-31951917000000</v>
      </c>
      <c r="D41" s="54">
        <v>-34989298000000</v>
      </c>
      <c r="E41" s="54">
        <v>-37615197000000</v>
      </c>
      <c r="F41" s="54">
        <v>-40479365000000</v>
      </c>
    </row>
    <row r="42" spans="1:6" ht="15.75" customHeight="1" x14ac:dyDescent="0.2">
      <c r="A42" s="56" t="s">
        <v>2470</v>
      </c>
      <c r="B42" s="54">
        <v>-6040474000000</v>
      </c>
      <c r="C42" s="54">
        <v>-6769991000000</v>
      </c>
      <c r="D42" s="54">
        <v>-7516875000000</v>
      </c>
      <c r="E42" s="54">
        <v>-8285598000000</v>
      </c>
      <c r="F42" s="54">
        <v>-9075465000000</v>
      </c>
    </row>
    <row r="43" spans="1:6" ht="15.75" customHeight="1" x14ac:dyDescent="0.2">
      <c r="A43" s="57" t="s">
        <v>2471</v>
      </c>
      <c r="B43" s="58">
        <v>-5988414000000</v>
      </c>
      <c r="C43" s="58">
        <v>-6719996000000</v>
      </c>
      <c r="D43" s="58">
        <v>-7464329000000</v>
      </c>
      <c r="E43" s="58">
        <v>-8236373000000</v>
      </c>
      <c r="F43" s="58">
        <v>-9023220000000</v>
      </c>
    </row>
    <row r="44" spans="1:6" ht="15.75" customHeight="1" x14ac:dyDescent="0.2">
      <c r="A44" s="57" t="s">
        <v>2472</v>
      </c>
      <c r="B44" s="58">
        <v>-52060000000</v>
      </c>
      <c r="C44" s="58">
        <v>-49995000000</v>
      </c>
      <c r="D44" s="58">
        <v>-52546000000</v>
      </c>
      <c r="E44" s="58">
        <v>-49225000000</v>
      </c>
      <c r="F44" s="58">
        <v>-52245000000</v>
      </c>
    </row>
    <row r="45" spans="1:6" ht="15.75" customHeight="1" x14ac:dyDescent="0.2">
      <c r="A45" s="56" t="s">
        <v>2473</v>
      </c>
      <c r="B45" s="54">
        <v>-18135367000000</v>
      </c>
      <c r="C45" s="54">
        <v>-19926881000000</v>
      </c>
      <c r="D45" s="54">
        <v>-21862455000000</v>
      </c>
      <c r="E45" s="54">
        <v>-23212103000000</v>
      </c>
      <c r="F45" s="54">
        <v>-24870499000000</v>
      </c>
    </row>
    <row r="46" spans="1:6" ht="15.75" customHeight="1" x14ac:dyDescent="0.2">
      <c r="A46" s="57" t="s">
        <v>2474</v>
      </c>
      <c r="B46" s="58">
        <v>-11113326000000</v>
      </c>
      <c r="C46" s="58">
        <v>-12392133000000</v>
      </c>
      <c r="D46" s="58">
        <v>-13636399000000</v>
      </c>
      <c r="E46" s="58">
        <v>-14894376000000</v>
      </c>
      <c r="F46" s="58">
        <v>-16151641000000</v>
      </c>
    </row>
    <row r="47" spans="1:6" ht="15.75" customHeight="1" x14ac:dyDescent="0.2">
      <c r="A47" s="57" t="s">
        <v>2475</v>
      </c>
      <c r="B47" s="58">
        <v>-1607609000000</v>
      </c>
      <c r="C47" s="58">
        <v>-1778597000000</v>
      </c>
      <c r="D47" s="58">
        <v>-1902324000000</v>
      </c>
      <c r="E47" s="58">
        <v>-2028743000000</v>
      </c>
      <c r="F47" s="58">
        <v>-2154788000000</v>
      </c>
    </row>
    <row r="48" spans="1:6" ht="15.75" customHeight="1" x14ac:dyDescent="0.2">
      <c r="A48" s="57" t="s">
        <v>2476</v>
      </c>
      <c r="B48" s="58">
        <v>-5414432000000</v>
      </c>
      <c r="C48" s="58">
        <v>-5756151000000</v>
      </c>
      <c r="D48" s="58">
        <v>-6323732000000</v>
      </c>
      <c r="E48" s="58">
        <v>-6288984000000</v>
      </c>
      <c r="F48" s="58">
        <v>-6564070000000</v>
      </c>
    </row>
    <row r="49" spans="1:6" ht="15.75" customHeight="1" x14ac:dyDescent="0.2">
      <c r="A49" s="56" t="s">
        <v>2477</v>
      </c>
      <c r="B49" s="54">
        <v>-4796802000000</v>
      </c>
      <c r="C49" s="54">
        <v>-5255045000000</v>
      </c>
      <c r="D49" s="54">
        <v>-5609968000000</v>
      </c>
      <c r="E49" s="54">
        <v>-6117496000000</v>
      </c>
      <c r="F49" s="54">
        <v>-6533401000000</v>
      </c>
    </row>
    <row r="50" spans="1:6" ht="15.75" customHeight="1" x14ac:dyDescent="0.2">
      <c r="A50" s="56" t="s">
        <v>2478</v>
      </c>
      <c r="B50" s="56" t="s">
        <v>84</v>
      </c>
      <c r="C50" s="56" t="s">
        <v>84</v>
      </c>
      <c r="D50" s="56" t="s">
        <v>84</v>
      </c>
      <c r="E50" s="54">
        <v>0</v>
      </c>
      <c r="F50" s="56" t="s">
        <v>84</v>
      </c>
    </row>
    <row r="51" spans="1:6" ht="15.75" customHeight="1" x14ac:dyDescent="0.2">
      <c r="A51" s="56" t="s">
        <v>2479</v>
      </c>
      <c r="B51" s="56" t="s">
        <v>84</v>
      </c>
      <c r="C51" s="54">
        <v>-435325000000</v>
      </c>
      <c r="D51" s="54">
        <v>-578501000000</v>
      </c>
      <c r="E51" s="54">
        <v>-745201000000</v>
      </c>
      <c r="F51" s="54">
        <v>-1004157000000</v>
      </c>
    </row>
    <row r="52" spans="1:6" ht="15.75" customHeight="1" x14ac:dyDescent="0.2">
      <c r="A52" s="56" t="s">
        <v>2480</v>
      </c>
      <c r="B52" s="54">
        <v>42188000000</v>
      </c>
      <c r="C52" s="54">
        <v>42188000000</v>
      </c>
      <c r="D52" s="54">
        <v>42188000000</v>
      </c>
      <c r="E52" s="54">
        <v>42188000000</v>
      </c>
      <c r="F52" s="54">
        <v>42188000000</v>
      </c>
    </row>
    <row r="53" spans="1:6" ht="15.75" customHeight="1" x14ac:dyDescent="0.2">
      <c r="A53" s="56" t="s">
        <v>2481</v>
      </c>
      <c r="B53" s="54">
        <v>68170946000000</v>
      </c>
      <c r="C53" s="54">
        <v>73910539000000</v>
      </c>
      <c r="D53" s="54">
        <v>73503031000000</v>
      </c>
      <c r="E53" s="54">
        <v>73119786000000</v>
      </c>
      <c r="F53" s="54">
        <v>72820299000000</v>
      </c>
    </row>
    <row r="54" spans="1:6" ht="15.75" customHeight="1" x14ac:dyDescent="0.2">
      <c r="A54" s="57" t="s">
        <v>2482</v>
      </c>
      <c r="B54" s="58">
        <v>70802181000000</v>
      </c>
      <c r="C54" s="58">
        <v>76749493000000</v>
      </c>
      <c r="D54" s="58">
        <v>76545725000000</v>
      </c>
      <c r="E54" s="58">
        <v>76384707000000</v>
      </c>
      <c r="F54" s="58">
        <v>76300187000000</v>
      </c>
    </row>
    <row r="55" spans="1:6" ht="15.75" customHeight="1" x14ac:dyDescent="0.2">
      <c r="A55" s="57" t="s">
        <v>2483</v>
      </c>
      <c r="B55" s="58">
        <v>56462875000000</v>
      </c>
      <c r="C55" s="58">
        <v>62319804000000</v>
      </c>
      <c r="D55" s="58">
        <v>62117908000000</v>
      </c>
      <c r="E55" s="58">
        <v>61826620000000</v>
      </c>
      <c r="F55" s="58">
        <v>61290808000000</v>
      </c>
    </row>
    <row r="56" spans="1:6" ht="15.75" customHeight="1" x14ac:dyDescent="0.2">
      <c r="A56" s="57" t="s">
        <v>2484</v>
      </c>
      <c r="B56" s="58">
        <v>14339306000000</v>
      </c>
      <c r="C56" s="58">
        <v>14429689000000</v>
      </c>
      <c r="D56" s="58">
        <v>14427817000000</v>
      </c>
      <c r="E56" s="58">
        <v>14558087000000</v>
      </c>
      <c r="F56" s="58">
        <v>15009379000000</v>
      </c>
    </row>
    <row r="57" spans="1:6" ht="15.75" customHeight="1" x14ac:dyDescent="0.2">
      <c r="A57" s="57" t="s">
        <v>2485</v>
      </c>
      <c r="B57" s="58">
        <v>10262999000000</v>
      </c>
      <c r="C57" s="58">
        <v>10353382000000</v>
      </c>
      <c r="D57" s="58">
        <v>10351510000000</v>
      </c>
      <c r="E57" s="58">
        <v>10481780000000</v>
      </c>
      <c r="F57" s="58">
        <v>10933072000000</v>
      </c>
    </row>
    <row r="58" spans="1:6" ht="15.75" customHeight="1" x14ac:dyDescent="0.2">
      <c r="A58" s="57" t="s">
        <v>2486</v>
      </c>
      <c r="B58" s="58">
        <v>4076307000000</v>
      </c>
      <c r="C58" s="58">
        <v>4076307000000</v>
      </c>
      <c r="D58" s="58">
        <v>4076307000000</v>
      </c>
      <c r="E58" s="58">
        <v>4076307000000</v>
      </c>
      <c r="F58" s="58">
        <v>4076307000000</v>
      </c>
    </row>
    <row r="59" spans="1:6" ht="15.75" customHeight="1" x14ac:dyDescent="0.2">
      <c r="A59" s="57" t="s">
        <v>2487</v>
      </c>
      <c r="B59" s="57" t="s">
        <v>84</v>
      </c>
      <c r="C59" s="57" t="s">
        <v>84</v>
      </c>
      <c r="D59" s="57" t="s">
        <v>84</v>
      </c>
      <c r="E59" s="57" t="s">
        <v>84</v>
      </c>
      <c r="F59" s="57" t="s">
        <v>84</v>
      </c>
    </row>
    <row r="60" spans="1:6" ht="15.75" customHeight="1" x14ac:dyDescent="0.2">
      <c r="A60" s="56" t="s">
        <v>2488</v>
      </c>
      <c r="B60" s="54">
        <v>-2631235000000</v>
      </c>
      <c r="C60" s="54">
        <v>-2838954000000</v>
      </c>
      <c r="D60" s="54">
        <v>-3042694000000</v>
      </c>
      <c r="E60" s="54">
        <v>-3264921000000</v>
      </c>
      <c r="F60" s="54">
        <v>-3479888000000</v>
      </c>
    </row>
    <row r="61" spans="1:6" ht="15.75" customHeight="1" x14ac:dyDescent="0.2">
      <c r="A61" s="56" t="s">
        <v>2489</v>
      </c>
      <c r="B61" s="54">
        <v>-2631235000000</v>
      </c>
      <c r="C61" s="54">
        <v>-2838954000000</v>
      </c>
      <c r="D61" s="54">
        <v>-3042694000000</v>
      </c>
      <c r="E61" s="54">
        <v>-3264921000000</v>
      </c>
      <c r="F61" s="54">
        <v>-3479888000000</v>
      </c>
    </row>
    <row r="62" spans="1:6" ht="15.75" customHeight="1" x14ac:dyDescent="0.2">
      <c r="A62" s="56" t="s">
        <v>2490</v>
      </c>
      <c r="B62" s="54">
        <v>-2631235000000</v>
      </c>
      <c r="C62" s="54">
        <v>-2838954000000</v>
      </c>
      <c r="D62" s="54">
        <v>-3042694000000</v>
      </c>
      <c r="E62" s="54">
        <v>-3264921000000</v>
      </c>
      <c r="F62" s="54">
        <v>-3479888000000</v>
      </c>
    </row>
    <row r="63" spans="1:6" ht="15.75" customHeight="1" x14ac:dyDescent="0.2">
      <c r="A63" s="57" t="s">
        <v>2491</v>
      </c>
      <c r="B63" s="58">
        <v>-413926000000</v>
      </c>
      <c r="C63" s="58">
        <v>-488407000000</v>
      </c>
      <c r="D63" s="58">
        <v>-558909000000</v>
      </c>
      <c r="E63" s="58">
        <v>-634692000000</v>
      </c>
      <c r="F63" s="58">
        <v>-716421000000</v>
      </c>
    </row>
    <row r="64" spans="1:6" ht="15.75" customHeight="1" x14ac:dyDescent="0.2">
      <c r="A64" s="57" t="s">
        <v>2492</v>
      </c>
      <c r="B64" s="58">
        <v>-2217309000000</v>
      </c>
      <c r="C64" s="58">
        <v>-2350547000000</v>
      </c>
      <c r="D64" s="58">
        <v>-2483785000000</v>
      </c>
      <c r="E64" s="58">
        <v>-2630229000000</v>
      </c>
      <c r="F64" s="58">
        <v>-2763467000000</v>
      </c>
    </row>
    <row r="65" spans="1:6" ht="15.75" customHeight="1" x14ac:dyDescent="0.2">
      <c r="A65" s="57" t="s">
        <v>2493</v>
      </c>
      <c r="B65" s="57" t="s">
        <v>84</v>
      </c>
      <c r="C65" s="57" t="s">
        <v>84</v>
      </c>
      <c r="D65" s="57" t="s">
        <v>84</v>
      </c>
      <c r="E65" s="57" t="s">
        <v>84</v>
      </c>
      <c r="F65" s="57" t="s">
        <v>84</v>
      </c>
    </row>
    <row r="66" spans="1:6" ht="15.75" customHeight="1" x14ac:dyDescent="0.2">
      <c r="A66" s="56" t="s">
        <v>2494</v>
      </c>
      <c r="B66" s="54">
        <v>11682021000000</v>
      </c>
      <c r="C66" s="54">
        <v>6245186000000</v>
      </c>
      <c r="D66" s="54">
        <v>7146837000000</v>
      </c>
      <c r="E66" s="54">
        <v>4642086000000</v>
      </c>
      <c r="F66" s="54">
        <v>2555422000000</v>
      </c>
    </row>
    <row r="67" spans="1:6" ht="15.75" customHeight="1" x14ac:dyDescent="0.2">
      <c r="A67" s="57" t="s">
        <v>2495</v>
      </c>
      <c r="B67" s="58">
        <v>7807009000000</v>
      </c>
      <c r="C67" s="58">
        <v>1738282000000</v>
      </c>
      <c r="D67" s="58">
        <v>2444348000000</v>
      </c>
      <c r="E67" s="58">
        <v>51933000000</v>
      </c>
      <c r="F67" s="58">
        <v>-1218606000000</v>
      </c>
    </row>
    <row r="68" spans="1:6" ht="15.75" customHeight="1" x14ac:dyDescent="0.2">
      <c r="A68" s="56" t="s">
        <v>2496</v>
      </c>
      <c r="B68" s="54">
        <v>3875012000000</v>
      </c>
      <c r="C68" s="54">
        <v>4506904000000</v>
      </c>
      <c r="D68" s="54">
        <v>4702489000000</v>
      </c>
      <c r="E68" s="54">
        <v>4590153000000</v>
      </c>
      <c r="F68" s="54">
        <v>3774028000000</v>
      </c>
    </row>
    <row r="69" spans="1:6" ht="15.75" customHeight="1" x14ac:dyDescent="0.2">
      <c r="A69" s="57" t="s">
        <v>2497</v>
      </c>
      <c r="B69" s="57" t="s">
        <v>84</v>
      </c>
      <c r="C69" s="58">
        <v>4506904000000</v>
      </c>
      <c r="D69" s="58">
        <v>4702489000000</v>
      </c>
      <c r="E69" s="58">
        <v>4590153000000</v>
      </c>
      <c r="F69" s="58">
        <v>3774028000000</v>
      </c>
    </row>
    <row r="70" spans="1:6" ht="15.75" customHeight="1" x14ac:dyDescent="0.2">
      <c r="A70" s="57" t="s">
        <v>2498</v>
      </c>
      <c r="B70" s="57" t="s">
        <v>84</v>
      </c>
      <c r="C70" s="58">
        <v>4506904000000</v>
      </c>
      <c r="D70" s="58">
        <v>4702489000000</v>
      </c>
      <c r="E70" s="58">
        <v>4590153000000</v>
      </c>
      <c r="F70" s="58">
        <v>3774028000000</v>
      </c>
    </row>
    <row r="71" spans="1:6" ht="15.75" customHeight="1" x14ac:dyDescent="0.2">
      <c r="A71" s="57" t="s">
        <v>2499</v>
      </c>
      <c r="B71" s="58">
        <v>3875012000000</v>
      </c>
      <c r="C71" s="57" t="s">
        <v>84</v>
      </c>
      <c r="D71" s="57" t="s">
        <v>84</v>
      </c>
      <c r="E71" s="57" t="s">
        <v>84</v>
      </c>
      <c r="F71" s="57" t="s">
        <v>84</v>
      </c>
    </row>
    <row r="72" spans="1:6" ht="15.75" customHeight="1" x14ac:dyDescent="0.2">
      <c r="A72" s="56" t="s">
        <v>2500</v>
      </c>
      <c r="B72" s="54">
        <v>1669431000000</v>
      </c>
      <c r="C72" s="54">
        <v>1407426000000</v>
      </c>
      <c r="D72" s="54">
        <v>1070484000000</v>
      </c>
      <c r="E72" s="54">
        <v>1077487000000</v>
      </c>
      <c r="F72" s="54">
        <v>752833000000</v>
      </c>
    </row>
    <row r="73" spans="1:6" ht="15.75" customHeight="1" x14ac:dyDescent="0.2">
      <c r="A73" s="57" t="s">
        <v>2501</v>
      </c>
      <c r="B73" s="58">
        <v>111177000000</v>
      </c>
      <c r="C73" s="58">
        <v>90852000000</v>
      </c>
      <c r="D73" s="58">
        <v>132652000000</v>
      </c>
      <c r="E73" s="58">
        <v>171601000000</v>
      </c>
      <c r="F73" s="58">
        <v>97309000000</v>
      </c>
    </row>
    <row r="74" spans="1:6" ht="15.75" customHeight="1" x14ac:dyDescent="0.2">
      <c r="A74" s="57" t="s">
        <v>2502</v>
      </c>
      <c r="B74" s="58">
        <v>1558254000000</v>
      </c>
      <c r="C74" s="58">
        <v>1316574000000</v>
      </c>
      <c r="D74" s="58">
        <v>937832000000</v>
      </c>
      <c r="E74" s="58">
        <v>905886000000</v>
      </c>
      <c r="F74" s="58">
        <v>655524000000</v>
      </c>
    </row>
    <row r="75" spans="1:6" ht="15.75" customHeight="1" x14ac:dyDescent="0.2">
      <c r="A75" s="57" t="s">
        <v>2503</v>
      </c>
      <c r="B75" s="57" t="s">
        <v>84</v>
      </c>
      <c r="C75" s="57" t="s">
        <v>84</v>
      </c>
      <c r="D75" s="57" t="s">
        <v>84</v>
      </c>
      <c r="E75" s="57" t="s">
        <v>84</v>
      </c>
      <c r="F75" s="57" t="s">
        <v>84</v>
      </c>
    </row>
    <row r="76" spans="1:6" ht="15.75" customHeight="1" x14ac:dyDescent="0.2">
      <c r="A76" s="56" t="s">
        <v>2504</v>
      </c>
      <c r="B76" s="54">
        <v>13292000000</v>
      </c>
      <c r="C76" s="54">
        <v>11897000000</v>
      </c>
      <c r="D76" s="54">
        <v>9169000000</v>
      </c>
      <c r="E76" s="54">
        <v>13447000000</v>
      </c>
      <c r="F76" s="54">
        <v>15399000000</v>
      </c>
    </row>
    <row r="77" spans="1:6" ht="15.75" customHeight="1" x14ac:dyDescent="0.2">
      <c r="A77" s="57" t="s">
        <v>2505</v>
      </c>
      <c r="B77" s="58">
        <v>13292000000</v>
      </c>
      <c r="C77" s="58">
        <v>11897000000</v>
      </c>
      <c r="D77" s="58">
        <v>9169000000</v>
      </c>
      <c r="E77" s="58">
        <v>13447000000</v>
      </c>
      <c r="F77" s="58">
        <v>15399000000</v>
      </c>
    </row>
    <row r="78" spans="1:6" ht="15.75" customHeight="1" x14ac:dyDescent="0.2">
      <c r="A78" s="56" t="s">
        <v>2506</v>
      </c>
      <c r="B78" s="54">
        <v>1213499000000</v>
      </c>
      <c r="C78" s="54">
        <v>959710000000</v>
      </c>
      <c r="D78" s="54">
        <v>697730000000</v>
      </c>
      <c r="E78" s="54">
        <v>758170000000</v>
      </c>
      <c r="F78" s="54">
        <v>726246000000</v>
      </c>
    </row>
    <row r="79" spans="1:6" ht="15.75" customHeight="1" x14ac:dyDescent="0.2">
      <c r="A79" s="56" t="s">
        <v>2507</v>
      </c>
      <c r="B79" s="54">
        <v>830573000000</v>
      </c>
      <c r="C79" s="54">
        <v>819824000000</v>
      </c>
      <c r="D79" s="54">
        <v>878581000000</v>
      </c>
      <c r="E79" s="54">
        <v>857618000000</v>
      </c>
      <c r="F79" s="54">
        <v>864115000000</v>
      </c>
    </row>
    <row r="80" spans="1:6" ht="15.75" customHeight="1" x14ac:dyDescent="0.2">
      <c r="A80" s="56" t="s">
        <v>2508</v>
      </c>
      <c r="B80" s="54">
        <v>3889637000000</v>
      </c>
      <c r="C80" s="54">
        <v>3747593000000</v>
      </c>
      <c r="D80" s="54">
        <v>3546411000000</v>
      </c>
      <c r="E80" s="54">
        <v>4539850000000</v>
      </c>
      <c r="F80" s="54">
        <v>5620948000000</v>
      </c>
    </row>
    <row r="81" spans="1:6" ht="15.75" customHeight="1" x14ac:dyDescent="0.2">
      <c r="A81" s="57" t="s">
        <v>2509</v>
      </c>
      <c r="B81" s="57" t="s">
        <v>84</v>
      </c>
      <c r="C81" s="57" t="s">
        <v>84</v>
      </c>
      <c r="D81" s="57" t="s">
        <v>84</v>
      </c>
      <c r="E81" s="57" t="s">
        <v>84</v>
      </c>
      <c r="F81" s="57" t="s">
        <v>84</v>
      </c>
    </row>
    <row r="82" spans="1:6" ht="15.75" customHeight="1" x14ac:dyDescent="0.2">
      <c r="A82" s="57" t="s">
        <v>2510</v>
      </c>
      <c r="B82" s="57" t="s">
        <v>84</v>
      </c>
      <c r="C82" s="57" t="s">
        <v>84</v>
      </c>
      <c r="D82" s="57" t="s">
        <v>84</v>
      </c>
      <c r="E82" s="57" t="s">
        <v>84</v>
      </c>
      <c r="F82" s="57" t="s">
        <v>84</v>
      </c>
    </row>
    <row r="83" spans="1:6" ht="15.75" customHeight="1" x14ac:dyDescent="0.2">
      <c r="A83" s="57" t="s">
        <v>2511</v>
      </c>
      <c r="B83" s="57" t="s">
        <v>84</v>
      </c>
      <c r="C83" s="57" t="s">
        <v>84</v>
      </c>
      <c r="D83" s="57" t="s">
        <v>84</v>
      </c>
      <c r="E83" s="57" t="s">
        <v>84</v>
      </c>
      <c r="F83" s="57" t="s">
        <v>84</v>
      </c>
    </row>
    <row r="84" spans="1:6" ht="15.75" customHeight="1" x14ac:dyDescent="0.2">
      <c r="A84" s="53" t="s">
        <v>2512</v>
      </c>
      <c r="B84" s="54">
        <v>83998472000000</v>
      </c>
      <c r="C84" s="54">
        <v>92724082000000</v>
      </c>
      <c r="D84" s="54">
        <v>86810262000000</v>
      </c>
      <c r="E84" s="54">
        <v>86123066000000</v>
      </c>
      <c r="F84" s="54">
        <v>92722030000000</v>
      </c>
    </row>
    <row r="85" spans="1:6" ht="15.75" customHeight="1" x14ac:dyDescent="0.2">
      <c r="A85" s="56" t="s">
        <v>2513</v>
      </c>
      <c r="B85" s="54">
        <v>27975875000000</v>
      </c>
      <c r="C85" s="54">
        <v>40403404000000</v>
      </c>
      <c r="D85" s="54">
        <v>30725942000000</v>
      </c>
      <c r="E85" s="54">
        <v>32914504000000</v>
      </c>
      <c r="F85" s="54">
        <v>37094061000000</v>
      </c>
    </row>
    <row r="86" spans="1:6" ht="15.75" customHeight="1" x14ac:dyDescent="0.2">
      <c r="A86" s="56" t="s">
        <v>2514</v>
      </c>
      <c r="B86" s="54">
        <v>11706653000000</v>
      </c>
      <c r="C86" s="54">
        <v>12284617000000</v>
      </c>
      <c r="D86" s="54">
        <v>12263450000000</v>
      </c>
      <c r="E86" s="54">
        <v>13153793000000</v>
      </c>
      <c r="F86" s="54">
        <v>13621432000000</v>
      </c>
    </row>
    <row r="87" spans="1:6" ht="15.75" customHeight="1" x14ac:dyDescent="0.2">
      <c r="A87" s="56" t="s">
        <v>2515</v>
      </c>
      <c r="B87" s="54">
        <v>8563380000000</v>
      </c>
      <c r="C87" s="54">
        <v>9382084000000</v>
      </c>
      <c r="D87" s="54">
        <v>9156861000000</v>
      </c>
      <c r="E87" s="54">
        <v>9575075000000</v>
      </c>
      <c r="F87" s="54">
        <v>9799472000000</v>
      </c>
    </row>
    <row r="88" spans="1:6" ht="15.75" customHeight="1" x14ac:dyDescent="0.2">
      <c r="A88" s="57" t="s">
        <v>2516</v>
      </c>
      <c r="B88" s="58">
        <v>4407555000000</v>
      </c>
      <c r="C88" s="58">
        <v>5157135000000</v>
      </c>
      <c r="D88" s="58">
        <v>5372311000000</v>
      </c>
      <c r="E88" s="58">
        <v>5353795000000</v>
      </c>
      <c r="F88" s="58">
        <v>5801576000000</v>
      </c>
    </row>
    <row r="89" spans="1:6" ht="15.75" customHeight="1" x14ac:dyDescent="0.2">
      <c r="A89" s="57" t="s">
        <v>2517</v>
      </c>
      <c r="B89" s="58">
        <v>231123000000</v>
      </c>
      <c r="C89" s="58">
        <v>648983000000</v>
      </c>
      <c r="D89" s="58">
        <v>509617000000</v>
      </c>
      <c r="E89" s="58">
        <v>506790000000</v>
      </c>
      <c r="F89" s="58">
        <v>493109000000</v>
      </c>
    </row>
    <row r="90" spans="1:6" ht="15.75" customHeight="1" x14ac:dyDescent="0.2">
      <c r="A90" s="57" t="s">
        <v>2518</v>
      </c>
      <c r="B90" s="58">
        <v>2176820000000</v>
      </c>
      <c r="C90" s="58">
        <v>1749655000000</v>
      </c>
      <c r="D90" s="58">
        <v>1678829000000</v>
      </c>
      <c r="E90" s="58">
        <v>2183637000000</v>
      </c>
      <c r="F90" s="58">
        <v>1894232000000</v>
      </c>
    </row>
    <row r="91" spans="1:6" ht="15.75" customHeight="1" x14ac:dyDescent="0.2">
      <c r="A91" s="57" t="s">
        <v>2519</v>
      </c>
      <c r="B91" s="58">
        <v>1747882000000</v>
      </c>
      <c r="C91" s="58">
        <v>1826311000000</v>
      </c>
      <c r="D91" s="58">
        <v>1596104000000</v>
      </c>
      <c r="E91" s="58">
        <v>1530853000000</v>
      </c>
      <c r="F91" s="58">
        <v>1610555000000</v>
      </c>
    </row>
    <row r="92" spans="1:6" ht="15.75" customHeight="1" x14ac:dyDescent="0.2">
      <c r="A92" s="57" t="s">
        <v>2520</v>
      </c>
      <c r="B92" s="57" t="s">
        <v>84</v>
      </c>
      <c r="C92" s="57" t="s">
        <v>84</v>
      </c>
      <c r="D92" s="57" t="s">
        <v>84</v>
      </c>
      <c r="E92" s="57" t="s">
        <v>84</v>
      </c>
      <c r="F92" s="57" t="s">
        <v>84</v>
      </c>
    </row>
    <row r="93" spans="1:6" ht="15.75" customHeight="1" x14ac:dyDescent="0.2">
      <c r="A93" s="56" t="s">
        <v>2521</v>
      </c>
      <c r="B93" s="54">
        <v>3143273000000</v>
      </c>
      <c r="C93" s="54">
        <v>2902533000000</v>
      </c>
      <c r="D93" s="54">
        <v>3106589000000</v>
      </c>
      <c r="E93" s="54">
        <v>3578718000000</v>
      </c>
      <c r="F93" s="54">
        <v>3821960000000</v>
      </c>
    </row>
    <row r="94" spans="1:6" ht="15.75" customHeight="1" x14ac:dyDescent="0.2">
      <c r="A94" s="56" t="s">
        <v>2522</v>
      </c>
      <c r="B94" s="54">
        <v>14813005000000</v>
      </c>
      <c r="C94" s="54">
        <v>17395250000000</v>
      </c>
      <c r="D94" s="54">
        <v>16976605000000</v>
      </c>
      <c r="E94" s="54">
        <v>18385693000000</v>
      </c>
      <c r="F94" s="54">
        <v>21652628000000</v>
      </c>
    </row>
    <row r="95" spans="1:6" ht="15.75" customHeight="1" x14ac:dyDescent="0.2">
      <c r="A95" s="56" t="s">
        <v>2523</v>
      </c>
      <c r="B95" s="54">
        <v>14813005000000</v>
      </c>
      <c r="C95" s="54">
        <v>17395250000000</v>
      </c>
      <c r="D95" s="54">
        <v>16976605000000</v>
      </c>
      <c r="E95" s="54">
        <v>18385693000000</v>
      </c>
      <c r="F95" s="54">
        <v>21652628000000</v>
      </c>
    </row>
    <row r="96" spans="1:6" ht="15.75" customHeight="1" x14ac:dyDescent="0.2">
      <c r="A96" s="56" t="s">
        <v>2524</v>
      </c>
      <c r="B96" s="54">
        <v>13800300000000</v>
      </c>
      <c r="C96" s="54">
        <v>13305721000000</v>
      </c>
      <c r="D96" s="54">
        <v>15254754000000</v>
      </c>
      <c r="E96" s="54">
        <v>16240377000000</v>
      </c>
      <c r="F96" s="54">
        <v>20951159000000</v>
      </c>
    </row>
    <row r="97" spans="1:6" ht="15.75" customHeight="1" x14ac:dyDescent="0.2">
      <c r="A97" s="57" t="s">
        <v>2525</v>
      </c>
      <c r="B97" s="58">
        <v>13792799000000</v>
      </c>
      <c r="C97" s="58">
        <v>13305721000000</v>
      </c>
      <c r="D97" s="58">
        <v>15254754000000</v>
      </c>
      <c r="E97" s="58">
        <v>16240377000000</v>
      </c>
      <c r="F97" s="58">
        <v>20951159000000</v>
      </c>
    </row>
    <row r="98" spans="1:6" ht="15.75" customHeight="1" x14ac:dyDescent="0.2">
      <c r="A98" s="57" t="s">
        <v>2526</v>
      </c>
      <c r="B98" s="58">
        <v>7501000000</v>
      </c>
      <c r="C98" s="58">
        <v>0</v>
      </c>
      <c r="D98" s="57" t="s">
        <v>84</v>
      </c>
      <c r="E98" s="57" t="s">
        <v>84</v>
      </c>
      <c r="F98" s="57" t="s">
        <v>84</v>
      </c>
    </row>
    <row r="99" spans="1:6" ht="15.75" customHeight="1" x14ac:dyDescent="0.2">
      <c r="A99" s="57" t="s">
        <v>2527</v>
      </c>
      <c r="B99" s="57" t="s">
        <v>84</v>
      </c>
      <c r="C99" s="57" t="s">
        <v>84</v>
      </c>
      <c r="D99" s="57" t="s">
        <v>84</v>
      </c>
      <c r="E99" s="57" t="s">
        <v>84</v>
      </c>
      <c r="F99" s="57" t="s">
        <v>84</v>
      </c>
    </row>
    <row r="100" spans="1:6" ht="15.75" customHeight="1" x14ac:dyDescent="0.2">
      <c r="A100" s="57" t="s">
        <v>2528</v>
      </c>
      <c r="B100" s="57" t="s">
        <v>84</v>
      </c>
      <c r="C100" s="57" t="s">
        <v>84</v>
      </c>
      <c r="D100" s="57" t="s">
        <v>84</v>
      </c>
      <c r="E100" s="57" t="s">
        <v>84</v>
      </c>
      <c r="F100" s="57" t="s">
        <v>84</v>
      </c>
    </row>
    <row r="101" spans="1:6" ht="15.75" customHeight="1" x14ac:dyDescent="0.2">
      <c r="A101" s="56" t="s">
        <v>2529</v>
      </c>
      <c r="B101" s="54">
        <v>1012705000000</v>
      </c>
      <c r="C101" s="54">
        <v>4089529000000</v>
      </c>
      <c r="D101" s="54">
        <v>1721851000000</v>
      </c>
      <c r="E101" s="54">
        <v>2145316000000</v>
      </c>
      <c r="F101" s="54">
        <v>701469000000</v>
      </c>
    </row>
    <row r="102" spans="1:6" ht="15.75" customHeight="1" x14ac:dyDescent="0.2">
      <c r="A102" s="57" t="s">
        <v>2530</v>
      </c>
      <c r="B102" s="58">
        <v>912918000000</v>
      </c>
      <c r="C102" s="58">
        <v>4011524000000</v>
      </c>
      <c r="D102" s="58">
        <v>1627501000000</v>
      </c>
      <c r="E102" s="58">
        <v>2025757000000</v>
      </c>
      <c r="F102" s="58">
        <v>621682000000</v>
      </c>
    </row>
    <row r="103" spans="1:6" ht="15.75" customHeight="1" x14ac:dyDescent="0.2">
      <c r="A103" s="57" t="s">
        <v>2531</v>
      </c>
      <c r="B103" s="58">
        <v>912918000000</v>
      </c>
      <c r="C103" s="58">
        <v>2012532000000</v>
      </c>
      <c r="D103" s="58">
        <v>1627501000000</v>
      </c>
      <c r="E103" s="58">
        <v>2025757000000</v>
      </c>
      <c r="F103" s="58">
        <v>621682000000</v>
      </c>
    </row>
    <row r="104" spans="1:6" ht="15.75" customHeight="1" x14ac:dyDescent="0.2">
      <c r="A104" s="57" t="s">
        <v>2532</v>
      </c>
      <c r="B104" s="57" t="s">
        <v>84</v>
      </c>
      <c r="C104" s="58">
        <v>1998992000000</v>
      </c>
      <c r="D104" s="58">
        <v>0</v>
      </c>
      <c r="E104" s="57" t="s">
        <v>84</v>
      </c>
      <c r="F104" s="57" t="s">
        <v>84</v>
      </c>
    </row>
    <row r="105" spans="1:6" ht="15.75" customHeight="1" x14ac:dyDescent="0.2">
      <c r="A105" s="57" t="s">
        <v>2533</v>
      </c>
      <c r="B105" s="58">
        <v>99787000000</v>
      </c>
      <c r="C105" s="58">
        <v>78005000000</v>
      </c>
      <c r="D105" s="58">
        <v>94350000000</v>
      </c>
      <c r="E105" s="58">
        <v>119559000000</v>
      </c>
      <c r="F105" s="58">
        <v>79787000000</v>
      </c>
    </row>
    <row r="106" spans="1:6" ht="15.75" customHeight="1" x14ac:dyDescent="0.2">
      <c r="A106" s="56" t="s">
        <v>2534</v>
      </c>
      <c r="B106" s="54">
        <v>1456217000000</v>
      </c>
      <c r="C106" s="54">
        <v>1448680000000</v>
      </c>
      <c r="D106" s="54">
        <v>1485887000000</v>
      </c>
      <c r="E106" s="54">
        <v>1375018000000</v>
      </c>
      <c r="F106" s="54">
        <v>1820001000000</v>
      </c>
    </row>
    <row r="107" spans="1:6" ht="15.75" customHeight="1" x14ac:dyDescent="0.2">
      <c r="A107" s="57" t="s">
        <v>2535</v>
      </c>
      <c r="B107" s="58">
        <v>1456217000000</v>
      </c>
      <c r="C107" s="58">
        <v>1448680000000</v>
      </c>
      <c r="D107" s="58">
        <v>1485887000000</v>
      </c>
      <c r="E107" s="58">
        <v>1375018000000</v>
      </c>
      <c r="F107" s="58">
        <v>1820001000000</v>
      </c>
    </row>
    <row r="108" spans="1:6" ht="15.75" customHeight="1" x14ac:dyDescent="0.2">
      <c r="A108" s="57" t="s">
        <v>2536</v>
      </c>
      <c r="B108" s="57" t="s">
        <v>84</v>
      </c>
      <c r="C108" s="58">
        <v>9274857000000</v>
      </c>
      <c r="D108" s="58">
        <v>0</v>
      </c>
      <c r="E108" s="57" t="s">
        <v>84</v>
      </c>
      <c r="F108" s="57" t="s">
        <v>84</v>
      </c>
    </row>
    <row r="109" spans="1:6" ht="15.75" customHeight="1" x14ac:dyDescent="0.2">
      <c r="A109" s="57" t="s">
        <v>2537</v>
      </c>
      <c r="B109" s="57" t="s">
        <v>84</v>
      </c>
      <c r="C109" s="57" t="s">
        <v>84</v>
      </c>
      <c r="D109" s="57" t="s">
        <v>84</v>
      </c>
      <c r="E109" s="57" t="s">
        <v>84</v>
      </c>
      <c r="F109" s="57" t="s">
        <v>84</v>
      </c>
    </row>
    <row r="110" spans="1:6" ht="15.75" customHeight="1" x14ac:dyDescent="0.2">
      <c r="A110" s="56" t="s">
        <v>2538</v>
      </c>
      <c r="B110" s="54">
        <v>56022597000000</v>
      </c>
      <c r="C110" s="54">
        <v>52320678000000</v>
      </c>
      <c r="D110" s="54">
        <v>56084320000000</v>
      </c>
      <c r="E110" s="54">
        <v>53208562000000</v>
      </c>
      <c r="F110" s="54">
        <v>55627969000000</v>
      </c>
    </row>
    <row r="111" spans="1:6" ht="15.75" customHeight="1" x14ac:dyDescent="0.2">
      <c r="A111" s="56" t="s">
        <v>2539</v>
      </c>
      <c r="B111" s="54">
        <v>38707421000000</v>
      </c>
      <c r="C111" s="54">
        <v>44635318000000</v>
      </c>
      <c r="D111" s="54">
        <v>49272452000000</v>
      </c>
      <c r="E111" s="54">
        <v>46306972000000</v>
      </c>
      <c r="F111" s="54">
        <v>49372776000000</v>
      </c>
    </row>
    <row r="112" spans="1:6" ht="15.75" customHeight="1" x14ac:dyDescent="0.2">
      <c r="A112" s="56" t="s">
        <v>2540</v>
      </c>
      <c r="B112" s="54">
        <v>38707421000000</v>
      </c>
      <c r="C112" s="54">
        <v>44635318000000</v>
      </c>
      <c r="D112" s="54">
        <v>49272452000000</v>
      </c>
      <c r="E112" s="54">
        <v>46306972000000</v>
      </c>
      <c r="F112" s="54">
        <v>49372776000000</v>
      </c>
    </row>
    <row r="113" spans="1:6" ht="15.75" customHeight="1" x14ac:dyDescent="0.2">
      <c r="A113" s="56" t="s">
        <v>2541</v>
      </c>
      <c r="B113" s="54">
        <v>38573066000000</v>
      </c>
      <c r="C113" s="54">
        <v>44463099000000</v>
      </c>
      <c r="D113" s="54">
        <v>49181720000000</v>
      </c>
      <c r="E113" s="54">
        <v>46192489000000</v>
      </c>
      <c r="F113" s="54">
        <v>49235499000000</v>
      </c>
    </row>
    <row r="114" spans="1:6" ht="15.75" customHeight="1" x14ac:dyDescent="0.2">
      <c r="A114" s="57" t="s">
        <v>2542</v>
      </c>
      <c r="B114" s="58">
        <v>1996572000000</v>
      </c>
      <c r="C114" s="58">
        <v>38951532000000</v>
      </c>
      <c r="D114" s="58">
        <v>42967686000000</v>
      </c>
      <c r="E114" s="58">
        <v>42125127000000</v>
      </c>
      <c r="F114" s="58">
        <v>44211216000000</v>
      </c>
    </row>
    <row r="115" spans="1:6" ht="15.75" customHeight="1" x14ac:dyDescent="0.2">
      <c r="A115" s="57" t="s">
        <v>2543</v>
      </c>
      <c r="B115" s="58">
        <v>36568706000000</v>
      </c>
      <c r="C115" s="58">
        <v>5503779000000</v>
      </c>
      <c r="D115" s="58">
        <v>6205281000000</v>
      </c>
      <c r="E115" s="58">
        <v>4058609000000</v>
      </c>
      <c r="F115" s="58">
        <v>5015530000000</v>
      </c>
    </row>
    <row r="116" spans="1:6" ht="15.75" customHeight="1" x14ac:dyDescent="0.2">
      <c r="A116" s="57" t="s">
        <v>2544</v>
      </c>
      <c r="B116" s="58">
        <v>7788000000</v>
      </c>
      <c r="C116" s="58">
        <v>7788000000</v>
      </c>
      <c r="D116" s="58">
        <v>8753000000</v>
      </c>
      <c r="E116" s="58">
        <v>8753000000</v>
      </c>
      <c r="F116" s="58">
        <v>8753000000</v>
      </c>
    </row>
    <row r="117" spans="1:6" ht="15.75" customHeight="1" x14ac:dyDescent="0.2">
      <c r="A117" s="57" t="s">
        <v>2545</v>
      </c>
      <c r="B117" s="58">
        <v>134355000000</v>
      </c>
      <c r="C117" s="58">
        <v>172219000000</v>
      </c>
      <c r="D117" s="58">
        <v>90732000000</v>
      </c>
      <c r="E117" s="58">
        <v>114483000000</v>
      </c>
      <c r="F117" s="58">
        <v>137277000000</v>
      </c>
    </row>
    <row r="118" spans="1:6" ht="15.75" customHeight="1" x14ac:dyDescent="0.2">
      <c r="A118" s="56" t="s">
        <v>2546</v>
      </c>
      <c r="B118" s="54">
        <v>6862293000000</v>
      </c>
      <c r="C118" s="54">
        <v>6187324000000</v>
      </c>
      <c r="D118" s="54">
        <v>5297319000000</v>
      </c>
      <c r="E118" s="54">
        <v>5266131000000</v>
      </c>
      <c r="F118" s="54">
        <v>4824169000000</v>
      </c>
    </row>
    <row r="119" spans="1:6" ht="15.75" customHeight="1" x14ac:dyDescent="0.2">
      <c r="A119" s="56" t="s">
        <v>2547</v>
      </c>
      <c r="B119" s="54">
        <v>6750875000000</v>
      </c>
      <c r="C119" s="54">
        <v>6075229000000</v>
      </c>
      <c r="D119" s="54">
        <v>5182226000000</v>
      </c>
      <c r="E119" s="54">
        <v>5150033000000</v>
      </c>
      <c r="F119" s="54">
        <v>4724321000000</v>
      </c>
    </row>
    <row r="120" spans="1:6" ht="15.75" customHeight="1" x14ac:dyDescent="0.2">
      <c r="A120" s="57" t="s">
        <v>2548</v>
      </c>
      <c r="B120" s="58">
        <v>6750875000000</v>
      </c>
      <c r="C120" s="58">
        <v>6075229000000</v>
      </c>
      <c r="D120" s="58">
        <v>5182226000000</v>
      </c>
      <c r="E120" s="58">
        <v>5150033000000</v>
      </c>
      <c r="F120" s="58">
        <v>4724321000000</v>
      </c>
    </row>
    <row r="121" spans="1:6" ht="15.75" customHeight="1" x14ac:dyDescent="0.2">
      <c r="A121" s="56" t="s">
        <v>2549</v>
      </c>
      <c r="B121" s="54">
        <v>111418000000</v>
      </c>
      <c r="C121" s="54">
        <v>112095000000</v>
      </c>
      <c r="D121" s="54">
        <v>115093000000</v>
      </c>
      <c r="E121" s="54">
        <v>116098000000</v>
      </c>
      <c r="F121" s="54">
        <v>99848000000</v>
      </c>
    </row>
    <row r="122" spans="1:6" ht="15.75" customHeight="1" x14ac:dyDescent="0.2">
      <c r="A122" s="56" t="s">
        <v>2550</v>
      </c>
      <c r="B122" s="54">
        <v>768483000000</v>
      </c>
      <c r="C122" s="54">
        <v>879123000000</v>
      </c>
      <c r="D122" s="54">
        <v>913936000000</v>
      </c>
      <c r="E122" s="54">
        <v>1004746000000</v>
      </c>
      <c r="F122" s="54">
        <v>996881000000</v>
      </c>
    </row>
    <row r="123" spans="1:6" ht="15.75" customHeight="1" x14ac:dyDescent="0.2">
      <c r="A123" s="57" t="s">
        <v>2551</v>
      </c>
      <c r="B123" s="58">
        <v>768483000000</v>
      </c>
      <c r="C123" s="58">
        <v>879123000000</v>
      </c>
      <c r="D123" s="58">
        <v>913936000000</v>
      </c>
      <c r="E123" s="58">
        <v>1004746000000</v>
      </c>
      <c r="F123" s="58">
        <v>996881000000</v>
      </c>
    </row>
    <row r="124" spans="1:6" ht="15.75" customHeight="1" x14ac:dyDescent="0.2">
      <c r="A124" s="56" t="s">
        <v>2552</v>
      </c>
      <c r="B124" s="54">
        <v>516143000000</v>
      </c>
      <c r="C124" s="54">
        <v>618913000000</v>
      </c>
      <c r="D124" s="54">
        <v>600613000000</v>
      </c>
      <c r="E124" s="54">
        <v>630713000000</v>
      </c>
      <c r="F124" s="54">
        <v>434143000000</v>
      </c>
    </row>
    <row r="125" spans="1:6" ht="15.75" customHeight="1" x14ac:dyDescent="0.2">
      <c r="A125" s="57" t="s">
        <v>2553</v>
      </c>
      <c r="B125" s="58">
        <v>516143000000</v>
      </c>
      <c r="C125" s="58">
        <v>618913000000</v>
      </c>
      <c r="D125" s="58">
        <v>600613000000</v>
      </c>
      <c r="E125" s="58">
        <v>630713000000</v>
      </c>
      <c r="F125" s="58">
        <v>434143000000</v>
      </c>
    </row>
    <row r="126" spans="1:6" ht="15.75" customHeight="1" x14ac:dyDescent="0.2">
      <c r="A126" s="57" t="s">
        <v>2554</v>
      </c>
      <c r="B126" s="58">
        <v>516143000000</v>
      </c>
      <c r="C126" s="58">
        <v>618913000000</v>
      </c>
      <c r="D126" s="58">
        <v>600613000000</v>
      </c>
      <c r="E126" s="58">
        <v>630713000000</v>
      </c>
      <c r="F126" s="58">
        <v>434143000000</v>
      </c>
    </row>
    <row r="127" spans="1:6" ht="15.75" customHeight="1" x14ac:dyDescent="0.2">
      <c r="A127" s="57" t="s">
        <v>2555</v>
      </c>
      <c r="B127" s="57" t="s">
        <v>84</v>
      </c>
      <c r="C127" s="57" t="s">
        <v>84</v>
      </c>
      <c r="D127" s="57" t="s">
        <v>84</v>
      </c>
      <c r="E127" s="57" t="s">
        <v>84</v>
      </c>
      <c r="F127" s="57" t="s">
        <v>84</v>
      </c>
    </row>
    <row r="128" spans="1:6" ht="15.75" customHeight="1" x14ac:dyDescent="0.2">
      <c r="A128" s="57" t="s">
        <v>2556</v>
      </c>
      <c r="B128" s="57" t="s">
        <v>84</v>
      </c>
      <c r="C128" s="57" t="s">
        <v>84</v>
      </c>
      <c r="D128" s="57" t="s">
        <v>84</v>
      </c>
      <c r="E128" s="57" t="s">
        <v>84</v>
      </c>
      <c r="F128" s="57" t="s">
        <v>84</v>
      </c>
    </row>
    <row r="129" spans="1:6" ht="15.75" customHeight="1" x14ac:dyDescent="0.2">
      <c r="A129" s="57" t="s">
        <v>2557</v>
      </c>
      <c r="B129" s="58">
        <v>9168257000000</v>
      </c>
      <c r="C129" s="58">
        <v>0</v>
      </c>
      <c r="D129" s="58">
        <v>0</v>
      </c>
      <c r="E129" s="57" t="s">
        <v>84</v>
      </c>
      <c r="F129" s="57" t="s">
        <v>84</v>
      </c>
    </row>
    <row r="130" spans="1:6" ht="15.75" customHeight="1" x14ac:dyDescent="0.2">
      <c r="A130" s="53" t="s">
        <v>2558</v>
      </c>
      <c r="B130" s="54">
        <v>79138044000000</v>
      </c>
      <c r="C130" s="54">
        <v>86632111000000</v>
      </c>
      <c r="D130" s="54">
        <v>93623038000000</v>
      </c>
      <c r="E130" s="54">
        <v>100464891000000</v>
      </c>
      <c r="F130" s="54">
        <v>108991283000000</v>
      </c>
    </row>
    <row r="131" spans="1:6" ht="15.75" customHeight="1" x14ac:dyDescent="0.2">
      <c r="A131" s="56" t="s">
        <v>2559</v>
      </c>
      <c r="B131" s="54">
        <v>42374298000000</v>
      </c>
      <c r="C131" s="54">
        <v>48264727000000</v>
      </c>
      <c r="D131" s="54">
        <v>53843836000000</v>
      </c>
      <c r="E131" s="54">
        <v>59193013000000</v>
      </c>
      <c r="F131" s="54">
        <v>65113504000000</v>
      </c>
    </row>
    <row r="132" spans="1:6" ht="15.75" customHeight="1" x14ac:dyDescent="0.2">
      <c r="A132" s="57" t="s">
        <v>2560</v>
      </c>
      <c r="B132" s="58">
        <v>1161775000000</v>
      </c>
      <c r="C132" s="58">
        <v>1161775000000</v>
      </c>
      <c r="D132" s="58">
        <v>1161775000000</v>
      </c>
      <c r="E132" s="58">
        <v>1161775000000</v>
      </c>
      <c r="F132" s="58">
        <v>1161775000000</v>
      </c>
    </row>
    <row r="133" spans="1:6" ht="15.75" customHeight="1" x14ac:dyDescent="0.2">
      <c r="A133" s="57" t="s">
        <v>2561</v>
      </c>
      <c r="B133" s="58">
        <v>1161775000000</v>
      </c>
      <c r="C133" s="58">
        <v>1161775000000</v>
      </c>
      <c r="D133" s="58">
        <v>1161775000000</v>
      </c>
      <c r="E133" s="58">
        <v>1161775000000</v>
      </c>
      <c r="F133" s="58">
        <v>1161775000000</v>
      </c>
    </row>
    <row r="134" spans="1:6" ht="15.75" customHeight="1" x14ac:dyDescent="0.2">
      <c r="A134" s="57" t="s">
        <v>2562</v>
      </c>
      <c r="B134" s="58">
        <v>878043000000</v>
      </c>
      <c r="C134" s="58">
        <v>878043000000</v>
      </c>
      <c r="D134" s="58">
        <v>878043000000</v>
      </c>
      <c r="E134" s="58">
        <v>878043000000</v>
      </c>
      <c r="F134" s="58">
        <v>878043000000</v>
      </c>
    </row>
    <row r="135" spans="1:6" ht="15.75" customHeight="1" x14ac:dyDescent="0.2">
      <c r="A135" s="57" t="s">
        <v>2563</v>
      </c>
      <c r="B135" s="58">
        <v>283732000000</v>
      </c>
      <c r="C135" s="58">
        <v>283732000000</v>
      </c>
      <c r="D135" s="58">
        <v>283732000000</v>
      </c>
      <c r="E135" s="58">
        <v>283732000000</v>
      </c>
      <c r="F135" s="58">
        <v>283732000000</v>
      </c>
    </row>
    <row r="136" spans="1:6" ht="15.75" customHeight="1" x14ac:dyDescent="0.2">
      <c r="A136" s="57" t="s">
        <v>2564</v>
      </c>
      <c r="B136" s="58">
        <v>30995800000000</v>
      </c>
      <c r="C136" s="58">
        <v>36730458000000</v>
      </c>
      <c r="D136" s="58">
        <v>41168161000000</v>
      </c>
      <c r="E136" s="58">
        <v>47029083000000</v>
      </c>
      <c r="F136" s="58">
        <v>53396455000000</v>
      </c>
    </row>
    <row r="137" spans="1:6" ht="15.75" customHeight="1" x14ac:dyDescent="0.2">
      <c r="A137" s="57" t="s">
        <v>2565</v>
      </c>
      <c r="B137" s="58">
        <v>3003740000000</v>
      </c>
      <c r="C137" s="58">
        <v>3368232000000</v>
      </c>
      <c r="D137" s="58">
        <v>4143308000000</v>
      </c>
      <c r="E137" s="58">
        <v>3508886000000</v>
      </c>
      <c r="F137" s="58">
        <v>3264439000000</v>
      </c>
    </row>
    <row r="138" spans="1:6" ht="15.75" customHeight="1" x14ac:dyDescent="0.2">
      <c r="A138" s="57" t="s">
        <v>2566</v>
      </c>
      <c r="B138" s="58">
        <v>120000000000</v>
      </c>
      <c r="C138" s="58">
        <v>125000000000</v>
      </c>
      <c r="D138" s="58">
        <v>130000000000</v>
      </c>
      <c r="E138" s="58">
        <v>135000000000</v>
      </c>
      <c r="F138" s="58">
        <v>140000000000</v>
      </c>
    </row>
    <row r="139" spans="1:6" ht="15.75" customHeight="1" x14ac:dyDescent="0.2">
      <c r="A139" s="57" t="s">
        <v>2567</v>
      </c>
      <c r="B139" s="58">
        <v>769848000000</v>
      </c>
      <c r="C139" s="58">
        <v>749982000000</v>
      </c>
      <c r="D139" s="58">
        <v>1388910000000</v>
      </c>
      <c r="E139" s="58">
        <v>833544000000</v>
      </c>
      <c r="F139" s="58">
        <v>1041894000000</v>
      </c>
    </row>
    <row r="140" spans="1:6" ht="15.75" customHeight="1" x14ac:dyDescent="0.2">
      <c r="A140" s="57" t="s">
        <v>2568</v>
      </c>
      <c r="B140" s="58">
        <v>2113892000000</v>
      </c>
      <c r="C140" s="58">
        <v>2493250000000</v>
      </c>
      <c r="D140" s="58">
        <v>2624398000000</v>
      </c>
      <c r="E140" s="58">
        <v>2540342000000</v>
      </c>
      <c r="F140" s="58">
        <v>2082545000000</v>
      </c>
    </row>
    <row r="141" spans="1:6" ht="15.75" customHeight="1" x14ac:dyDescent="0.2">
      <c r="A141" s="57" t="s">
        <v>2569</v>
      </c>
      <c r="B141" s="58">
        <v>7212983000000</v>
      </c>
      <c r="C141" s="58">
        <v>7004262000000</v>
      </c>
      <c r="D141" s="58">
        <v>7370592000000</v>
      </c>
      <c r="E141" s="58">
        <v>7493269000000</v>
      </c>
      <c r="F141" s="58">
        <v>7290835000000</v>
      </c>
    </row>
    <row r="142" spans="1:6" ht="15.75" customHeight="1" x14ac:dyDescent="0.2">
      <c r="A142" s="56" t="s">
        <v>2570</v>
      </c>
      <c r="B142" s="54">
        <v>36763746000000</v>
      </c>
      <c r="C142" s="54">
        <v>38367384000000</v>
      </c>
      <c r="D142" s="54">
        <v>39779202000000</v>
      </c>
      <c r="E142" s="54">
        <v>41271878000000</v>
      </c>
      <c r="F142" s="54">
        <v>43877779000000</v>
      </c>
    </row>
    <row r="143" spans="1:6" ht="15.75" customHeight="1" x14ac:dyDescent="0.2">
      <c r="A143" s="56" t="s">
        <v>2571</v>
      </c>
      <c r="B143" s="54">
        <v>53286284000000</v>
      </c>
      <c r="C143" s="54">
        <v>61780344000000</v>
      </c>
      <c r="D143" s="54">
        <v>66063975000000</v>
      </c>
      <c r="E143" s="54">
        <v>64458623000000</v>
      </c>
      <c r="F143" s="54">
        <v>70808340000000</v>
      </c>
    </row>
    <row r="144" spans="1:6" ht="15.75" customHeight="1" x14ac:dyDescent="0.2">
      <c r="A144" s="57" t="s">
        <v>2572</v>
      </c>
      <c r="B144" s="58">
        <v>16709790000000</v>
      </c>
      <c r="C144" s="58">
        <v>17325033000000</v>
      </c>
      <c r="D144" s="58">
        <v>16891008000000</v>
      </c>
      <c r="E144" s="58">
        <v>18274887000000</v>
      </c>
      <c r="F144" s="58">
        <v>21572841000000</v>
      </c>
    </row>
    <row r="145" spans="1:6" ht="15.75" customHeight="1" x14ac:dyDescent="0.2">
      <c r="A145" s="57" t="s">
        <v>2573</v>
      </c>
      <c r="B145" s="58">
        <v>34962222000000</v>
      </c>
      <c r="C145" s="58">
        <v>4918371000000</v>
      </c>
      <c r="D145" s="58">
        <v>6169843000000</v>
      </c>
      <c r="E145" s="58">
        <v>4058609000000</v>
      </c>
      <c r="F145" s="58">
        <v>5024283000000</v>
      </c>
    </row>
    <row r="146" spans="1:6" ht="15.75" customHeight="1" x14ac:dyDescent="0.2">
      <c r="A146" s="57" t="s">
        <v>2574</v>
      </c>
      <c r="B146" s="58">
        <v>1614272000000</v>
      </c>
      <c r="C146" s="58">
        <v>39536940000000</v>
      </c>
      <c r="D146" s="58">
        <v>43003124000000</v>
      </c>
      <c r="E146" s="58">
        <v>42125609000000</v>
      </c>
      <c r="F146" s="58">
        <v>44211216000000</v>
      </c>
    </row>
    <row r="147" spans="1:6" ht="15.75" customHeight="1" x14ac:dyDescent="0.2">
      <c r="A147" s="57" t="s">
        <v>2575</v>
      </c>
      <c r="B147" s="57" t="s">
        <v>84</v>
      </c>
      <c r="C147" s="57" t="s">
        <v>84</v>
      </c>
      <c r="D147" s="57" t="s">
        <v>84</v>
      </c>
      <c r="E147" s="58">
        <v>-482000000</v>
      </c>
      <c r="F147" s="57" t="s">
        <v>84</v>
      </c>
    </row>
    <row r="148" spans="1:6" ht="15.75" customHeight="1" x14ac:dyDescent="0.2">
      <c r="A148" s="56" t="s">
        <v>2576</v>
      </c>
      <c r="B148" s="54">
        <v>234142000000</v>
      </c>
      <c r="C148" s="54">
        <v>250224000000</v>
      </c>
      <c r="D148" s="54">
        <v>185082000000</v>
      </c>
      <c r="E148" s="54">
        <v>234042000000</v>
      </c>
      <c r="F148" s="54">
        <v>217064000000</v>
      </c>
    </row>
    <row r="149" spans="1:6" ht="15.75" customHeight="1" x14ac:dyDescent="0.2">
      <c r="A149" s="57" t="s">
        <v>2577</v>
      </c>
      <c r="B149" s="58">
        <v>99787000000</v>
      </c>
      <c r="C149" s="58">
        <v>78005000000</v>
      </c>
      <c r="D149" s="58">
        <v>94350000000</v>
      </c>
      <c r="E149" s="58">
        <v>119559000000</v>
      </c>
      <c r="F149" s="58">
        <v>79787000000</v>
      </c>
    </row>
    <row r="150" spans="1:6" ht="15.75" customHeight="1" x14ac:dyDescent="0.2">
      <c r="A150" s="57" t="s">
        <v>2578</v>
      </c>
      <c r="B150" s="58">
        <v>134355000000</v>
      </c>
      <c r="C150" s="58">
        <v>172219000000</v>
      </c>
      <c r="D150" s="58">
        <v>90732000000</v>
      </c>
      <c r="E150" s="58">
        <v>114483000000</v>
      </c>
      <c r="F150" s="58">
        <v>137277000000</v>
      </c>
    </row>
    <row r="151" spans="1:6" ht="15.75" customHeight="1" x14ac:dyDescent="0.2">
      <c r="A151" s="56" t="s">
        <v>2579</v>
      </c>
      <c r="B151" s="54">
        <v>14445562000000</v>
      </c>
      <c r="C151" s="54">
        <v>41268804000000</v>
      </c>
      <c r="D151" s="54">
        <v>43663979000000</v>
      </c>
      <c r="E151" s="54">
        <v>41210786000000</v>
      </c>
      <c r="F151" s="54">
        <v>41643864000000</v>
      </c>
    </row>
    <row r="152" spans="1:6" ht="15.75" customHeight="1" x14ac:dyDescent="0.2">
      <c r="A152" s="57" t="s">
        <v>2580</v>
      </c>
      <c r="B152" s="58">
        <v>10842014000000</v>
      </c>
      <c r="C152" s="58">
        <v>13200166000000</v>
      </c>
      <c r="D152" s="58">
        <v>14286379000000</v>
      </c>
      <c r="E152" s="58">
        <v>14422545000000</v>
      </c>
      <c r="F152" s="58">
        <v>15652282000000</v>
      </c>
    </row>
    <row r="153" spans="1:6" ht="15.75" customHeight="1" x14ac:dyDescent="0.2">
      <c r="A153" s="57" t="s">
        <v>2581</v>
      </c>
      <c r="B153" s="58">
        <v>3468002000000</v>
      </c>
      <c r="C153" s="58">
        <v>6921300000000</v>
      </c>
      <c r="D153" s="58">
        <v>8319894000000</v>
      </c>
      <c r="E153" s="58">
        <v>7818468000000</v>
      </c>
      <c r="F153" s="58">
        <v>7849543000000</v>
      </c>
    </row>
    <row r="154" spans="1:6" ht="15.75" customHeight="1" x14ac:dyDescent="0.2">
      <c r="A154" s="57" t="s">
        <v>2582</v>
      </c>
      <c r="B154" s="58">
        <v>135546000000</v>
      </c>
      <c r="C154" s="58">
        <v>21147338000000</v>
      </c>
      <c r="D154" s="58">
        <v>21057706000000</v>
      </c>
      <c r="E154" s="58">
        <v>18969773000000</v>
      </c>
      <c r="F154" s="58">
        <v>18142039000000</v>
      </c>
    </row>
    <row r="155" spans="1:6" ht="15.75" customHeight="1" x14ac:dyDescent="0.2">
      <c r="A155" s="56" t="s">
        <v>2583</v>
      </c>
      <c r="B155" s="54">
        <v>234142000000</v>
      </c>
      <c r="C155" s="54">
        <v>250224000000</v>
      </c>
      <c r="D155" s="54">
        <v>185082000000</v>
      </c>
      <c r="E155" s="54">
        <v>234042000000</v>
      </c>
      <c r="F155" s="54">
        <v>217064000000</v>
      </c>
    </row>
    <row r="156" spans="1:6" ht="15.75" customHeight="1" x14ac:dyDescent="0.2">
      <c r="A156" s="57" t="s">
        <v>2584</v>
      </c>
      <c r="B156" s="58">
        <v>99787000000</v>
      </c>
      <c r="C156" s="58">
        <v>78005000000</v>
      </c>
      <c r="D156" s="58">
        <v>94350000000</v>
      </c>
      <c r="E156" s="58">
        <v>119559000000</v>
      </c>
      <c r="F156" s="58">
        <v>79787000000</v>
      </c>
    </row>
    <row r="157" spans="1:6" ht="15.75" customHeight="1" x14ac:dyDescent="0.2">
      <c r="A157" s="57" t="s">
        <v>2585</v>
      </c>
      <c r="B157" s="58">
        <v>134355000000</v>
      </c>
      <c r="C157" s="58">
        <v>172219000000</v>
      </c>
      <c r="D157" s="58">
        <v>90732000000</v>
      </c>
      <c r="E157" s="58">
        <v>114483000000</v>
      </c>
      <c r="F157" s="58">
        <v>137277000000</v>
      </c>
    </row>
    <row r="158" spans="1:6" ht="15.75" customHeight="1" x14ac:dyDescent="0.2">
      <c r="A158" s="56" t="s">
        <v>2586</v>
      </c>
      <c r="B158" s="54">
        <v>67965988000000</v>
      </c>
      <c r="C158" s="54">
        <v>103299372000000</v>
      </c>
      <c r="D158" s="54">
        <v>109913036000000</v>
      </c>
      <c r="E158" s="54">
        <v>105903451000000</v>
      </c>
      <c r="F158" s="54">
        <v>112669268000000</v>
      </c>
    </row>
    <row r="159" spans="1:6" ht="15.75" customHeight="1" x14ac:dyDescent="0.2">
      <c r="A159" s="57" t="s">
        <v>2587</v>
      </c>
      <c r="B159" s="58">
        <v>27651591000000</v>
      </c>
      <c r="C159" s="58">
        <v>30603204000000</v>
      </c>
      <c r="D159" s="58">
        <v>31271737000000</v>
      </c>
      <c r="E159" s="58">
        <v>32816991000000</v>
      </c>
      <c r="F159" s="58">
        <v>37304910000000</v>
      </c>
    </row>
    <row r="160" spans="1:6" ht="15.75" customHeight="1" x14ac:dyDescent="0.2">
      <c r="A160" s="57" t="s">
        <v>2588</v>
      </c>
      <c r="B160" s="58">
        <v>38564579000000</v>
      </c>
      <c r="C160" s="58">
        <v>12011890000000</v>
      </c>
      <c r="D160" s="58">
        <v>14580469000000</v>
      </c>
      <c r="E160" s="58">
        <v>11991560000000</v>
      </c>
      <c r="F160" s="58">
        <v>13011103000000</v>
      </c>
    </row>
    <row r="161" spans="1:6" ht="15.75" customHeight="1" x14ac:dyDescent="0.2">
      <c r="A161" s="57" t="s">
        <v>2589</v>
      </c>
      <c r="B161" s="58">
        <v>1749818000000</v>
      </c>
      <c r="C161" s="58">
        <v>60684278000000</v>
      </c>
      <c r="D161" s="58">
        <v>64060830000000</v>
      </c>
      <c r="E161" s="58">
        <v>61095382000000</v>
      </c>
      <c r="F161" s="58">
        <v>62353255000000</v>
      </c>
    </row>
    <row r="162" spans="1:6" ht="15.75" customHeight="1" x14ac:dyDescent="0.2">
      <c r="A162" s="57" t="s">
        <v>2590</v>
      </c>
      <c r="B162" s="57" t="s">
        <v>84</v>
      </c>
      <c r="C162" s="57" t="s">
        <v>84</v>
      </c>
      <c r="D162" s="57" t="s">
        <v>84</v>
      </c>
      <c r="E162" s="58">
        <v>-482000000</v>
      </c>
      <c r="F162" s="57" t="s">
        <v>84</v>
      </c>
    </row>
    <row r="163" spans="1:6" ht="15.75" customHeight="1" x14ac:dyDescent="0.2">
      <c r="A163" s="57" t="s">
        <v>2371</v>
      </c>
      <c r="B163" s="57"/>
      <c r="C163" s="57"/>
      <c r="D163" s="57"/>
      <c r="E163" s="57"/>
      <c r="F163" s="57"/>
    </row>
    <row r="164" spans="1:6" ht="15.75" customHeight="1" x14ac:dyDescent="0.2"/>
    <row r="165" spans="1:6" ht="15.75" customHeight="1" x14ac:dyDescent="0.2"/>
    <row r="166" spans="1:6" ht="15.75" customHeight="1" x14ac:dyDescent="0.2"/>
    <row r="167" spans="1:6" ht="15.75" customHeight="1" x14ac:dyDescent="0.2"/>
    <row r="168" spans="1:6" ht="15.75" customHeight="1" x14ac:dyDescent="0.2"/>
    <row r="169" spans="1:6" ht="15.75" customHeight="1" x14ac:dyDescent="0.2"/>
    <row r="170" spans="1:6" ht="15.75" customHeight="1" x14ac:dyDescent="0.2"/>
    <row r="171" spans="1:6" ht="15.75" customHeight="1" x14ac:dyDescent="0.2"/>
    <row r="172" spans="1:6" ht="15.75" customHeight="1" x14ac:dyDescent="0.2"/>
    <row r="173" spans="1:6" ht="15.75" customHeight="1" x14ac:dyDescent="0.2"/>
    <row r="174" spans="1:6" ht="15.75" customHeight="1" x14ac:dyDescent="0.2"/>
    <row r="175" spans="1:6" ht="15.75" customHeight="1" x14ac:dyDescent="0.2"/>
    <row r="176" spans="1: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2" baseType="variant">
      <vt:variant>
        <vt:lpstr>Lembar kerja</vt:lpstr>
      </vt:variant>
      <vt:variant>
        <vt:i4>6</vt:i4>
      </vt:variant>
    </vt:vector>
  </HeadingPairs>
  <TitlesOfParts>
    <vt:vector size="6" baseType="lpstr">
      <vt:lpstr>TUGAS</vt:lpstr>
      <vt:lpstr>IDX Financial Data and Ratio</vt:lpstr>
      <vt:lpstr>Summary Financial Ratio by Indu</vt:lpstr>
      <vt:lpstr>Income Statement</vt:lpstr>
      <vt:lpstr>Cashflow Statement</vt:lpstr>
      <vt:lpstr>Balance 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christeven hartanto</dc:creator>
  <cp:lastModifiedBy>pakuy kuya</cp:lastModifiedBy>
  <dcterms:created xsi:type="dcterms:W3CDTF">2025-10-14T14:21:56Z</dcterms:created>
  <dcterms:modified xsi:type="dcterms:W3CDTF">2025-11-15T00:04:33Z</dcterms:modified>
</cp:coreProperties>
</file>