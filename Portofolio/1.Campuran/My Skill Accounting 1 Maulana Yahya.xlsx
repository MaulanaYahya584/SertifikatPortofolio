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xr:revisionPtr revIDLastSave="0" documentId="8_{F15FBABA-D8DD-8148-98A3-EBAA4B90A658}" xr6:coauthVersionLast="47" xr6:coauthVersionMax="47" xr10:uidLastSave="{00000000-0000-0000-0000-000000000000}"/>
  <bookViews>
    <workbookView xWindow="0" yWindow="0" windowWidth="0" windowHeight="0" activeTab="8" xr2:uid="{00000000-000D-0000-FFFF-FFFF00000000}"/>
  </bookViews>
  <sheets>
    <sheet name="Day 1.1 Informasi" sheetId="1" r:id="rId1"/>
    <sheet name="Day 1.2 Jurnal Umum" sheetId="2" r:id="rId2"/>
    <sheet name="Day 1.3 Buku Besar" sheetId="3" r:id="rId3"/>
    <sheet name="Day 2.1 Informasi" sheetId="4" r:id="rId4"/>
    <sheet name="Day 2.2 Jurnal Penyesuian" sheetId="5" r:id="rId5"/>
    <sheet name="Day 2.3 Neraca Lajur" sheetId="6" r:id="rId6"/>
    <sheet name="Day 2.4 Laporan" sheetId="7" r:id="rId7"/>
    <sheet name="Day 3.1 Analis Laporan Keuangan" sheetId="8" r:id="rId8"/>
    <sheet name="Day 3.2 Analis Laporan Keuangan" sheetId="9" r:id="rId9"/>
    <sheet name="Day 4.1 Akuntansi Biaya" sheetId="10" r:id="rId10"/>
    <sheet name="Day 4 .2 Akuntansi Biaya" sheetId="11" r:id="rId11"/>
    <sheet name="Day 5.1 PPh 21" sheetId="12" r:id="rId12"/>
    <sheet name="Day 5.2 PPh 21" sheetId="13" r:id="rId13"/>
    <sheet name="Day 6.1 PPh Badan" sheetId="14" r:id="rId14"/>
    <sheet name="Day 6.2 PPH Badan" sheetId="15" r:id="rId15"/>
    <sheet name="Day 7 Pengantar Audit" sheetId="16" r:id="rId16"/>
    <sheet name="Day 8 Trial Ballance" sheetId="17" r:id="rId17"/>
    <sheet name="Neraca Saldo" sheetId="18" state="hidden" r:id="rId18"/>
  </sheets>
  <definedNames>
    <definedName name="_xlnm._FilterDatabase" localSheetId="1" hidden="1">'Day 1.2 Jurnal Umum'!$A$6:$E$37</definedName>
    <definedName name="_xlnm._FilterDatabase" localSheetId="4" hidden="1">'Day 2.2 Jurnal Penyesuian'!$A$6:$E$16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3" l="1"/>
  <c r="E68" i="3"/>
  <c r="G68" i="3"/>
  <c r="G69" i="3"/>
  <c r="D11" i="18"/>
  <c r="G80" i="3"/>
  <c r="D12" i="18"/>
  <c r="E102" i="3"/>
  <c r="E101" i="3"/>
  <c r="G101" i="3"/>
  <c r="G102" i="3"/>
  <c r="D14" i="18"/>
  <c r="D17" i="18"/>
  <c r="F14" i="3"/>
  <c r="C6" i="18"/>
  <c r="F25" i="3"/>
  <c r="C7" i="18"/>
  <c r="D35" i="3"/>
  <c r="F35" i="3"/>
  <c r="C8" i="18"/>
  <c r="D46" i="3"/>
  <c r="F46" i="3"/>
  <c r="C9" i="18"/>
  <c r="D57" i="3"/>
  <c r="F57" i="3"/>
  <c r="C10" i="18"/>
  <c r="D90" i="3"/>
  <c r="F90" i="3"/>
  <c r="C13" i="18"/>
  <c r="D112" i="3"/>
  <c r="F112" i="3"/>
  <c r="C15" i="18"/>
  <c r="C16" i="18"/>
  <c r="C17" i="18"/>
  <c r="B16" i="18"/>
  <c r="A16" i="18"/>
  <c r="B15" i="18"/>
  <c r="A15" i="18"/>
  <c r="B14" i="18"/>
  <c r="A14" i="18"/>
  <c r="B13" i="18"/>
  <c r="A13" i="18"/>
  <c r="B12" i="18"/>
  <c r="A12" i="18"/>
  <c r="B11" i="18"/>
  <c r="A11" i="18"/>
  <c r="B10" i="18"/>
  <c r="A10" i="18"/>
  <c r="B9" i="18"/>
  <c r="A9" i="18"/>
  <c r="B8" i="18"/>
  <c r="A8" i="18"/>
  <c r="B7" i="18"/>
  <c r="A7" i="18"/>
  <c r="B6" i="18"/>
  <c r="A6" i="18"/>
  <c r="C26" i="17"/>
  <c r="C27" i="17"/>
  <c r="C28" i="17"/>
  <c r="C29" i="17"/>
  <c r="C30" i="17"/>
  <c r="B30" i="17"/>
  <c r="C20" i="17"/>
  <c r="B21" i="17"/>
  <c r="C21" i="17"/>
  <c r="C17" i="17"/>
  <c r="C24" i="17"/>
  <c r="B24" i="17"/>
  <c r="C23" i="17"/>
  <c r="C22" i="17"/>
  <c r="C3" i="17"/>
  <c r="C5" i="17"/>
  <c r="C6" i="17"/>
  <c r="C7" i="17"/>
  <c r="C9" i="17"/>
  <c r="C10" i="17"/>
  <c r="C11" i="17"/>
  <c r="C12" i="17"/>
  <c r="C13" i="17"/>
  <c r="C14" i="17"/>
  <c r="C15" i="17"/>
  <c r="B10" i="17"/>
  <c r="B15" i="17"/>
  <c r="B57" i="16"/>
  <c r="B39" i="15"/>
  <c r="B46" i="15"/>
  <c r="B47" i="15"/>
  <c r="B48" i="15"/>
  <c r="B41" i="15"/>
  <c r="D25" i="14"/>
  <c r="D26" i="14"/>
  <c r="D27" i="14"/>
  <c r="D28" i="14"/>
  <c r="D29" i="14"/>
  <c r="D30" i="14"/>
  <c r="D31" i="14"/>
  <c r="D32" i="14"/>
  <c r="D33" i="14"/>
  <c r="D34" i="14"/>
  <c r="D35" i="14"/>
  <c r="D36" i="14"/>
  <c r="D37" i="14"/>
  <c r="B33" i="13"/>
  <c r="C25" i="13"/>
  <c r="C26" i="13"/>
  <c r="C31" i="13"/>
  <c r="C32" i="13"/>
  <c r="A34" i="13"/>
  <c r="B34" i="13"/>
  <c r="C35" i="13"/>
  <c r="C36" i="13"/>
  <c r="C37" i="13"/>
  <c r="D13" i="13"/>
  <c r="D6" i="10"/>
  <c r="D7" i="10"/>
  <c r="D8" i="11"/>
  <c r="E9" i="11"/>
  <c r="D8" i="10"/>
  <c r="D9" i="10"/>
  <c r="D11" i="11"/>
  <c r="E12" i="11"/>
  <c r="D15" i="10"/>
  <c r="D16" i="10"/>
  <c r="D17" i="10"/>
  <c r="D15" i="11"/>
  <c r="E16" i="11"/>
  <c r="D20" i="10"/>
  <c r="D21" i="10"/>
  <c r="D22" i="10"/>
  <c r="D18" i="11"/>
  <c r="E19" i="11"/>
  <c r="D25" i="10"/>
  <c r="D22" i="11"/>
  <c r="D23" i="11"/>
  <c r="D24" i="11"/>
  <c r="D25" i="11"/>
  <c r="E26" i="11"/>
  <c r="E29" i="11"/>
  <c r="H35" i="11"/>
  <c r="E33" i="11"/>
  <c r="I38" i="11" a="1"/>
  <c r="I38" i="11"/>
  <c r="I39" i="11"/>
  <c r="I40" i="11"/>
  <c r="I42" i="11"/>
  <c r="E38" i="11"/>
  <c r="D32" i="11"/>
  <c r="D41" i="11"/>
  <c r="E42" i="11"/>
  <c r="H46" i="11"/>
  <c r="H47" i="11"/>
  <c r="B44" i="10"/>
  <c r="D35" i="11"/>
  <c r="H48" i="11"/>
  <c r="H50" i="11"/>
  <c r="J48" i="11"/>
  <c r="J50" i="11"/>
  <c r="K50" i="11"/>
  <c r="E45" i="11"/>
  <c r="E51" i="11"/>
  <c r="E53" i="11"/>
  <c r="D28" i="11"/>
  <c r="D44" i="11"/>
  <c r="D48" i="11"/>
  <c r="D53" i="11"/>
  <c r="B42" i="11"/>
  <c r="G40" i="11"/>
  <c r="G39" i="11"/>
  <c r="G38" i="11"/>
  <c r="B35" i="11"/>
  <c r="B28" i="11"/>
  <c r="D27" i="10"/>
  <c r="D30" i="10"/>
  <c r="D31" i="10"/>
  <c r="D14" i="10"/>
  <c r="D19" i="10"/>
  <c r="C14" i="10"/>
  <c r="C19" i="10"/>
  <c r="B14" i="10"/>
  <c r="B19" i="10"/>
  <c r="D10" i="10"/>
  <c r="B29" i="9"/>
  <c r="C29" i="9"/>
  <c r="E29" i="9"/>
  <c r="D29" i="9"/>
  <c r="B28" i="9"/>
  <c r="C28" i="9"/>
  <c r="E28" i="9"/>
  <c r="D28" i="9"/>
  <c r="B27" i="9"/>
  <c r="C27" i="9"/>
  <c r="H27" i="9"/>
  <c r="E27" i="9"/>
  <c r="D27" i="9"/>
  <c r="B7" i="9"/>
  <c r="C7" i="9"/>
  <c r="E7" i="9"/>
  <c r="D7" i="9"/>
  <c r="B6" i="9"/>
  <c r="C6" i="9"/>
  <c r="E6" i="9"/>
  <c r="D6" i="9"/>
  <c r="B5" i="9"/>
  <c r="C5" i="9"/>
  <c r="E5" i="9"/>
  <c r="D5" i="9"/>
  <c r="E13" i="6"/>
  <c r="I13" i="6"/>
  <c r="M13" i="6"/>
  <c r="H18" i="7"/>
  <c r="E14" i="6"/>
  <c r="G14" i="6"/>
  <c r="I14" i="6"/>
  <c r="M14" i="6"/>
  <c r="H19" i="7"/>
  <c r="H21" i="7"/>
  <c r="E15" i="6"/>
  <c r="I15" i="6"/>
  <c r="M15" i="6"/>
  <c r="E17" i="6"/>
  <c r="I17" i="6"/>
  <c r="K17" i="6"/>
  <c r="C3" i="7"/>
  <c r="D18" i="6"/>
  <c r="H18" i="6"/>
  <c r="J18" i="6"/>
  <c r="C4" i="7"/>
  <c r="C5" i="7"/>
  <c r="D19" i="6"/>
  <c r="F19" i="6"/>
  <c r="H19" i="6"/>
  <c r="J19" i="6"/>
  <c r="B9" i="7"/>
  <c r="D20" i="6"/>
  <c r="F20" i="6"/>
  <c r="H20" i="6"/>
  <c r="J20" i="6"/>
  <c r="B10" i="7"/>
  <c r="F21" i="6"/>
  <c r="H21" i="6"/>
  <c r="J21" i="6"/>
  <c r="B11" i="7"/>
  <c r="F22" i="6"/>
  <c r="H22" i="6"/>
  <c r="J22" i="6"/>
  <c r="B12" i="7"/>
  <c r="C13" i="7"/>
  <c r="C15" i="7"/>
  <c r="F7" i="7"/>
  <c r="E16" i="6"/>
  <c r="I16" i="6"/>
  <c r="M16" i="6"/>
  <c r="F6" i="7"/>
  <c r="H24" i="7"/>
  <c r="H27" i="7"/>
  <c r="H28" i="7"/>
  <c r="D6" i="6"/>
  <c r="H6" i="6"/>
  <c r="L6" i="6"/>
  <c r="F18" i="7"/>
  <c r="D7" i="6"/>
  <c r="H7" i="6"/>
  <c r="L7" i="6"/>
  <c r="F19" i="7"/>
  <c r="D8" i="6"/>
  <c r="H8" i="6"/>
  <c r="L8" i="6"/>
  <c r="F20" i="7"/>
  <c r="D10" i="6"/>
  <c r="G10" i="6"/>
  <c r="H10" i="6"/>
  <c r="L10" i="6"/>
  <c r="F22" i="7"/>
  <c r="D11" i="6"/>
  <c r="H11" i="6"/>
  <c r="L11" i="6"/>
  <c r="F23" i="7"/>
  <c r="E12" i="6"/>
  <c r="G12" i="6"/>
  <c r="I12" i="6"/>
  <c r="M12" i="6"/>
  <c r="F24" i="7"/>
  <c r="F28" i="7"/>
  <c r="G24" i="7"/>
  <c r="E24" i="7"/>
  <c r="E23" i="7"/>
  <c r="E22" i="7"/>
  <c r="E21" i="7"/>
  <c r="E20" i="7"/>
  <c r="G19" i="7"/>
  <c r="E19" i="7"/>
  <c r="G18" i="7"/>
  <c r="E18" i="7"/>
  <c r="A12" i="7"/>
  <c r="A11" i="7"/>
  <c r="G3" i="7"/>
  <c r="G9" i="7"/>
  <c r="G10" i="7"/>
  <c r="A10" i="7"/>
  <c r="A9" i="7"/>
  <c r="M6" i="6"/>
  <c r="M7" i="6"/>
  <c r="M8" i="6"/>
  <c r="M9" i="6"/>
  <c r="M10" i="6"/>
  <c r="M11" i="6"/>
  <c r="M23" i="6"/>
  <c r="D9" i="6"/>
  <c r="G9" i="6"/>
  <c r="H9" i="6"/>
  <c r="L9" i="6"/>
  <c r="L12" i="6"/>
  <c r="L13" i="6"/>
  <c r="L14" i="6"/>
  <c r="L15" i="6"/>
  <c r="L16" i="6"/>
  <c r="L23" i="6"/>
  <c r="M24" i="6"/>
  <c r="M25" i="6"/>
  <c r="L25" i="6"/>
  <c r="K18" i="6"/>
  <c r="K19" i="6"/>
  <c r="K20" i="6"/>
  <c r="K21" i="6"/>
  <c r="K22" i="6"/>
  <c r="K23" i="6"/>
  <c r="K25" i="6"/>
  <c r="J17" i="6"/>
  <c r="J23" i="6"/>
  <c r="J24" i="6"/>
  <c r="J25" i="6"/>
  <c r="I6" i="6"/>
  <c r="I7" i="6"/>
  <c r="I8" i="6"/>
  <c r="I9" i="6"/>
  <c r="I10" i="6"/>
  <c r="I11" i="6"/>
  <c r="I18" i="6"/>
  <c r="I19" i="6"/>
  <c r="I20" i="6"/>
  <c r="I21" i="6"/>
  <c r="I22" i="6"/>
  <c r="I23" i="6"/>
  <c r="I25" i="6"/>
  <c r="H12" i="6"/>
  <c r="H13" i="6"/>
  <c r="H14" i="6"/>
  <c r="H15" i="6"/>
  <c r="H16" i="6"/>
  <c r="H17" i="6"/>
  <c r="H23" i="6"/>
  <c r="H25" i="6"/>
  <c r="G23" i="6"/>
  <c r="G25" i="6"/>
  <c r="F23" i="6"/>
  <c r="F25" i="6"/>
  <c r="E23" i="6"/>
  <c r="E25" i="6"/>
  <c r="D23" i="6"/>
  <c r="D25" i="6"/>
  <c r="E16" i="5"/>
  <c r="D16" i="5"/>
  <c r="C14" i="5"/>
  <c r="C13" i="5"/>
  <c r="A9" i="5"/>
  <c r="A11" i="5"/>
  <c r="A13" i="5"/>
  <c r="C12" i="5"/>
  <c r="C11" i="5"/>
  <c r="D19" i="4"/>
  <c r="C19" i="4"/>
  <c r="F120" i="3"/>
  <c r="B120" i="3"/>
  <c r="F115" i="3"/>
  <c r="F114" i="3"/>
  <c r="F113" i="3"/>
  <c r="C35" i="3"/>
  <c r="C46" i="3"/>
  <c r="C57" i="3"/>
  <c r="C69" i="3"/>
  <c r="C79" i="3"/>
  <c r="C90" i="3"/>
  <c r="C101" i="3"/>
  <c r="C102" i="3"/>
  <c r="C112" i="3"/>
  <c r="B35" i="3"/>
  <c r="B46" i="3"/>
  <c r="B57" i="3"/>
  <c r="B68" i="3"/>
  <c r="B79" i="3"/>
  <c r="B90" i="3"/>
  <c r="B101" i="3"/>
  <c r="B112" i="3"/>
  <c r="A112" i="3"/>
  <c r="F109" i="3"/>
  <c r="B109" i="3"/>
  <c r="G104" i="3"/>
  <c r="G103" i="3"/>
  <c r="A102" i="3"/>
  <c r="A101" i="3"/>
  <c r="F98" i="3"/>
  <c r="B98" i="3"/>
  <c r="F93" i="3"/>
  <c r="F92" i="3"/>
  <c r="F91" i="3"/>
  <c r="A90" i="3"/>
  <c r="F87" i="3"/>
  <c r="B87" i="3"/>
  <c r="G82" i="3"/>
  <c r="G81" i="3"/>
  <c r="E79" i="3"/>
  <c r="G79" i="3"/>
  <c r="A79" i="3"/>
  <c r="F76" i="3"/>
  <c r="B76" i="3"/>
  <c r="G71" i="3"/>
  <c r="G70" i="3"/>
  <c r="A69" i="3"/>
  <c r="C68" i="3"/>
  <c r="A68" i="3"/>
  <c r="F65" i="3"/>
  <c r="B65" i="3"/>
  <c r="F60" i="3"/>
  <c r="F59" i="3"/>
  <c r="F58" i="3"/>
  <c r="A57" i="3"/>
  <c r="F54" i="3"/>
  <c r="B54" i="3"/>
  <c r="F50" i="3"/>
  <c r="F49" i="3"/>
  <c r="F48" i="3"/>
  <c r="F47" i="3"/>
  <c r="A46" i="3"/>
  <c r="F43" i="3"/>
  <c r="B43" i="3"/>
  <c r="F39" i="3"/>
  <c r="F38" i="3"/>
  <c r="F37" i="3"/>
  <c r="F36" i="3"/>
  <c r="A35" i="3"/>
  <c r="F32" i="3"/>
  <c r="B32" i="3"/>
  <c r="F28" i="3"/>
  <c r="F27" i="3"/>
  <c r="F26" i="3"/>
  <c r="C25" i="3"/>
  <c r="A25" i="3"/>
  <c r="D24" i="3" a="1"/>
  <c r="D24" i="3"/>
  <c r="F24" i="3"/>
  <c r="C24" i="3"/>
  <c r="A24" i="3"/>
  <c r="F21" i="3"/>
  <c r="B21" i="3"/>
  <c r="F18" i="3"/>
  <c r="F17" i="3"/>
  <c r="F16" i="3"/>
  <c r="F15" i="3"/>
  <c r="C14" i="3"/>
  <c r="A14" i="3"/>
  <c r="F13" i="3"/>
  <c r="C13" i="3"/>
  <c r="A13" i="3"/>
  <c r="F12" i="3"/>
  <c r="C12" i="3"/>
  <c r="A12" i="3"/>
  <c r="F11" i="3"/>
  <c r="C11" i="3"/>
  <c r="A11" i="3"/>
  <c r="F10" i="3"/>
  <c r="C10" i="3"/>
  <c r="A10" i="3"/>
  <c r="F9" i="3"/>
  <c r="C9" i="3"/>
  <c r="A9" i="3"/>
  <c r="F8" i="3"/>
  <c r="C8" i="3"/>
  <c r="D7" i="3" a="1"/>
  <c r="D7" i="3"/>
  <c r="F7" i="3"/>
  <c r="A7" i="3"/>
  <c r="F4" i="3"/>
  <c r="B4" i="3"/>
  <c r="E37" i="2"/>
  <c r="D37" i="2"/>
  <c r="A33" i="2"/>
  <c r="A30" i="2"/>
  <c r="A27" i="2"/>
  <c r="A24" i="2"/>
  <c r="A21" i="2"/>
  <c r="A18" i="2"/>
  <c r="A15" i="2"/>
  <c r="A12" i="2"/>
  <c r="A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500-000001000000}">
      <text>
        <r>
          <rPr>
            <sz val="11"/>
            <color rgb="FF000000"/>
            <rFont val="Calibri"/>
            <scheme val="minor"/>
          </rPr>
          <t>======
ID#AAABTdDildg
Adelia Sulistyani    (2024-08-12 02:27:48)
Data ini diambil dari Sheet Informasi, Neraca Saldo sebelum Penyesuaian, yang merupakan neraca saldo rekapan dari transaksi selama bulan Januari dan belum termasuk penyesuaian</t>
        </r>
      </text>
    </comment>
    <comment ref="F4" authorId="0" shapeId="0" xr:uid="{00000000-0006-0000-0500-000002000000}">
      <text>
        <r>
          <rPr>
            <sz val="11"/>
            <color rgb="FF000000"/>
            <rFont val="Calibri"/>
            <scheme val="minor"/>
          </rPr>
          <t>======
ID#AAABTdDildk
Adelia Sulistyani    (2024-08-12 02:28:39)
Data ini diambil dari Sheet Jurnal Umum ya. Dipindahkan saja sesuai dengan kode akun dan posisinya, di debit atau di kredit</t>
        </r>
      </text>
    </comment>
    <comment ref="H4" authorId="0" shapeId="0" xr:uid="{00000000-0006-0000-0500-000003000000}">
      <text>
        <r>
          <rPr>
            <sz val="11"/>
            <color rgb="FF000000"/>
            <rFont val="Calibri"/>
            <scheme val="minor"/>
          </rPr>
          <t>======
ID#AAABTdDild0
Adelia Sulistyani    (2024-08-12 02:45:47)
Kolom ini merupakan akumulasi dari sebelum penyesuaian dan penyesuaian. JIka posisinya sama (debit dan debit/kredit dan kredit) maka akan ditambahkan, jika posisinya berlawanan (debit dan kredit atau kredit dan debit) maka perlu diselisihkan atau dikurangkan.</t>
        </r>
      </text>
    </comment>
    <comment ref="J4" authorId="0" shapeId="0" xr:uid="{00000000-0006-0000-0500-000004000000}">
      <text>
        <r>
          <rPr>
            <sz val="11"/>
            <color rgb="FF000000"/>
            <rFont val="Calibri"/>
            <scheme val="minor"/>
          </rPr>
          <t>======
ID#AAABTdDilds
Adelia Sulistyani    (2024-08-12 02:44:13)
Data ini diambil dari Setelah Penyesuaian, Pindahkan Data kode 4 - 6. Komponen pendapatan dan beban</t>
        </r>
      </text>
    </comment>
    <comment ref="L4" authorId="0" shapeId="0" xr:uid="{00000000-0006-0000-0500-000005000000}">
      <text>
        <r>
          <rPr>
            <sz val="11"/>
            <color rgb="FF000000"/>
            <rFont val="Calibri"/>
            <scheme val="minor"/>
          </rPr>
          <t>======
ID#AAABTdDildw
Adelia Sulistyani    (2024-08-12 02:44:34)
Data ini diambil dari Setelah Penyesuaian. Pindahkan kode akun 1 - 3 saja ya</t>
        </r>
      </text>
    </comment>
    <comment ref="J24" authorId="0" shapeId="0" xr:uid="{00000000-0006-0000-0500-000006000000}">
      <text>
        <r>
          <rPr>
            <sz val="11"/>
            <color rgb="FF000000"/>
            <rFont val="Calibri"/>
            <scheme val="minor"/>
          </rPr>
          <t>======
ID#AAABTdDileA
Adelia Sulistyani    (2024-08-12 02:54:14)
Jika total kredit lebih besar daripada total debit maka LABA, jika total debit lebih besar daripada total kredit maka RUGI</t>
        </r>
      </text>
    </comment>
    <comment ref="M24" authorId="0" shapeId="0" xr:uid="{00000000-0006-0000-0500-000007000000}">
      <text>
        <r>
          <rPr>
            <sz val="11"/>
            <color rgb="FF000000"/>
            <rFont val="Calibri"/>
            <scheme val="minor"/>
          </rPr>
          <t>======
ID#AAABTdDileE
Adelia Sulistyani    (2024-08-12 02:54:48)
Jika total debit lebih besar daripada total kredit maka LABA, jika total kredit lebih besar daripada total debit maka RUGI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700-000001000000}">
      <text>
        <r>
          <rPr>
            <sz val="11"/>
            <color rgb="FF000000"/>
            <rFont val="Calibri"/>
            <scheme val="minor"/>
          </rPr>
          <t xml:space="preserve">pakuy:
</t>
        </r>
      </text>
    </comment>
  </commentList>
</comments>
</file>

<file path=xl/sharedStrings.xml><?xml version="1.0" encoding="utf-8"?>
<sst xmlns="http://schemas.openxmlformats.org/spreadsheetml/2006/main" count="873" uniqueCount="511">
  <si>
    <t>Informasi Umum :</t>
  </si>
  <si>
    <t xml:space="preserve">Bapak Andika mendirikan perusahaan penyedia layanan internet dengan nama “Juara Net” pada awal tahun 2023. Berikut adalah transaksi Juara Net pada tanggal 1 Januari - 31 Januari 2023. </t>
  </si>
  <si>
    <t>Kode Akun :</t>
  </si>
  <si>
    <t>Tanggal</t>
  </si>
  <si>
    <t>Keterangan</t>
  </si>
  <si>
    <t>Kode Akun</t>
  </si>
  <si>
    <t>Nama Akun</t>
  </si>
  <si>
    <t>Jan</t>
  </si>
  <si>
    <t>Bapak Andika menyetorkan uang tunai sebesar Rp 25.000.000 sebagai modal usaha Juara Net</t>
  </si>
  <si>
    <t>Kas</t>
  </si>
  <si>
    <t>Juara Net membayar sewa gedung untuk operasional kantor selama 1 tahun ( Jan - Des) sebesar Rp 12.000.000 secara tunai</t>
  </si>
  <si>
    <t>Piutang Usaha</t>
  </si>
  <si>
    <t>Juara Net membeli peralatan jaringan sebesar Rp 7.000.000 secara kredit, nomor faktur F01/23</t>
  </si>
  <si>
    <t>Perlengkapan</t>
  </si>
  <si>
    <t>Juara Net membeli perlengkapan kantor seharga Rp 1.000.000 secara tunai</t>
  </si>
  <si>
    <t>Sewa Dibayar Dimuka</t>
  </si>
  <si>
    <t>Juara Net menerima uang tunai dari PT Makmur Jaya atas jasa layanan internet yang telah selesai diberikan sebesar Rp 7.500.000</t>
  </si>
  <si>
    <t>Peralatan Jaringan</t>
  </si>
  <si>
    <t>Bapak Andika mengambil Rp 2.000.000 sebagai penarikan pribadi</t>
  </si>
  <si>
    <t>Utang Usaha</t>
  </si>
  <si>
    <t>Juara Net telah menyelesaikan jasa layanan internet kepada CV Barokah sebesar Rp 5.000.000 tetapi belum diterima uangnya</t>
  </si>
  <si>
    <t>Modal Usaha</t>
  </si>
  <si>
    <t>Mengangsur hutang atas pembelian peralatan jaringan yang dibeli pada tanggal 3 Januari dengan nomor faktur F01/23 sebesar Rp 3.000.000</t>
  </si>
  <si>
    <t>Prive Bapak Andika</t>
  </si>
  <si>
    <t>Membayar gaji kepada karyawan sebesar Rp 4.500.000 secara tunai</t>
  </si>
  <si>
    <t>Pendapatan Usaha</t>
  </si>
  <si>
    <t>Menerima pelunasan dari CV Barokah atas layanan internet yang sudah diberikan pada tanggal 14 Januari sebesar Rp 5.000.000</t>
  </si>
  <si>
    <t>Beban Gaji</t>
  </si>
  <si>
    <t>Beban Sewa</t>
  </si>
  <si>
    <t>JUARA NET</t>
  </si>
  <si>
    <t>JURNAL UMUM</t>
  </si>
  <si>
    <t>JANUARI 2023</t>
  </si>
  <si>
    <t>Ref</t>
  </si>
  <si>
    <t>Debit</t>
  </si>
  <si>
    <t>Kredit</t>
  </si>
  <si>
    <t>Modal Awal</t>
  </si>
  <si>
    <t>Sewa Gedung Dibayar Dimuka</t>
  </si>
  <si>
    <t>Perlengkapan Kantor</t>
  </si>
  <si>
    <t>TOTAL</t>
  </si>
  <si>
    <t xml:space="preserve"> </t>
  </si>
  <si>
    <t>BUKU BESAR</t>
  </si>
  <si>
    <t>Nama Akun :</t>
  </si>
  <si>
    <t>Saldo</t>
  </si>
  <si>
    <t>Debet</t>
  </si>
  <si>
    <t>Posting</t>
  </si>
  <si>
    <t>JU -1</t>
  </si>
  <si>
    <t>Postinng</t>
  </si>
  <si>
    <t xml:space="preserve">Berikut adalah Neraca Saldo Sebelum Penyesuaian milik UD Sanjaya per 31 Desember 2023 : 
</t>
  </si>
  <si>
    <t>Data Jurnal Penyesuaian Desember 2023 :</t>
  </si>
  <si>
    <t>Des</t>
  </si>
  <si>
    <t>Penyusutan peralatan pada bulan Desember 2023 sebesar Rp 5.000</t>
  </si>
  <si>
    <t>Piutang Dagang</t>
  </si>
  <si>
    <t>Terdapat gaji yang belum dibayarkan pada bulan Desember 2023 sebesar Rp 25.000. Gaji akan dibayarkan pada tanggal 05 Januari 2024</t>
  </si>
  <si>
    <t>Persediaan</t>
  </si>
  <si>
    <t>Perlengkapan yang tersisa berdasarkan perhitungan fisik senilai Rp 2.000</t>
  </si>
  <si>
    <t>Iklan Dibayar Dimuka</t>
  </si>
  <si>
    <t>Pada tanggal 15 November 2023, UD Sanjaya membayar iklan kepada Digital Advertising untuk 4 kali penayangan iklan dengan harga per penayangan iklan sebesar Rp 6.000. Pada tanggal 31 Desember, Digital Advertising sudah menayangkan seluruh iklan milik UD Sanjaya.</t>
  </si>
  <si>
    <t>Peralatan</t>
  </si>
  <si>
    <t>Akumulasi Penyusutan Peralatan</t>
  </si>
  <si>
    <t>Hutang Dagang</t>
  </si>
  <si>
    <t>Hutang Gaji</t>
  </si>
  <si>
    <t>Modal UD Sanjaya</t>
  </si>
  <si>
    <t>Laba Ditahan</t>
  </si>
  <si>
    <t>Penjualan</t>
  </si>
  <si>
    <t>Beban Pokok Penjualan</t>
  </si>
  <si>
    <t>Beban Iklan</t>
  </si>
  <si>
    <t>UD SANJAYA</t>
  </si>
  <si>
    <t>JURNAL PENYESUIAN</t>
  </si>
  <si>
    <t>Beban penyusutan peralatan</t>
  </si>
  <si>
    <t>Akumulasi  peyusutan peralatan</t>
  </si>
  <si>
    <t>Beban gaji</t>
  </si>
  <si>
    <t>Hutang gaji</t>
  </si>
  <si>
    <t>Beban perlengkapan</t>
  </si>
  <si>
    <t>Iklan dibayar muka</t>
  </si>
  <si>
    <t>NERACA LAJUR</t>
  </si>
  <si>
    <t>Sebelum Penyesuaian</t>
  </si>
  <si>
    <t>Penyesuaian</t>
  </si>
  <si>
    <t>Setelah Penyesuaian</t>
  </si>
  <si>
    <t>Laba Rugi</t>
  </si>
  <si>
    <t>Neraca</t>
  </si>
  <si>
    <t>D</t>
  </si>
  <si>
    <t>K</t>
  </si>
  <si>
    <t>Beban Perlengkapan</t>
  </si>
  <si>
    <t>Beban Penyusutan Peralatan</t>
  </si>
  <si>
    <t>LABA BERSIH</t>
  </si>
  <si>
    <t>TOTAL AKHIR</t>
  </si>
  <si>
    <t>VERSI 1</t>
  </si>
  <si>
    <t>LAPORAN LABA RUGI
UD SANJAYA
Untuk Periode yang Berakhir pada 31 Desember 2023</t>
  </si>
  <si>
    <t>LAPORAN PERUBAHAN EKUITAS
UD SANJAYA
Untuk Periode yang Berakhir pada 31 Desember 2023</t>
  </si>
  <si>
    <t>Modal Awal UD Sanjaya, 1 Des 2023</t>
  </si>
  <si>
    <t>Penambahan/Pengurangan Modal :</t>
  </si>
  <si>
    <t>Laba Kotor</t>
  </si>
  <si>
    <t>Setoran Modal</t>
  </si>
  <si>
    <t>Laba Tahun Berjalan</t>
  </si>
  <si>
    <t>Beban :</t>
  </si>
  <si>
    <t>Prive</t>
  </si>
  <si>
    <t>Total Penambahan/Pengurangan</t>
  </si>
  <si>
    <t>Modal UD Sanjaya, 31 Des 2023</t>
  </si>
  <si>
    <t>Total Beban</t>
  </si>
  <si>
    <t>Laba Bersih</t>
  </si>
  <si>
    <t>LAPORAN POSISI KEUANGAN
UD SANJAYA
Per 31 Desember 2023</t>
  </si>
  <si>
    <t>ASET</t>
  </si>
  <si>
    <t>LIABILITAS</t>
  </si>
  <si>
    <t>TOTAL LIABILITAS</t>
  </si>
  <si>
    <t>EKUITAS</t>
  </si>
  <si>
    <t>TOTAL EKUITAS</t>
  </si>
  <si>
    <t>TOTAL ASET</t>
  </si>
  <si>
    <t>TOTAL LIABILITAS DAN EKUITAS</t>
  </si>
  <si>
    <t>Studi Kasus : Analisis Laporan Keuangan</t>
  </si>
  <si>
    <t>Studi Kasus: PT IKN</t>
  </si>
  <si>
    <t xml:space="preserve">PT IKN adalah sebuah perusahaan manufaktur yang beroperasi di sektor otomotif. Berikut adalah ringkasan laporan keuangan PT IKN untuk periode 2021 - 2023 : </t>
  </si>
  <si>
    <t>2023</t>
  </si>
  <si>
    <t>2022</t>
  </si>
  <si>
    <t>2021</t>
  </si>
  <si>
    <t>Total Beban Operasional</t>
  </si>
  <si>
    <t>Total Pendapatan</t>
  </si>
  <si>
    <t>Total Aset (Lancar)</t>
  </si>
  <si>
    <t>Ekuitas Pemegang Saham</t>
  </si>
  <si>
    <t>Total Utang (Lancar)</t>
  </si>
  <si>
    <t>Arus Kas Bersih dari Aktivitas Operasi</t>
  </si>
  <si>
    <t>Arus Kas Bersih dari Aktivitas Investasi</t>
  </si>
  <si>
    <t>Arus Kas Bersih dari Aktivitas Pendanaan</t>
  </si>
  <si>
    <t>Instruksi :</t>
  </si>
  <si>
    <t xml:space="preserve">Ilustrasikan bahwa Anda merupakan akuntan di PT IKN. Anda diminta oleh manajer untuk menyajikan data analisis keuangan PT IKN selama 3 tahun terakhir (2021 - 2023). Adapun kebutuhan data tersebut diantaranya adalah sebagai berikut : </t>
  </si>
  <si>
    <r>
      <rPr>
        <sz val="12"/>
        <color rgb="FF000000"/>
        <rFont val="Calibri"/>
      </rPr>
      <t>1.</t>
    </r>
    <r>
      <rPr>
        <b/>
        <sz val="12"/>
        <color rgb="FF000000"/>
        <rFont val="Calibri"/>
      </rPr>
      <t>Rasio Keuangan:</t>
    </r>
  </si>
  <si>
    <r>
      <rPr>
        <sz val="12"/>
        <color rgb="FF000000"/>
        <rFont val="Calibri"/>
      </rPr>
      <t xml:space="preserve"> a. Rasio Lancar </t>
    </r>
    <r>
      <rPr>
        <i/>
        <sz val="12"/>
        <color rgb="FF000000"/>
        <rFont val="Calibri"/>
      </rPr>
      <t>(Current Ratio)</t>
    </r>
    <r>
      <rPr>
        <sz val="12"/>
        <color rgb="FF000000"/>
        <rFont val="Calibri"/>
      </rPr>
      <t xml:space="preserve"> Tahun 2021 - 2023</t>
    </r>
  </si>
  <si>
    <r>
      <rPr>
        <sz val="12"/>
        <color rgb="FF000000"/>
        <rFont val="Calibri"/>
      </rPr>
      <t xml:space="preserve"> b. Rasio Utang Terhadap Aset </t>
    </r>
    <r>
      <rPr>
        <i/>
        <sz val="12"/>
        <color rgb="FF000000"/>
        <rFont val="Calibri"/>
      </rPr>
      <t xml:space="preserve">(Debt to Asset Ratio) </t>
    </r>
    <r>
      <rPr>
        <sz val="12"/>
        <color rgb="FF000000"/>
        <rFont val="Calibri"/>
      </rPr>
      <t>Tahun 2021 - 2023</t>
    </r>
  </si>
  <si>
    <t xml:space="preserve"> c. Rasio Profitabilitas Tahun 2021 - 2023</t>
  </si>
  <si>
    <t>2. Analisis Horizontal (Komparatif) :</t>
  </si>
  <si>
    <t>Analisis Laporan Laba Rugi : Tren tahunan laporan laba rugi PT IKN dalam dua tahun terakhir.</t>
  </si>
  <si>
    <t xml:space="preserve">Hasil Analisa Laporan Keuangan bisa disajikan dalam tabel berikut  : </t>
  </si>
  <si>
    <t>Rasio</t>
  </si>
  <si>
    <t>Analisis</t>
  </si>
  <si>
    <r>
      <rPr>
        <sz val="12"/>
        <color rgb="FF000000"/>
        <rFont val="Roboto"/>
      </rPr>
      <t xml:space="preserve">Rasio Lancar </t>
    </r>
    <r>
      <rPr>
        <i/>
        <sz val="12"/>
        <color rgb="FF000000"/>
        <rFont val="Roboto"/>
      </rPr>
      <t>(Current Ratio)</t>
    </r>
  </si>
  <si>
    <r>
      <rPr>
        <sz val="12"/>
        <color rgb="FF000000"/>
        <rFont val="Roboto"/>
      </rPr>
      <t xml:space="preserve">Rasio Total Hutang terhadap Aset </t>
    </r>
    <r>
      <rPr>
        <i/>
        <sz val="12"/>
        <color rgb="FF000000"/>
        <rFont val="Roboto"/>
      </rPr>
      <t>(Debt to Asset Ratio)</t>
    </r>
  </si>
  <si>
    <r>
      <rPr>
        <sz val="12"/>
        <color rgb="FF000000"/>
        <rFont val="Roboto"/>
      </rPr>
      <t xml:space="preserve">Rasio Profitabilitas  </t>
    </r>
    <r>
      <rPr>
        <i/>
        <sz val="12"/>
        <color rgb="FF000000"/>
        <rFont val="Roboto"/>
      </rPr>
      <t>(</t>
    </r>
    <r>
      <rPr>
        <i/>
        <sz val="10"/>
        <color rgb="FF000000"/>
        <rFont val="Roboto"/>
      </rPr>
      <t>profit margi</t>
    </r>
    <r>
      <rPr>
        <i/>
        <sz val="12"/>
        <color rgb="FF000000"/>
        <rFont val="Roboto"/>
      </rPr>
      <t>n)</t>
    </r>
  </si>
  <si>
    <t>1. Analisa Ratio Keuangan</t>
  </si>
  <si>
    <t>1. Pada tahun 2023 Rasio lancar perusahaan sebesar1,67. Rasio ini naik dari tahun sebelumnya</t>
  </si>
  <si>
    <t xml:space="preserve">Hal ini meandakan kemampuan perusahaan dalam membayar hutang jangka pendeknya semakin meningkat. Rasio ini dapatdikatakan baik karena </t>
  </si>
  <si>
    <t>di atas standar industri</t>
  </si>
  <si>
    <t>2. Pada tahun 2023 Debt To Asset Ratio  60,00%. Rasio ini turun dari tahun sebelumnya yang artinya ketergantungan hutang perusahaan semakin</t>
  </si>
  <si>
    <t>berkurang dalam membiayai asetnya sehingga resiko keuangan menurun.  Rasio ini dapat dikatakan baik karena diatas standart industri</t>
  </si>
  <si>
    <t>3. Pada tahun 2023 Profit Margin Ratio perusahaan PT IKN mengalami keenaikan. Ha ini menandakan bahwa kinerja perusahaan dalam</t>
  </si>
  <si>
    <t>memperoleh laba semakin baik dari tahun sebelumnya. Rasio ini dapat dikatakan baik karena berada diatas standar industri</t>
  </si>
  <si>
    <t>Laporan Laba Rugi</t>
  </si>
  <si>
    <t>Varaian (%)</t>
  </si>
  <si>
    <t>Kenaikan Penurunan</t>
  </si>
  <si>
    <t>Pendapatan</t>
  </si>
  <si>
    <t>Beban Operasional</t>
  </si>
  <si>
    <t>2. Analisa Rasio Horizontal</t>
  </si>
  <si>
    <t>Pada bulan Januari 2019 PT. Mitra (sebuah perusahaan percetakan) menerima pesanan 10.000 brosur dari Sumber Utama dengan harga Rp 3.000,- per brosur dan pesanan diberi nomor 01-0113, dimana pembayarannya akan dilakukan secara kredit.</t>
  </si>
  <si>
    <r>
      <rPr>
        <sz val="12"/>
        <color rgb="FF040C28"/>
        <rFont val="Roboto"/>
      </rPr>
      <t xml:space="preserve">Untuk memproduksi pesanan tersebut perusahaan membeli bahan baku dan bahan penolong secara </t>
    </r>
    <r>
      <rPr>
        <b/>
        <sz val="12"/>
        <color rgb="FF040C28"/>
        <rFont val="Roboto"/>
      </rPr>
      <t xml:space="preserve">kredit </t>
    </r>
    <r>
      <rPr>
        <sz val="12"/>
        <color rgb="FF040C28"/>
        <rFont val="Roboto"/>
      </rPr>
      <t>01 Januari 2019 sebagai berikut:</t>
    </r>
  </si>
  <si>
    <t>Bahan Baku &amp; Penolong</t>
  </si>
  <si>
    <t>Qty</t>
  </si>
  <si>
    <t>Harga Satuan</t>
  </si>
  <si>
    <t>Total</t>
  </si>
  <si>
    <t>Kertas jenis A</t>
  </si>
  <si>
    <t>Tinta jenis 1</t>
  </si>
  <si>
    <t>Bahan penolong X</t>
  </si>
  <si>
    <t>Bahan penolong Y</t>
  </si>
  <si>
    <t>Jumlah Pembelian</t>
  </si>
  <si>
    <t>Setelah pesanan selesai diproduksi didapat data sebagai berikut:</t>
  </si>
  <si>
    <t>Penggunaan Bahan Baku</t>
  </si>
  <si>
    <t>Jumlah Penggunaan Bahan Baku</t>
  </si>
  <si>
    <t>Penggunaan Bahan Penolong:</t>
  </si>
  <si>
    <t>Jumlah Penggunaan Bahan Penolong</t>
  </si>
  <si>
    <t>Biaya Tenaga Kerja:</t>
  </si>
  <si>
    <t>Jam Kerja</t>
  </si>
  <si>
    <t>Upah Perjam</t>
  </si>
  <si>
    <t>Upah Langsung</t>
  </si>
  <si>
    <t>Upah Tidak Langsung</t>
  </si>
  <si>
    <t>Jumlah Upah</t>
  </si>
  <si>
    <t>Gaji Bagian Administrasi &amp; Umum</t>
  </si>
  <si>
    <t>Gaji Bagian Pemasaran</t>
  </si>
  <si>
    <t>Jumlah Gaji</t>
  </si>
  <si>
    <t>Jumlah Upah dan Gaji</t>
  </si>
  <si>
    <t>Tarif Biaya Overhead Pabrik:</t>
  </si>
  <si>
    <t>BOP Pesanan dibebankan atas dasar tarif 150% dari Biaya Bahan Baku</t>
  </si>
  <si>
    <t>Biaya Overhead Pabrik Sesungguhnya:</t>
  </si>
  <si>
    <t>BOP yang sesungguhnya terjadi selain BTKTL dan Bahan Penolong adalah:</t>
  </si>
  <si>
    <t>Depresiasi Mesin</t>
  </si>
  <si>
    <t>Depresiasi Gedung Pabrik</t>
  </si>
  <si>
    <t>Biaya Asuransi Gedung Pabrik &amp; Mesin</t>
  </si>
  <si>
    <t>Biaya Pemeliharaan Mesin</t>
  </si>
  <si>
    <t>Biaya Pemeliharaan Gedung</t>
  </si>
  <si>
    <t>Total BOP sesungguhnya</t>
  </si>
  <si>
    <t>Diminta:</t>
  </si>
  <si>
    <t>Buatlah jurnal-jurnal yang diperlukan.</t>
  </si>
  <si>
    <t>PT MITRA</t>
  </si>
  <si>
    <t>Reff</t>
  </si>
  <si>
    <t>Jurnal Mencatat Pembelian Bahan Baku dan Bahan Penolong</t>
  </si>
  <si>
    <t>Persediaan Bahan Baku</t>
  </si>
  <si>
    <t>(pembelian bahan baku)</t>
  </si>
  <si>
    <t>Persediaan Bahan Penolong</t>
  </si>
  <si>
    <t>Jurnal Mencatat Pemakaian Bahan Baku dan Bahan Penolong</t>
  </si>
  <si>
    <t>Bahan Dalam Proses Bahan Baku</t>
  </si>
  <si>
    <t>Persediaaan Bahan baku</t>
  </si>
  <si>
    <t>Biaya Overhead Pabrik Sesungguhnya</t>
  </si>
  <si>
    <t xml:space="preserve">Jurnal Mencatat Pembayaran Tenaga Kerja </t>
  </si>
  <si>
    <t>Barang Dalam Proses Tenaga Kerja Langsung</t>
  </si>
  <si>
    <t>Biaya Administration Umum</t>
  </si>
  <si>
    <t>Biaya Pemasaran</t>
  </si>
  <si>
    <t>Utang Gaji Dan Upah</t>
  </si>
  <si>
    <t xml:space="preserve">Kas </t>
  </si>
  <si>
    <t>Jurnal Mencatat Alokasi BOP</t>
  </si>
  <si>
    <t>Barang Dalam Proses - Biaya Overhead Pabrik</t>
  </si>
  <si>
    <t>Mencari BOP DIBebankan</t>
  </si>
  <si>
    <t>Biaya Overhead Pabrik Di Bebankan</t>
  </si>
  <si>
    <t>BBB</t>
  </si>
  <si>
    <t>BOP-Pesanan</t>
  </si>
  <si>
    <t>BDP-OP</t>
  </si>
  <si>
    <t xml:space="preserve">                             Akumulasi Depresiasi Mesin Mesin</t>
  </si>
  <si>
    <t xml:space="preserve">                             Akumulasi Depresiasi Gedung Pabrik</t>
  </si>
  <si>
    <t>Mencari Total Kas</t>
  </si>
  <si>
    <t xml:space="preserve">                             Kas</t>
  </si>
  <si>
    <t>(Biaya Asuransi Gedung Pabrik &amp; Mesin,Pemeliharan Mesin Dan Pemeliharan Gedung)</t>
  </si>
  <si>
    <t>Biaya Overhead Pabrik Dibebankan</t>
  </si>
  <si>
    <t>Total Kas</t>
  </si>
  <si>
    <t>Selisih Biaya Overhead Pabrik</t>
  </si>
  <si>
    <t>Mencari Selisih</t>
  </si>
  <si>
    <t>Jumlah Selisih</t>
  </si>
  <si>
    <r>
      <rPr>
        <sz val="12"/>
        <rFont val="Arial"/>
      </rPr>
      <t xml:space="preserve">Rugi </t>
    </r>
    <r>
      <rPr>
        <sz val="12"/>
        <rFont val="Calibri"/>
      </rPr>
      <t>/ Untung</t>
    </r>
  </si>
  <si>
    <t>BBP</t>
  </si>
  <si>
    <t>Jurnal Transfer Persediaan Barang Dalam Proses ke Persediaan Barang Jadi</t>
  </si>
  <si>
    <t>BTKL</t>
  </si>
  <si>
    <t>Persediaan Produk Jadi</t>
  </si>
  <si>
    <t>BOP-Sesunguhnya</t>
  </si>
  <si>
    <t>BOP-Di Bebankan</t>
  </si>
  <si>
    <t>Barang Dalam Proses - Biaya Bahan Baku</t>
  </si>
  <si>
    <t>Barang Dalam Proses - Biaya Tenaga Kerja Langsung</t>
  </si>
  <si>
    <t>-</t>
  </si>
  <si>
    <t>Rugi</t>
  </si>
  <si>
    <t>Bulan</t>
  </si>
  <si>
    <t>Gaji (Rp)</t>
  </si>
  <si>
    <t>Januari</t>
  </si>
  <si>
    <t>Februari</t>
  </si>
  <si>
    <t>Maret</t>
  </si>
  <si>
    <t>April</t>
  </si>
  <si>
    <t>Mei</t>
  </si>
  <si>
    <t>Juni</t>
  </si>
  <si>
    <t>Juli</t>
  </si>
  <si>
    <t>Agustus</t>
  </si>
  <si>
    <t>September</t>
  </si>
  <si>
    <t>Oktober</t>
  </si>
  <si>
    <t>November</t>
  </si>
  <si>
    <t>Desember</t>
  </si>
  <si>
    <t>No</t>
  </si>
  <si>
    <t>Lapisan Penghasilan Bruto</t>
  </si>
  <si>
    <t>TER A(%)</t>
  </si>
  <si>
    <t>TER B(%)</t>
  </si>
  <si>
    <t>TER C(%)</t>
  </si>
  <si>
    <t>0 s/d 5.400.000</t>
  </si>
  <si>
    <t>0.00</t>
  </si>
  <si>
    <t>0 s/d 6.200.000</t>
  </si>
  <si>
    <t>0 s/d 6.600.000</t>
  </si>
  <si>
    <t>5.400.001 s/d 5.650.000</t>
  </si>
  <si>
    <t>0.25</t>
  </si>
  <si>
    <t>6.200.001 s/d 6.500.000</t>
  </si>
  <si>
    <t>6.600.001 s/d 6.950.000</t>
  </si>
  <si>
    <t>5.650.001 s/d 5.950.000</t>
  </si>
  <si>
    <t>0.50</t>
  </si>
  <si>
    <t>6.500.001 s/d 6.850.000</t>
  </si>
  <si>
    <t>6.950.001 s/d 7.350.000</t>
  </si>
  <si>
    <t>5.950.001 s/d 6.300.000</t>
  </si>
  <si>
    <t>0.75</t>
  </si>
  <si>
    <t>6.850.001 s/d 7.300.000</t>
  </si>
  <si>
    <t>7.350.001 s/d 7.800.000</t>
  </si>
  <si>
    <t>6.300.001 s/d 6.750.000</t>
  </si>
  <si>
    <t>1.00</t>
  </si>
  <si>
    <t>7.300.001 s/d 9.200.000</t>
  </si>
  <si>
    <t>7.800.001 s/d 8.850.000</t>
  </si>
  <si>
    <t>6.750.001 s/d 7.500.000</t>
  </si>
  <si>
    <t>1.25</t>
  </si>
  <si>
    <t>9.200.001 s/d 10.750.000</t>
  </si>
  <si>
    <t>1.50</t>
  </si>
  <si>
    <t>8.850.001 s/d 9.800.000</t>
  </si>
  <si>
    <t xml:space="preserve">7.500.001 s/d 8.550.000 </t>
  </si>
  <si>
    <t xml:space="preserve">10.750.001 s/d 11.250.000 </t>
  </si>
  <si>
    <t>2.00</t>
  </si>
  <si>
    <t xml:space="preserve">9.800.001 s/d 10.950.000 </t>
  </si>
  <si>
    <t>8.550.001 s/d 9.650.000</t>
  </si>
  <si>
    <t>1.75</t>
  </si>
  <si>
    <t>11.250.001 s/d 11.600.000</t>
  </si>
  <si>
    <t>2.50</t>
  </si>
  <si>
    <t>10.950.001 s/d 11.200.000</t>
  </si>
  <si>
    <t>9.650.001 s/d 10.050.000</t>
  </si>
  <si>
    <t>11.600.001 s/d 12.600.000</t>
  </si>
  <si>
    <t>3.00</t>
  </si>
  <si>
    <t>11.200.001 s/d 12.050.000</t>
  </si>
  <si>
    <t>10.050.001 s/d 10.350.000</t>
  </si>
  <si>
    <t>2.25</t>
  </si>
  <si>
    <t>12.600.001 s/d 13.600.000</t>
  </si>
  <si>
    <t>4.00</t>
  </si>
  <si>
    <t>12.050.001 s/d 12.950.000</t>
  </si>
  <si>
    <t>10.350.001 s/d 10.700.000</t>
  </si>
  <si>
    <t>13.600.001 s/d 14.950.000</t>
  </si>
  <si>
    <t>5.00</t>
  </si>
  <si>
    <t>12.950.001 s/d 14.150.000</t>
  </si>
  <si>
    <t>10.700.001 s/d 11.050.000</t>
  </si>
  <si>
    <t>14.950.001 s/d 16.400.000</t>
  </si>
  <si>
    <t>6.00</t>
  </si>
  <si>
    <t>14.150.001 s/d 15.550.000</t>
  </si>
  <si>
    <t>11.050.001 s/d 11.600.000</t>
  </si>
  <si>
    <t>3.50</t>
  </si>
  <si>
    <t>16.400.001 s/d 18.450.000</t>
  </si>
  <si>
    <t>7.00</t>
  </si>
  <si>
    <t>15.550.001 s/d 17.050.000</t>
  </si>
  <si>
    <t>11.600.001 s/d 12.500.000</t>
  </si>
  <si>
    <t>18.450.001 s/d 21.850.000</t>
  </si>
  <si>
    <t>8.00</t>
  </si>
  <si>
    <t>17.050.001 s/d 19.500.000</t>
  </si>
  <si>
    <t>12.500.001 s/d 13.750.000</t>
  </si>
  <si>
    <t>21.850.001 s/d 26.000.000</t>
  </si>
  <si>
    <t>9.00</t>
  </si>
  <si>
    <t>19.500.001 s/d 22.700.000</t>
  </si>
  <si>
    <t>13.750.001 s/d 15.100.000</t>
  </si>
  <si>
    <t>26.000.001 s/d 27.700.000</t>
  </si>
  <si>
    <t>10.00</t>
  </si>
  <si>
    <t>22.700.001 s/d 26.600.000</t>
  </si>
  <si>
    <t>15.100.001 s.d 16.950.000</t>
  </si>
  <si>
    <t>27.700.001 s.d 29.350.000</t>
  </si>
  <si>
    <t>11.00</t>
  </si>
  <si>
    <t>26.600.001 s.d 28.100.000</t>
  </si>
  <si>
    <t>16.950.001 s/d 19.750.000</t>
  </si>
  <si>
    <t>29.350.001 s/d 31.450.000</t>
  </si>
  <si>
    <t>12.00</t>
  </si>
  <si>
    <t>28.100.001 s/d 30.100.000</t>
  </si>
  <si>
    <t>19.750.001 s/d 24.150.000</t>
  </si>
  <si>
    <t>31.450.001 s/d 33.950.000</t>
  </si>
  <si>
    <t>13.00</t>
  </si>
  <si>
    <t>30.100.001 s/d 32.600.000</t>
  </si>
  <si>
    <t>24.150.001 s/d 26.450.000</t>
  </si>
  <si>
    <t>33.950.001 s/d 37.100.000</t>
  </si>
  <si>
    <t>14.00</t>
  </si>
  <si>
    <t>32.600.001 s/d 35.400.000</t>
  </si>
  <si>
    <t>26.450.001 s/d 28.000.000</t>
  </si>
  <si>
    <t>37.100.001 s/d 41.100.000</t>
  </si>
  <si>
    <t>15.00</t>
  </si>
  <si>
    <t>35.400.001 s/d 38.900.000</t>
  </si>
  <si>
    <t>28.000.001 s/d 30.050.000</t>
  </si>
  <si>
    <t>41.100.001 s/d 48.500.000</t>
  </si>
  <si>
    <t>16.00</t>
  </si>
  <si>
    <t>38.900.001 s/d 43.000.000</t>
  </si>
  <si>
    <t>30.050.001 s/d 32.400.000</t>
  </si>
  <si>
    <t>48.500.001 s/d 49.500.000</t>
  </si>
  <si>
    <t>17.00</t>
  </si>
  <si>
    <t>43.000.001 s/d 47.400.000</t>
  </si>
  <si>
    <t>32.400.001 s/d 35.400.000</t>
  </si>
  <si>
    <t>48.500.001 s/d 53.800.000</t>
  </si>
  <si>
    <t>18.00</t>
  </si>
  <si>
    <t>47.400.001 s/d 51.200.000</t>
  </si>
  <si>
    <t>35.400.001 s/d 39.100.000</t>
  </si>
  <si>
    <t>53.800.001 s/d 58.500.000</t>
  </si>
  <si>
    <t>19.00</t>
  </si>
  <si>
    <t>51.200.001 s/d 55.800.000</t>
  </si>
  <si>
    <t>39.100.001 s/d 43.850.000</t>
  </si>
  <si>
    <t>58.500.001 s/d 64.000.000</t>
  </si>
  <si>
    <t>20.00</t>
  </si>
  <si>
    <t>55.800.001 s/d 60.400.000</t>
  </si>
  <si>
    <t>43.850.001 s/d 47.800.000</t>
  </si>
  <si>
    <t xml:space="preserve">58.500.001 s/d 71.000.000 </t>
  </si>
  <si>
    <t>21.00</t>
  </si>
  <si>
    <t xml:space="preserve">60.400.001 s/d 66.700.000 </t>
  </si>
  <si>
    <t>47.800.001 s/d 51.400.000</t>
  </si>
  <si>
    <t>71.000.001 s/d 80.000.000</t>
  </si>
  <si>
    <t>22.00</t>
  </si>
  <si>
    <t>66.700.001 s/d 74.500.000</t>
  </si>
  <si>
    <t xml:space="preserve">51.400.001 s/d 56.300.000 </t>
  </si>
  <si>
    <t>80.000.001 s/d 93.000.000</t>
  </si>
  <si>
    <t>23.00</t>
  </si>
  <si>
    <t>74.500.001 s/d 83.200.000</t>
  </si>
  <si>
    <t>56.300.001 s/d 62.200.000</t>
  </si>
  <si>
    <t>93.000.001 s/d 109.000.000</t>
  </si>
  <si>
    <t>24.00</t>
  </si>
  <si>
    <t>8.3200.001 s/d 95.600.000</t>
  </si>
  <si>
    <t>62.200.001 s/d 68.600.000</t>
  </si>
  <si>
    <t>109.000.001 s/d 129.000.000</t>
  </si>
  <si>
    <t>25.00</t>
  </si>
  <si>
    <t>95.600.001 s/d 110.000.000</t>
  </si>
  <si>
    <t>68.600.001 s/d 77.500.000</t>
  </si>
  <si>
    <t>129.000.001 s/d 163.000.000</t>
  </si>
  <si>
    <t>26.00</t>
  </si>
  <si>
    <t>110.000.001 s/d 134.000.000</t>
  </si>
  <si>
    <t>77.500.001 s/d 89.000.000</t>
  </si>
  <si>
    <t>163.000.001 s/d 211.000.000</t>
  </si>
  <si>
    <t>27.00</t>
  </si>
  <si>
    <t>134.000.001 s/d 169.000.000</t>
  </si>
  <si>
    <t>89.000.001 s/d 103.000.000</t>
  </si>
  <si>
    <t>211.000.001 s/d 347.000.000</t>
  </si>
  <si>
    <t>28.00</t>
  </si>
  <si>
    <t>169.000.001 s/d 221.000.000</t>
  </si>
  <si>
    <t>103.000.001 s/d 125.000.000</t>
  </si>
  <si>
    <t>347.000.001 s/d 459.000.000</t>
  </si>
  <si>
    <t>29.00</t>
  </si>
  <si>
    <t>221.000.001 s/d 390.000.000</t>
  </si>
  <si>
    <t>125.000.001 s/d 157.000.000</t>
  </si>
  <si>
    <t>459.000.001 s/d 555.000.000</t>
  </si>
  <si>
    <t>30.00</t>
  </si>
  <si>
    <t>390.000.001 s/d 463.000.000</t>
  </si>
  <si>
    <t>157.000.001 s/d 206.000.000</t>
  </si>
  <si>
    <t>555.000.001 s.d 704.000.000</t>
  </si>
  <si>
    <t>31.00</t>
  </si>
  <si>
    <t>463.000.001 s.d 561.000.000</t>
  </si>
  <si>
    <t>206.000.001 s/d 337.000.000</t>
  </si>
  <si>
    <t>704.000.001 s/d 957.000.000</t>
  </si>
  <si>
    <t>32.00</t>
  </si>
  <si>
    <t>561.000.001 s/d 709.000.000</t>
  </si>
  <si>
    <t>337.000.001 s.d 454.000.000</t>
  </si>
  <si>
    <t>957.000.001 s/d 1.405.000.000</t>
  </si>
  <si>
    <t>33.00</t>
  </si>
  <si>
    <t>709.000.001 s/d 965.000.000</t>
  </si>
  <si>
    <t>454.000.001 s/d 550.000.000</t>
  </si>
  <si>
    <t>lebih dari 1.405.000.000</t>
  </si>
  <si>
    <t>34.00</t>
  </si>
  <si>
    <t>965.000.001 s/d 1.419.000.000</t>
  </si>
  <si>
    <t>550.000.001 s/d 695.000.000</t>
  </si>
  <si>
    <t>lebih dari 1.419.000.000</t>
  </si>
  <si>
    <t>695.000.001 s/d 910.000.000</t>
  </si>
  <si>
    <t>910.000.001 s/d 1.400.000.000</t>
  </si>
  <si>
    <t>lebih dari 1.400.000.000</t>
  </si>
  <si>
    <t>Lapisan Tarif</t>
  </si>
  <si>
    <t>Penghasilan Kena Pajak</t>
  </si>
  <si>
    <t>Tarif PPh 21</t>
  </si>
  <si>
    <t>I</t>
  </si>
  <si>
    <t xml:space="preserve">0 – Rp 60 juta </t>
  </si>
  <si>
    <t>II</t>
  </si>
  <si>
    <t xml:space="preserve">&gt; Rp 60 – 250 juta </t>
  </si>
  <si>
    <t>III</t>
  </si>
  <si>
    <t xml:space="preserve">&gt; Rp 250 – 500 juta </t>
  </si>
  <si>
    <t>IV</t>
  </si>
  <si>
    <t xml:space="preserve">&gt; Rp 500 juta – 5 miliar </t>
  </si>
  <si>
    <t>V</t>
  </si>
  <si>
    <t>&gt; 5 miliar</t>
  </si>
  <si>
    <t>BULAN</t>
  </si>
  <si>
    <t>PENDAPATAN BRUTO</t>
  </si>
  <si>
    <t>TER-KATEGORI B</t>
  </si>
  <si>
    <t>PPH 21</t>
  </si>
  <si>
    <t>Febuari</t>
  </si>
  <si>
    <t>Perhitungan PPH :</t>
  </si>
  <si>
    <t>Gaji bruto setahun</t>
  </si>
  <si>
    <t>Pengurang</t>
  </si>
  <si>
    <t>Biaya jabatan</t>
  </si>
  <si>
    <t>iuran peniun</t>
  </si>
  <si>
    <t>Penghasian neto setahun</t>
  </si>
  <si>
    <t>PTKP setahun</t>
  </si>
  <si>
    <t>Untuk wajib pajak sendiri</t>
  </si>
  <si>
    <t>Tambahan untuk menikah</t>
  </si>
  <si>
    <t>Tambahan untuk satu tanggungan</t>
  </si>
  <si>
    <t>Penghasilan kena pajak setahun</t>
  </si>
  <si>
    <t>PPh 21 yang dipotong hingga november 2024</t>
  </si>
  <si>
    <t>PPh 21 yang dipotong dibulan desember  2025</t>
  </si>
  <si>
    <t>Peredaran Bruto</t>
  </si>
  <si>
    <t>Penyelesaian :</t>
  </si>
  <si>
    <t xml:space="preserve">Tarif PPh Final </t>
  </si>
  <si>
    <t>PPh Final (Rp)</t>
  </si>
  <si>
    <t>PT YOLO YOLO</t>
  </si>
  <si>
    <t xml:space="preserve">LAPORAN LABA RUGI </t>
  </si>
  <si>
    <t>Per 31 Desember 2023</t>
  </si>
  <si>
    <t>Harga Pokok Penjualan</t>
  </si>
  <si>
    <t>Beban Operasi</t>
  </si>
  <si>
    <t>Beban Transportasi</t>
  </si>
  <si>
    <t>Beban Penyusutan</t>
  </si>
  <si>
    <t>Beban Kantor</t>
  </si>
  <si>
    <t>Beban Pemeliharaan</t>
  </si>
  <si>
    <t>Beban Lain-Lain</t>
  </si>
  <si>
    <t>Penyelesaian</t>
  </si>
  <si>
    <t>Penghasilan Kena Pajak mendapat fasilitas :</t>
  </si>
  <si>
    <t>Predaran Usaha Bruto</t>
  </si>
  <si>
    <t>Penghasilan Kena Pajak Mendapat Fasilitas</t>
  </si>
  <si>
    <t>Penghasilan Kena Pajak yang tidak mendapat fasilitas</t>
  </si>
  <si>
    <t>PPh Terhtang :</t>
  </si>
  <si>
    <t>Atas penghasilan kena pajak mendapat fasilitas :</t>
  </si>
  <si>
    <t xml:space="preserve">Tarif PPh Badan </t>
  </si>
  <si>
    <t>Atas penghasilan kena pajak yang tidak mendapat fasilitas :</t>
  </si>
  <si>
    <t>Total PPh Terutang</t>
  </si>
  <si>
    <t>Inherent Risk (IR)</t>
  </si>
  <si>
    <t>Control Risk</t>
  </si>
  <si>
    <t>Accepted Audit Risk Level</t>
  </si>
  <si>
    <t>Detection Risk</t>
  </si>
  <si>
    <t>Kas dan Setara Kas</t>
  </si>
  <si>
    <t>Sebelum</t>
  </si>
  <si>
    <t>Sesudah</t>
  </si>
  <si>
    <t>Kas Kecil</t>
  </si>
  <si>
    <t>Penyesuain</t>
  </si>
  <si>
    <t>Bank</t>
  </si>
  <si>
    <t xml:space="preserve">Akun </t>
  </si>
  <si>
    <t>PT Bank Mandiri (Persero) Tbk</t>
  </si>
  <si>
    <t xml:space="preserve">     PT Bank Negara Indonesia (Persero) Tbk                 </t>
  </si>
  <si>
    <t xml:space="preserve">     PT Bank Rakyat Indonesia (Persero) Tbk </t>
  </si>
  <si>
    <t>Hutang Usaha</t>
  </si>
  <si>
    <t>Deposito</t>
  </si>
  <si>
    <t>Total Kas dan Setara Kas</t>
  </si>
  <si>
    <t xml:space="preserve">Piutang Usaha                                                             </t>
  </si>
  <si>
    <t xml:space="preserve">Persediaan                                                                        </t>
  </si>
  <si>
    <t xml:space="preserve"> Peralatan</t>
  </si>
  <si>
    <t>Beban Penyusuan Peralatan</t>
  </si>
  <si>
    <t xml:space="preserve"> Akumulasi Penyusutan</t>
  </si>
  <si>
    <t>Total Aset</t>
  </si>
  <si>
    <t>Hutang usaha</t>
  </si>
  <si>
    <t>Ekuitas</t>
  </si>
  <si>
    <t>Modal Saham</t>
  </si>
  <si>
    <t>Laba ditahan</t>
  </si>
  <si>
    <t xml:space="preserve">     Laba tahun berjalan                                             </t>
  </si>
  <si>
    <t xml:space="preserve">     Laba periode lalu                                          </t>
  </si>
  <si>
    <t xml:space="preserve">Total Liabilitas dan Ekuitas                                             </t>
  </si>
  <si>
    <t xml:space="preserve">Pendapatan Usaha                                                        </t>
  </si>
  <si>
    <t xml:space="preserve">Biaya Operasional                       </t>
  </si>
  <si>
    <t xml:space="preserve">Beban Penvusutan                                 </t>
  </si>
  <si>
    <t xml:space="preserve">Pajak  Penghasillan                                                     </t>
  </si>
  <si>
    <t>Laba Usaha setelah pajak</t>
  </si>
  <si>
    <t>NERACA SALDO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</si>
</sst>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Rp&quot;#,##0;[Red]\-&quot;Rp&quot;#,##0"/>
    <numFmt numFmtId="164" formatCode="_-* #,##0_-;\-* #,##0_-;_-* &quot;-&quot;_-;_-@"/>
    <numFmt numFmtId="165" formatCode="[$-13809]dd/mm/yyyy"/>
    <numFmt numFmtId="166" formatCode="_-&quot;Rp&quot;* #,##0_-;\-&quot;Rp&quot;* #,##0_-;_-&quot;Rp&quot;* &quot;-&quot;_-;_-@"/>
    <numFmt numFmtId="167" formatCode="mmm\-dd"/>
    <numFmt numFmtId="168" formatCode="_-&quot;Rp&quot;* #,##0.00_-;\-&quot;Rp&quot;* #,##0.00_-;_-&quot;Rp&quot;* &quot;-&quot;??_-;_-@"/>
    <numFmt numFmtId="169" formatCode="[$-13809]dd/mm/yy"/>
    <numFmt numFmtId="170" formatCode="mmmm\ yyyy"/>
    <numFmt numFmtId="171" formatCode="d/m/yyyy"/>
    <numFmt numFmtId="172" formatCode="_-[$Rp-421]* #,##0_-;_-[$Rp-421]* \-#,##0_-;_-[$Rp-421]* &quot;-&quot;??_-;_-@"/>
    <numFmt numFmtId="173" formatCode="_-[$Rp-421]* #,##0.00_-;_-[$Rp-421]* \-#,##0.00_-;_-[$Rp-421]* &quot;-&quot;??_-;_-@"/>
    <numFmt numFmtId="174" formatCode="_-[$Rp-421]* #,##0_-;\-[$Rp-421]* #,##0_-;_-[$Rp-421]* &quot;-&quot;_-;_-@"/>
    <numFmt numFmtId="175" formatCode="0.00\ \K\a\l\i"/>
    <numFmt numFmtId="176" formatCode="#,##0\ &quot;Rim&quot;"/>
    <numFmt numFmtId="177" formatCode="#,##0\ &quot;Liter&quot;"/>
    <numFmt numFmtId="178" formatCode="#,##0\ &quot;Kg&quot;"/>
    <numFmt numFmtId="179" formatCode="#,##0\ &quot;Jam&quot;"/>
    <numFmt numFmtId="180" formatCode="_-* #,##0.00_-;\-* #,##0.00_-;_-* &quot;-&quot;??_-;_-@"/>
    <numFmt numFmtId="181" formatCode="#,##0;[Red]\(#,##0\)"/>
  </numFmts>
  <fonts count="44" x14ac:knownFonts="1">
    <font>
      <sz val="11"/>
      <color rgb="FF000000"/>
      <name val="Calibri"/>
      <scheme val="minor"/>
    </font>
    <font>
      <b/>
      <sz val="12"/>
      <name val="Roboto"/>
    </font>
    <font>
      <sz val="12"/>
      <name val="Roboto"/>
    </font>
    <font>
      <sz val="12"/>
      <color rgb="FF000000"/>
      <name val="Roboto"/>
    </font>
    <font>
      <b/>
      <sz val="12"/>
      <color rgb="FFFFFFFF"/>
      <name val="Roboto"/>
    </font>
    <font>
      <sz val="11"/>
      <name val="Calibri"/>
    </font>
    <font>
      <b/>
      <sz val="12"/>
      <color rgb="FF000000"/>
      <name val="Roboto"/>
    </font>
    <font>
      <sz val="11"/>
      <name val="Calibri"/>
    </font>
    <font>
      <b/>
      <sz val="14"/>
      <color rgb="FFFFFFFF"/>
      <name val="Roboto"/>
    </font>
    <font>
      <b/>
      <sz val="14"/>
      <name val="Roboto"/>
    </font>
    <font>
      <b/>
      <sz val="11"/>
      <color rgb="FF000000"/>
      <name val="Roboto"/>
    </font>
    <font>
      <b/>
      <sz val="11"/>
      <name val="Roboto"/>
    </font>
    <font>
      <b/>
      <sz val="14"/>
      <color rgb="FF000000"/>
      <name val="Roboto"/>
    </font>
    <font>
      <b/>
      <sz val="11"/>
      <name val="Calibri"/>
    </font>
    <font>
      <b/>
      <sz val="16"/>
      <name val="Roboto"/>
    </font>
    <font>
      <b/>
      <sz val="24"/>
      <name val="Calibri"/>
    </font>
    <font>
      <b/>
      <sz val="12"/>
      <name val="Calibri"/>
    </font>
    <font>
      <sz val="12"/>
      <name val="Calibri"/>
    </font>
    <font>
      <sz val="12"/>
      <color rgb="FF000000"/>
      <name val="Calibri"/>
    </font>
    <font>
      <b/>
      <sz val="12"/>
      <color rgb="FF000000"/>
      <name val="Calibri"/>
    </font>
    <font>
      <b/>
      <sz val="18"/>
      <name val="Calibri"/>
    </font>
    <font>
      <sz val="12"/>
      <name val="Arial"/>
    </font>
    <font>
      <i/>
      <sz val="12"/>
      <color rgb="FF000000"/>
      <name val="Roboto"/>
    </font>
    <font>
      <sz val="12"/>
      <color rgb="FF040C28"/>
      <name val="Roboto"/>
    </font>
    <font>
      <sz val="10"/>
      <color rgb="FF000000"/>
      <name val="Calibri"/>
    </font>
    <font>
      <i/>
      <sz val="12"/>
      <name val="Roboto"/>
    </font>
    <font>
      <b/>
      <sz val="12"/>
      <color rgb="FF040C28"/>
      <name val="Roboto"/>
    </font>
    <font>
      <sz val="10"/>
      <name val="Roboto"/>
    </font>
    <font>
      <b/>
      <sz val="16"/>
      <name val="Calibri"/>
    </font>
    <font>
      <b/>
      <sz val="12"/>
      <color rgb="FFFFFFFF"/>
      <name val="Calibri"/>
    </font>
    <font>
      <i/>
      <sz val="12"/>
      <color rgb="FF000000"/>
      <name val="Calibri"/>
    </font>
    <font>
      <i/>
      <sz val="10"/>
      <color rgb="FF000000"/>
      <name val="Calibri"/>
    </font>
    <font>
      <i/>
      <sz val="12"/>
      <name val="Calibri"/>
    </font>
    <font>
      <sz val="13"/>
      <color rgb="FF000000"/>
      <name val="Calibri"/>
    </font>
    <font>
      <b/>
      <sz val="13"/>
      <color rgb="FF000000"/>
      <name val="Calibri"/>
    </font>
    <font>
      <b/>
      <sz val="11"/>
      <color rgb="FFFFFFFF"/>
      <name val="Roboto"/>
    </font>
    <font>
      <sz val="11"/>
      <color rgb="FF000000"/>
      <name val="Roboto"/>
    </font>
    <font>
      <b/>
      <sz val="14"/>
      <name val="Calibri"/>
    </font>
    <font>
      <sz val="18"/>
      <color rgb="FFFFFFFF"/>
      <name val="Arial"/>
    </font>
    <font>
      <b/>
      <sz val="14"/>
      <color rgb="FFFFFFFF"/>
      <name val="Calibri"/>
    </font>
    <font>
      <sz val="14"/>
      <name val="Calibri"/>
    </font>
    <font>
      <sz val="12"/>
      <color rgb="FFFFFFFF"/>
      <name val="Calibri"/>
    </font>
    <font>
      <sz val="18"/>
      <name val="Arial"/>
    </font>
    <font>
      <i/>
      <sz val="10"/>
      <color rgb="FF000000"/>
      <name val="Roboto"/>
    </font>
  </fonts>
  <fills count="11">
    <fill>
      <patternFill patternType="none"/>
    </fill>
    <fill>
      <patternFill patternType="gray125"/>
    </fill>
    <fill>
      <patternFill patternType="solid">
        <fgColor rgb="FF339966"/>
        <bgColor rgb="FF339966"/>
      </patternFill>
    </fill>
    <fill>
      <patternFill patternType="solid">
        <fgColor rgb="FFEFEFEF"/>
        <bgColor rgb="FFEFEFEF"/>
      </patternFill>
    </fill>
    <fill>
      <patternFill patternType="solid">
        <fgColor rgb="FFEEEEEE"/>
        <bgColor rgb="FFEEEEEE"/>
      </patternFill>
    </fill>
    <fill>
      <patternFill patternType="solid">
        <fgColor rgb="FFFFFFFF"/>
        <bgColor rgb="FFFFFFFF"/>
      </patternFill>
    </fill>
    <fill>
      <patternFill patternType="solid">
        <fgColor rgb="FFFFF2CC"/>
        <bgColor rgb="FFFFF2CC"/>
      </patternFill>
    </fill>
    <fill>
      <patternFill patternType="solid">
        <fgColor rgb="FFA8D08D"/>
        <bgColor rgb="FFA8D08D"/>
      </patternFill>
    </fill>
    <fill>
      <patternFill patternType="solid">
        <fgColor rgb="FFD8D8D8"/>
        <bgColor rgb="FFD8D8D8"/>
      </patternFill>
    </fill>
    <fill>
      <patternFill patternType="solid">
        <fgColor rgb="FFFFFF00"/>
        <bgColor rgb="FFFFFF00"/>
      </patternFill>
    </fill>
    <fill>
      <patternFill patternType="solid">
        <fgColor rgb="FF0097A7"/>
        <bgColor rgb="FF0097A7"/>
      </patternFill>
    </fill>
  </fills>
  <borders count="79">
    <border>
      <left/>
      <right/>
      <top/>
      <bottom/>
      <diagonal/>
    </border>
    <border>
      <left style="thin">
        <color rgb="FF9E9E9E"/>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style="thin">
        <color rgb="FF9E9E9E"/>
      </top>
      <bottom/>
      <diagonal/>
    </border>
    <border>
      <left style="thin">
        <color rgb="FF9E9E9E"/>
      </left>
      <right style="thin">
        <color rgb="FF9E9E9E"/>
      </right>
      <top/>
      <bottom/>
      <diagonal/>
    </border>
    <border>
      <left style="thin">
        <color rgb="FF9E9E9E"/>
      </left>
      <right style="thin">
        <color rgb="FF9E9E9E"/>
      </right>
      <top style="thin">
        <color rgb="FF9E9E9E"/>
      </top>
      <bottom/>
      <diagonal/>
    </border>
    <border>
      <left style="thin">
        <color rgb="FF9E9E9E"/>
      </left>
      <right style="thin">
        <color rgb="FF9E9E9E"/>
      </right>
      <top/>
      <bottom style="thin">
        <color rgb="FF9E9E9E"/>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9E9E9E"/>
      </top>
      <bottom style="thin">
        <color rgb="FF9E9E9E"/>
      </bottom>
      <diagonal/>
    </border>
    <border>
      <left style="thin">
        <color rgb="FF000000"/>
      </left>
      <right style="thin">
        <color rgb="FF000000"/>
      </right>
      <top style="thin">
        <color rgb="FF000000"/>
      </top>
      <bottom style="thin">
        <color rgb="FFBFBFB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top/>
      <bottom style="thin">
        <color rgb="FF000000"/>
      </bottom>
      <diagonal/>
    </border>
    <border>
      <left style="thin">
        <color rgb="FF18919B"/>
      </left>
      <right style="thin">
        <color rgb="FF18919B"/>
      </right>
      <top style="thin">
        <color rgb="FF18919B"/>
      </top>
      <bottom/>
      <diagonal/>
    </border>
    <border>
      <left style="thin">
        <color rgb="FF18919B"/>
      </left>
      <right style="thin">
        <color rgb="FF18919B"/>
      </right>
      <top style="thin">
        <color rgb="FF18919B"/>
      </top>
      <bottom style="thin">
        <color rgb="FF18919B"/>
      </bottom>
      <diagonal/>
    </border>
    <border>
      <left style="thin">
        <color rgb="FF18919B"/>
      </left>
      <right/>
      <top style="thin">
        <color rgb="FF18919B"/>
      </top>
      <bottom style="thin">
        <color rgb="FF18919B"/>
      </bottom>
      <diagonal/>
    </border>
    <border>
      <left/>
      <right style="thin">
        <color rgb="FF18919B"/>
      </right>
      <top style="thin">
        <color rgb="FF18919B"/>
      </top>
      <bottom style="thin">
        <color rgb="FF18919B"/>
      </bottom>
      <diagonal/>
    </border>
    <border>
      <left style="thin">
        <color rgb="FF18919B"/>
      </left>
      <right style="thin">
        <color rgb="FF18919B"/>
      </right>
      <top/>
      <bottom style="thin">
        <color rgb="FF18919B"/>
      </bottom>
      <diagonal/>
    </border>
    <border>
      <left style="thin">
        <color rgb="FF18919B"/>
      </left>
      <right style="thin">
        <color rgb="FF18919B"/>
      </right>
      <top style="thin">
        <color rgb="FF18919B"/>
      </top>
      <bottom/>
      <diagonal/>
    </border>
    <border>
      <left style="thin">
        <color rgb="FFD9D9D9"/>
      </left>
      <right style="thin">
        <color rgb="FFD9D9D9"/>
      </right>
      <top style="thin">
        <color rgb="FF18919B"/>
      </top>
      <bottom style="thin">
        <color rgb="FFD9D9D9"/>
      </bottom>
      <diagonal/>
    </border>
    <border>
      <left style="thin">
        <color rgb="FFD9D9D9"/>
      </left>
      <right/>
      <top style="thin">
        <color rgb="FF18919B"/>
      </top>
      <bottom style="thin">
        <color rgb="FFD9D9D9"/>
      </bottom>
      <diagonal/>
    </border>
    <border>
      <left/>
      <right style="thin">
        <color rgb="FFD9D9D9"/>
      </right>
      <top style="thin">
        <color rgb="FF18919B"/>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EEEEEE"/>
      </bottom>
      <diagonal/>
    </border>
    <border>
      <left style="thin">
        <color rgb="FFD9D9D9"/>
      </left>
      <right/>
      <top style="thin">
        <color rgb="FFD9D9D9"/>
      </top>
      <bottom style="thin">
        <color rgb="FFEEEEEE"/>
      </bottom>
      <diagonal/>
    </border>
    <border>
      <left style="thin">
        <color rgb="FFD9D9D9"/>
      </left>
      <right style="thin">
        <color rgb="FFD9D9D9"/>
      </right>
      <top style="thin">
        <color rgb="FFEEEEEE"/>
      </top>
      <bottom style="thin">
        <color rgb="FFEEEEEE"/>
      </bottom>
      <diagonal/>
    </border>
    <border>
      <left style="thin">
        <color rgb="FFD9D9D9"/>
      </left>
      <right/>
      <top style="thin">
        <color rgb="FFEEEEEE"/>
      </top>
      <bottom style="thin">
        <color rgb="FFEEEEEE"/>
      </bottom>
      <diagonal/>
    </border>
    <border>
      <left style="thin">
        <color rgb="FFEEEEEE"/>
      </left>
      <right/>
      <top style="thin">
        <color rgb="FFEEEEEE"/>
      </top>
      <bottom style="thin">
        <color rgb="FFEEEEEE"/>
      </bottom>
      <diagonal/>
    </border>
    <border>
      <left/>
      <right style="thin">
        <color rgb="FFEEEEEE"/>
      </right>
      <top style="thin">
        <color rgb="FFEEEEEE"/>
      </top>
      <bottom style="thin">
        <color rgb="FFEEEEEE"/>
      </bottom>
      <diagonal/>
    </border>
    <border>
      <left style="thin">
        <color rgb="FFEEEEEE"/>
      </left>
      <right style="thin">
        <color rgb="FFEEEEEE"/>
      </right>
      <top style="thin">
        <color rgb="FFEEEEEE"/>
      </top>
      <bottom style="thin">
        <color rgb="FFEEEEEE"/>
      </bottom>
      <diagonal/>
    </border>
    <border>
      <left/>
      <right/>
      <top/>
      <bottom/>
      <diagonal/>
    </border>
    <border>
      <left/>
      <right style="thin">
        <color rgb="FFD9D9D9"/>
      </right>
      <top style="thin">
        <color rgb="FFD9D9D9"/>
      </top>
      <bottom style="thin">
        <color rgb="FFD9D9D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D9D9D9"/>
      </left>
      <right style="medium">
        <color rgb="FFD9D9D9"/>
      </right>
      <top style="medium">
        <color rgb="FFD9D9D9"/>
      </top>
      <bottom style="medium">
        <color rgb="FFD9D9D9"/>
      </bottom>
      <diagonal/>
    </border>
    <border>
      <left style="thin">
        <color rgb="FF70AD47"/>
      </left>
      <right style="thin">
        <color rgb="FF70AD47"/>
      </right>
      <top style="thin">
        <color rgb="FF70AD47"/>
      </top>
      <bottom style="thin">
        <color rgb="FF70AD47"/>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70AD47"/>
      </left>
      <right/>
      <top style="thin">
        <color rgb="FF70AD47"/>
      </top>
      <bottom style="thin">
        <color rgb="FF70AD47"/>
      </bottom>
      <diagonal/>
    </border>
    <border>
      <left/>
      <right/>
      <top style="thin">
        <color rgb="FF70AD47"/>
      </top>
      <bottom style="thin">
        <color rgb="FF70AD47"/>
      </bottom>
      <diagonal/>
    </border>
    <border>
      <left/>
      <right style="thin">
        <color rgb="FF70AD47"/>
      </right>
      <top style="thin">
        <color rgb="FF70AD47"/>
      </top>
      <bottom style="thin">
        <color rgb="FF70AD47"/>
      </bottom>
      <diagonal/>
    </border>
  </borders>
  <cellStyleXfs count="1">
    <xf numFmtId="0" fontId="0" fillId="0" borderId="0"/>
  </cellStyleXfs>
  <cellXfs count="485">
    <xf numFmtId="0" fontId="0" fillId="0" borderId="0" xfId="0" applyFont="1" applyAlignment="1"/>
    <xf numFmtId="0" fontId="1" fillId="0" borderId="0" xfId="0" applyFont="1"/>
    <xf numFmtId="0" fontId="2" fillId="0" borderId="0" xfId="0" applyFont="1" applyAlignment="1">
      <alignment horizontal="center"/>
    </xf>
    <xf numFmtId="0" fontId="2" fillId="0" borderId="0" xfId="0" applyFont="1"/>
    <xf numFmtId="0" fontId="3" fillId="0" borderId="0" xfId="0" applyFont="1" applyAlignment="1">
      <alignment horizontal="left" vertical="center" wrapText="1" readingOrder="1"/>
    </xf>
    <xf numFmtId="0" fontId="1" fillId="0" borderId="0" xfId="0" applyFont="1" applyAlignment="1">
      <alignment vertical="center"/>
    </xf>
    <xf numFmtId="0" fontId="4" fillId="2" borderId="3" xfId="0" applyFont="1" applyFill="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3" xfId="0" applyFont="1" applyBorder="1" applyAlignment="1">
      <alignment wrapText="1"/>
    </xf>
    <xf numFmtId="0" fontId="3" fillId="0" borderId="3" xfId="0" applyFont="1" applyBorder="1" applyAlignment="1">
      <alignment horizontal="left" vertical="center" wrapText="1" readingOrder="1"/>
    </xf>
    <xf numFmtId="0" fontId="3" fillId="3" borderId="6" xfId="0" applyFont="1" applyFill="1" applyBorder="1" applyAlignment="1">
      <alignment horizontal="center" vertical="center" wrapText="1" readingOrder="1"/>
    </xf>
    <xf numFmtId="0" fontId="3" fillId="4" borderId="3" xfId="0" applyFont="1" applyFill="1" applyBorder="1" applyAlignment="1">
      <alignment horizontal="center" vertical="center" wrapText="1" readingOrder="1"/>
    </xf>
    <xf numFmtId="0" fontId="3" fillId="4" borderId="3" xfId="0" applyFont="1" applyFill="1" applyBorder="1" applyAlignment="1">
      <alignment horizontal="left" vertical="center" wrapText="1" readingOrder="1"/>
    </xf>
    <xf numFmtId="0" fontId="2" fillId="5" borderId="3" xfId="0" applyFont="1" applyFill="1" applyBorder="1" applyAlignment="1">
      <alignment wrapText="1"/>
    </xf>
    <xf numFmtId="0" fontId="2" fillId="4" borderId="3" xfId="0" applyFont="1" applyFill="1" applyBorder="1" applyAlignment="1">
      <alignment wrapText="1"/>
    </xf>
    <xf numFmtId="0" fontId="7" fillId="0" borderId="0" xfId="0" applyFont="1" applyAlignment="1">
      <alignment horizontal="center"/>
    </xf>
    <xf numFmtId="164" fontId="7" fillId="0" borderId="0" xfId="0" applyNumberFormat="1" applyFont="1"/>
    <xf numFmtId="0" fontId="8" fillId="2" borderId="6" xfId="0" applyFont="1" applyFill="1" applyBorder="1" applyAlignment="1">
      <alignment horizontal="center" vertical="center" wrapText="1" readingOrder="1"/>
    </xf>
    <xf numFmtId="164" fontId="8" fillId="2" borderId="6" xfId="0" applyNumberFormat="1" applyFont="1" applyFill="1" applyBorder="1" applyAlignment="1">
      <alignment horizontal="center" vertical="center" wrapText="1" readingOrder="1"/>
    </xf>
    <xf numFmtId="165" fontId="3" fillId="0" borderId="8" xfId="0" applyNumberFormat="1" applyFont="1" applyBorder="1" applyAlignment="1">
      <alignment horizontal="left" vertical="center" wrapText="1" readingOrder="1"/>
    </xf>
    <xf numFmtId="0" fontId="3" fillId="0" borderId="8" xfId="0" applyFont="1" applyBorder="1" applyAlignment="1">
      <alignment horizontal="left" vertical="center" wrapText="1" readingOrder="1"/>
    </xf>
    <xf numFmtId="0" fontId="2" fillId="0" borderId="8" xfId="0" applyFont="1" applyBorder="1" applyAlignment="1">
      <alignment horizontal="center" vertical="center" wrapText="1"/>
    </xf>
    <xf numFmtId="164" fontId="3" fillId="0" borderId="8" xfId="0" applyNumberFormat="1" applyFont="1" applyBorder="1" applyAlignment="1">
      <alignment horizontal="left" vertical="center" wrapText="1" readingOrder="1"/>
    </xf>
    <xf numFmtId="0" fontId="2" fillId="0" borderId="0" xfId="0" applyFont="1" applyAlignment="1">
      <alignment vertical="center"/>
    </xf>
    <xf numFmtId="0" fontId="2" fillId="0" borderId="8" xfId="0" applyFont="1" applyBorder="1" applyAlignment="1">
      <alignment vertical="center"/>
    </xf>
    <xf numFmtId="0" fontId="2" fillId="0" borderId="8" xfId="0" applyFont="1" applyBorder="1" applyAlignment="1">
      <alignment horizontal="center" vertical="center"/>
    </xf>
    <xf numFmtId="164" fontId="2" fillId="0" borderId="8" xfId="0" applyNumberFormat="1" applyFont="1" applyBorder="1" applyAlignment="1">
      <alignment vertical="center"/>
    </xf>
    <xf numFmtId="0" fontId="2" fillId="0" borderId="0" xfId="0" applyFont="1" applyAlignment="1">
      <alignment horizontal="center" vertical="center" wrapText="1"/>
    </xf>
    <xf numFmtId="166" fontId="3" fillId="0" borderId="0" xfId="0" applyNumberFormat="1" applyFont="1" applyAlignment="1">
      <alignment horizontal="left" vertical="center" wrapText="1" readingOrder="1"/>
    </xf>
    <xf numFmtId="164" fontId="1" fillId="0" borderId="8" xfId="0" applyNumberFormat="1" applyFont="1" applyBorder="1"/>
    <xf numFmtId="164" fontId="2" fillId="0" borderId="0" xfId="0" applyNumberFormat="1" applyFont="1"/>
    <xf numFmtId="166" fontId="7" fillId="0" borderId="0" xfId="0" applyNumberFormat="1" applyFont="1"/>
    <xf numFmtId="166" fontId="4" fillId="2" borderId="3" xfId="0" applyNumberFormat="1" applyFont="1" applyFill="1" applyBorder="1" applyAlignment="1">
      <alignment horizontal="left" vertical="center" wrapText="1" readingOrder="1"/>
    </xf>
    <xf numFmtId="0" fontId="4" fillId="2" borderId="6" xfId="0" applyFont="1" applyFill="1" applyBorder="1" applyAlignment="1">
      <alignment horizontal="center" vertical="center" wrapText="1" readingOrder="1"/>
    </xf>
    <xf numFmtId="165" fontId="6" fillId="0" borderId="13" xfId="0" applyNumberFormat="1" applyFont="1" applyBorder="1" applyAlignment="1">
      <alignment horizontal="center" vertical="center" wrapText="1" readingOrder="1"/>
    </xf>
    <xf numFmtId="167" fontId="10" fillId="0" borderId="8" xfId="0" applyNumberFormat="1" applyFont="1" applyBorder="1" applyAlignment="1">
      <alignment horizontal="center" vertical="center" wrapText="1" readingOrder="1"/>
    </xf>
    <xf numFmtId="164" fontId="10" fillId="0" borderId="8" xfId="0" applyNumberFormat="1" applyFont="1" applyBorder="1" applyAlignment="1">
      <alignment horizontal="right" wrapText="1" readingOrder="1"/>
    </xf>
    <xf numFmtId="164" fontId="10" fillId="0" borderId="15" xfId="0" applyNumberFormat="1" applyFont="1" applyBorder="1" applyAlignment="1">
      <alignment horizontal="right" vertical="center" readingOrder="1"/>
    </xf>
    <xf numFmtId="164" fontId="10" fillId="0" borderId="8" xfId="0" applyNumberFormat="1" applyFont="1" applyBorder="1" applyAlignment="1">
      <alignment horizontal="right" vertical="center" readingOrder="1"/>
    </xf>
    <xf numFmtId="0" fontId="11" fillId="0" borderId="8" xfId="0" applyFont="1" applyBorder="1" applyAlignment="1">
      <alignment vertical="top" wrapText="1"/>
    </xf>
    <xf numFmtId="14" fontId="12" fillId="0" borderId="15" xfId="0" applyNumberFormat="1" applyFont="1" applyBorder="1" applyAlignment="1">
      <alignment horizontal="center" vertical="center" wrapText="1" readingOrder="1"/>
    </xf>
    <xf numFmtId="164" fontId="11" fillId="0" borderId="8" xfId="0" applyNumberFormat="1" applyFont="1" applyBorder="1" applyAlignment="1">
      <alignment horizontal="right" wrapText="1"/>
    </xf>
    <xf numFmtId="164" fontId="11" fillId="0" borderId="8" xfId="0" applyNumberFormat="1" applyFont="1" applyBorder="1" applyAlignment="1">
      <alignment horizontal="right"/>
    </xf>
    <xf numFmtId="166" fontId="11" fillId="0" borderId="8" xfId="0" applyNumberFormat="1" applyFont="1" applyBorder="1"/>
    <xf numFmtId="165" fontId="6" fillId="0" borderId="8" xfId="0" applyNumberFormat="1" applyFont="1" applyBorder="1" applyAlignment="1">
      <alignment horizontal="center" vertical="center" wrapText="1" readingOrder="1"/>
    </xf>
    <xf numFmtId="164" fontId="10" fillId="0" borderId="8" xfId="0" applyNumberFormat="1" applyFont="1" applyBorder="1" applyAlignment="1">
      <alignment horizontal="right" readingOrder="1"/>
    </xf>
    <xf numFmtId="166" fontId="11" fillId="0" borderId="8" xfId="0" applyNumberFormat="1" applyFont="1" applyBorder="1" applyAlignment="1">
      <alignment vertical="top" wrapText="1"/>
    </xf>
    <xf numFmtId="0" fontId="13" fillId="0" borderId="8" xfId="0" applyFont="1" applyBorder="1"/>
    <xf numFmtId="166" fontId="13" fillId="0" borderId="8" xfId="0" applyNumberFormat="1" applyFont="1" applyBorder="1"/>
    <xf numFmtId="0" fontId="7" fillId="0" borderId="8" xfId="0" applyFont="1" applyBorder="1"/>
    <xf numFmtId="0" fontId="13" fillId="0" borderId="0" xfId="0" applyFont="1"/>
    <xf numFmtId="166" fontId="13" fillId="0" borderId="0" xfId="0" applyNumberFormat="1" applyFont="1"/>
    <xf numFmtId="164" fontId="6" fillId="0" borderId="8" xfId="0" applyNumberFormat="1" applyFont="1" applyBorder="1" applyAlignment="1">
      <alignment horizontal="right" vertical="center" wrapText="1" readingOrder="1"/>
    </xf>
    <xf numFmtId="168" fontId="1" fillId="0" borderId="8" xfId="0" applyNumberFormat="1" applyFont="1" applyBorder="1" applyAlignment="1">
      <alignment horizontal="right" vertical="top" wrapText="1"/>
    </xf>
    <xf numFmtId="164" fontId="1" fillId="0" borderId="8" xfId="0" applyNumberFormat="1" applyFont="1" applyBorder="1" applyAlignment="1">
      <alignment vertical="center" wrapText="1"/>
    </xf>
    <xf numFmtId="14" fontId="6" fillId="0" borderId="8" xfId="0" applyNumberFormat="1" applyFont="1" applyBorder="1" applyAlignment="1">
      <alignment horizontal="center" vertical="center" wrapText="1" readingOrder="1"/>
    </xf>
    <xf numFmtId="166" fontId="6" fillId="0" borderId="8" xfId="0" applyNumberFormat="1" applyFont="1" applyBorder="1" applyAlignment="1">
      <alignment horizontal="right" vertical="center" wrapText="1" readingOrder="1"/>
    </xf>
    <xf numFmtId="166" fontId="1" fillId="0" borderId="8" xfId="0" applyNumberFormat="1" applyFont="1" applyBorder="1" applyAlignment="1">
      <alignment vertical="center" wrapText="1"/>
    </xf>
    <xf numFmtId="0" fontId="1" fillId="0" borderId="8" xfId="0" applyFont="1" applyBorder="1" applyAlignment="1">
      <alignment horizontal="center" vertical="center" wrapText="1"/>
    </xf>
    <xf numFmtId="166" fontId="1" fillId="0" borderId="8" xfId="0" applyNumberFormat="1" applyFont="1" applyBorder="1" applyAlignment="1">
      <alignment vertical="top" wrapText="1"/>
    </xf>
    <xf numFmtId="168" fontId="1" fillId="0" borderId="8" xfId="0" applyNumberFormat="1" applyFont="1" applyBorder="1" applyAlignment="1">
      <alignment horizontal="right" vertical="center" wrapText="1"/>
    </xf>
    <xf numFmtId="0" fontId="1" fillId="0" borderId="8"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167" fontId="10" fillId="0" borderId="0" xfId="0" applyNumberFormat="1" applyFont="1" applyAlignment="1">
      <alignment horizontal="center" vertical="center" wrapText="1" readingOrder="1"/>
    </xf>
    <xf numFmtId="166" fontId="1" fillId="0" borderId="0" xfId="0" applyNumberFormat="1" applyFont="1" applyAlignment="1">
      <alignment vertical="top" wrapText="1"/>
    </xf>
    <xf numFmtId="166" fontId="1" fillId="0" borderId="0" xfId="0" applyNumberFormat="1" applyFont="1" applyAlignment="1">
      <alignment vertical="center" wrapText="1"/>
    </xf>
    <xf numFmtId="164" fontId="6" fillId="0" borderId="0" xfId="0" applyNumberFormat="1" applyFont="1" applyAlignment="1">
      <alignment horizontal="right" vertical="center" wrapText="1" readingOrder="1"/>
    </xf>
    <xf numFmtId="0" fontId="1" fillId="0" borderId="0" xfId="0" applyFont="1" applyAlignment="1">
      <alignment horizontal="right" vertical="center" wrapText="1"/>
    </xf>
    <xf numFmtId="0" fontId="1" fillId="0" borderId="8" xfId="0" applyFont="1" applyBorder="1" applyAlignment="1">
      <alignment horizontal="right" vertical="top" wrapText="1"/>
    </xf>
    <xf numFmtId="0" fontId="1" fillId="0" borderId="14" xfId="0" applyFont="1" applyBorder="1" applyAlignment="1">
      <alignment horizontal="center" vertical="center" wrapText="1"/>
    </xf>
    <xf numFmtId="167" fontId="10" fillId="0" borderId="14" xfId="0" applyNumberFormat="1" applyFont="1" applyBorder="1" applyAlignment="1">
      <alignment horizontal="center" vertical="center" wrapText="1" readingOrder="1"/>
    </xf>
    <xf numFmtId="164" fontId="1" fillId="0" borderId="14" xfId="0" applyNumberFormat="1" applyFont="1" applyBorder="1" applyAlignment="1">
      <alignment vertical="top" wrapText="1"/>
    </xf>
    <xf numFmtId="164" fontId="1" fillId="0" borderId="14" xfId="0" applyNumberFormat="1" applyFont="1" applyBorder="1" applyAlignment="1">
      <alignment vertical="center" wrapText="1"/>
    </xf>
    <xf numFmtId="0" fontId="1" fillId="0" borderId="14" xfId="0" applyFont="1" applyBorder="1" applyAlignment="1">
      <alignment horizontal="right" vertical="center" wrapText="1"/>
    </xf>
    <xf numFmtId="164" fontId="1" fillId="0" borderId="8" xfId="0" applyNumberFormat="1" applyFont="1" applyBorder="1" applyAlignment="1">
      <alignment vertical="top" wrapText="1"/>
    </xf>
    <xf numFmtId="0" fontId="1" fillId="0" borderId="8" xfId="0" applyFont="1" applyBorder="1" applyAlignment="1">
      <alignment horizontal="right" vertical="center" wrapText="1"/>
    </xf>
    <xf numFmtId="164" fontId="1" fillId="0" borderId="0" xfId="0" applyNumberFormat="1" applyFont="1" applyAlignment="1">
      <alignment vertical="top" wrapText="1"/>
    </xf>
    <xf numFmtId="164" fontId="1" fillId="0" borderId="0" xfId="0" applyNumberFormat="1" applyFont="1" applyAlignment="1">
      <alignment vertical="center" wrapText="1"/>
    </xf>
    <xf numFmtId="169" fontId="6" fillId="0" borderId="8" xfId="0" applyNumberFormat="1" applyFont="1" applyBorder="1" applyAlignment="1">
      <alignment horizontal="center" vertical="center" wrapText="1" readingOrder="1"/>
    </xf>
    <xf numFmtId="167" fontId="6" fillId="0" borderId="8" xfId="0" applyNumberFormat="1" applyFont="1" applyBorder="1" applyAlignment="1">
      <alignment horizontal="center" vertical="center" wrapText="1" readingOrder="1"/>
    </xf>
    <xf numFmtId="0" fontId="6" fillId="0" borderId="8" xfId="0" applyFont="1" applyBorder="1" applyAlignment="1">
      <alignment horizontal="center" vertical="center" wrapText="1" readingOrder="1"/>
    </xf>
    <xf numFmtId="164" fontId="6" fillId="0" borderId="3" xfId="0" applyNumberFormat="1" applyFont="1" applyBorder="1" applyAlignment="1">
      <alignment horizontal="right" vertical="center" wrapText="1" readingOrder="1"/>
    </xf>
    <xf numFmtId="0" fontId="1" fillId="0" borderId="8" xfId="0" applyFont="1" applyBorder="1" applyAlignment="1">
      <alignment vertical="top" wrapText="1"/>
    </xf>
    <xf numFmtId="0" fontId="1" fillId="0" borderId="0" xfId="0" applyFont="1" applyAlignment="1">
      <alignment vertical="top" wrapText="1"/>
    </xf>
    <xf numFmtId="165" fontId="6" fillId="0" borderId="3" xfId="0" applyNumberFormat="1" applyFont="1" applyBorder="1" applyAlignment="1">
      <alignment horizontal="center" vertical="center" wrapText="1" readingOrder="1"/>
    </xf>
    <xf numFmtId="167" fontId="6" fillId="0" borderId="3" xfId="0" applyNumberFormat="1" applyFont="1" applyBorder="1" applyAlignment="1">
      <alignment horizontal="center" vertical="center" wrapText="1" readingOrder="1"/>
    </xf>
    <xf numFmtId="164" fontId="1" fillId="0" borderId="3" xfId="0" applyNumberFormat="1" applyFont="1" applyBorder="1" applyAlignment="1">
      <alignment vertical="center" wrapText="1"/>
    </xf>
    <xf numFmtId="0" fontId="1" fillId="0" borderId="3" xfId="0" applyFont="1" applyBorder="1" applyAlignment="1">
      <alignment horizontal="right" vertical="top" wrapText="1"/>
    </xf>
    <xf numFmtId="14" fontId="6" fillId="0" borderId="3" xfId="0" applyNumberFormat="1"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1" fillId="0" borderId="3" xfId="0" applyFont="1" applyBorder="1" applyAlignment="1">
      <alignment horizontal="center" vertical="center" wrapText="1"/>
    </xf>
    <xf numFmtId="0" fontId="1" fillId="0" borderId="3" xfId="0" applyFont="1" applyBorder="1" applyAlignment="1">
      <alignment vertical="top" wrapText="1"/>
    </xf>
    <xf numFmtId="164" fontId="1" fillId="0" borderId="3" xfId="0" applyNumberFormat="1" applyFont="1" applyBorder="1" applyAlignment="1">
      <alignment vertical="top" wrapText="1"/>
    </xf>
    <xf numFmtId="0" fontId="1" fillId="0" borderId="3" xfId="0" applyFont="1" applyBorder="1" applyAlignment="1">
      <alignment horizontal="right" vertical="center" wrapText="1"/>
    </xf>
    <xf numFmtId="6" fontId="6" fillId="0" borderId="3" xfId="0" applyNumberFormat="1" applyFont="1" applyBorder="1" applyAlignment="1">
      <alignment horizontal="right" vertical="center" wrapText="1" readingOrder="1"/>
    </xf>
    <xf numFmtId="164" fontId="1" fillId="0" borderId="3" xfId="0" applyNumberFormat="1" applyFont="1" applyBorder="1" applyAlignment="1">
      <alignment horizontal="right" vertical="top" wrapText="1"/>
    </xf>
    <xf numFmtId="6" fontId="4" fillId="0" borderId="3" xfId="0" applyNumberFormat="1" applyFont="1" applyBorder="1" applyAlignment="1">
      <alignment horizontal="right" vertical="center" wrapText="1" readingOrder="1"/>
    </xf>
    <xf numFmtId="164" fontId="1" fillId="0" borderId="0" xfId="0" applyNumberFormat="1" applyFont="1" applyAlignment="1">
      <alignment horizontal="right" vertical="top" wrapText="1"/>
    </xf>
    <xf numFmtId="166" fontId="1" fillId="0" borderId="3" xfId="0" applyNumberFormat="1" applyFont="1" applyBorder="1" applyAlignment="1">
      <alignment vertical="center" wrapText="1"/>
    </xf>
    <xf numFmtId="166" fontId="6" fillId="0" borderId="3" xfId="0" applyNumberFormat="1" applyFont="1" applyBorder="1" applyAlignment="1">
      <alignment horizontal="right" vertical="center" wrapText="1" readingOrder="1"/>
    </xf>
    <xf numFmtId="166" fontId="1" fillId="0" borderId="3" xfId="0" applyNumberFormat="1" applyFont="1" applyBorder="1" applyAlignment="1">
      <alignment vertical="top" wrapText="1"/>
    </xf>
    <xf numFmtId="164" fontId="1" fillId="0" borderId="3" xfId="0" applyNumberFormat="1" applyFont="1" applyBorder="1" applyAlignment="1">
      <alignment horizontal="right" vertical="center" wrapText="1"/>
    </xf>
    <xf numFmtId="164" fontId="1" fillId="0" borderId="0" xfId="0" applyNumberFormat="1" applyFont="1" applyAlignment="1">
      <alignment horizontal="right" vertical="center" wrapText="1"/>
    </xf>
    <xf numFmtId="166" fontId="1" fillId="0" borderId="3" xfId="0" applyNumberFormat="1" applyFont="1" applyBorder="1" applyAlignment="1">
      <alignment horizontal="right" vertical="top" wrapText="1"/>
    </xf>
    <xf numFmtId="14" fontId="3" fillId="0" borderId="3" xfId="0" applyNumberFormat="1" applyFont="1" applyBorder="1" applyAlignment="1">
      <alignment horizontal="center" vertical="center" wrapText="1" readingOrder="1"/>
    </xf>
    <xf numFmtId="166" fontId="3" fillId="0" borderId="3" xfId="0" applyNumberFormat="1" applyFont="1" applyBorder="1" applyAlignment="1">
      <alignment horizontal="right" vertical="center" wrapText="1" readingOrder="1"/>
    </xf>
    <xf numFmtId="166" fontId="2" fillId="0" borderId="3" xfId="0" applyNumberFormat="1" applyFont="1" applyBorder="1" applyAlignment="1">
      <alignment vertical="center" wrapText="1"/>
    </xf>
    <xf numFmtId="6" fontId="3" fillId="0" borderId="3" xfId="0" applyNumberFormat="1" applyFont="1" applyBorder="1" applyAlignment="1">
      <alignment horizontal="right" vertical="center" wrapText="1" readingOrder="1"/>
    </xf>
    <xf numFmtId="0" fontId="2" fillId="0" borderId="3" xfId="0" applyFont="1" applyBorder="1" applyAlignment="1">
      <alignment horizontal="right" vertical="top" wrapText="1"/>
    </xf>
    <xf numFmtId="0" fontId="4" fillId="2" borderId="8" xfId="0" applyFont="1" applyFill="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vertical="center"/>
    </xf>
    <xf numFmtId="3" fontId="3" fillId="0" borderId="8" xfId="0" applyNumberFormat="1" applyFont="1" applyBorder="1" applyAlignment="1">
      <alignment horizontal="right" vertical="center"/>
    </xf>
    <xf numFmtId="3" fontId="2" fillId="0" borderId="8" xfId="0" applyNumberFormat="1" applyFont="1" applyBorder="1" applyAlignment="1">
      <alignment vertical="center"/>
    </xf>
    <xf numFmtId="0" fontId="3" fillId="0" borderId="8" xfId="0" applyFont="1" applyBorder="1" applyAlignment="1">
      <alignment horizontal="center"/>
    </xf>
    <xf numFmtId="0" fontId="3" fillId="0" borderId="8" xfId="0" applyFont="1" applyBorder="1" applyAlignment="1">
      <alignment wrapText="1"/>
    </xf>
    <xf numFmtId="3" fontId="6" fillId="0" borderId="8" xfId="0" applyNumberFormat="1" applyFont="1" applyBorder="1" applyAlignment="1">
      <alignment horizontal="center"/>
    </xf>
    <xf numFmtId="0" fontId="7" fillId="0" borderId="0" xfId="0" applyFont="1"/>
    <xf numFmtId="0" fontId="7" fillId="0" borderId="0" xfId="0" applyFont="1" applyAlignment="1">
      <alignment vertical="center"/>
    </xf>
    <xf numFmtId="170" fontId="1" fillId="0" borderId="0" xfId="0" applyNumberFormat="1" applyFont="1"/>
    <xf numFmtId="0" fontId="8" fillId="2" borderId="6" xfId="0" applyFont="1" applyFill="1" applyBorder="1" applyAlignment="1">
      <alignment horizontal="center" wrapText="1" readingOrder="1"/>
    </xf>
    <xf numFmtId="164" fontId="8" fillId="2" borderId="6" xfId="0" applyNumberFormat="1" applyFont="1" applyFill="1" applyBorder="1" applyAlignment="1">
      <alignment horizontal="center" wrapText="1" readingOrder="1"/>
    </xf>
    <xf numFmtId="171" fontId="3" fillId="0" borderId="14" xfId="0" applyNumberFormat="1" applyFont="1" applyBorder="1" applyAlignment="1">
      <alignment horizontal="left" wrapText="1" readingOrder="1"/>
    </xf>
    <xf numFmtId="0" fontId="2" fillId="0" borderId="8" xfId="0" applyFont="1" applyBorder="1" applyAlignment="1">
      <alignment horizontal="center" wrapText="1"/>
    </xf>
    <xf numFmtId="164" fontId="3" fillId="0" borderId="8" xfId="0" applyNumberFormat="1" applyFont="1" applyBorder="1" applyAlignment="1">
      <alignment horizontal="left" wrapText="1" readingOrder="1"/>
    </xf>
    <xf numFmtId="171" fontId="3" fillId="0" borderId="15" xfId="0" applyNumberFormat="1" applyFont="1" applyBorder="1" applyAlignment="1">
      <alignment horizontal="left" wrapText="1" readingOrder="1"/>
    </xf>
    <xf numFmtId="0" fontId="2" fillId="0" borderId="8" xfId="0" applyFont="1" applyBorder="1" applyAlignment="1">
      <alignment horizontal="center"/>
    </xf>
    <xf numFmtId="164" fontId="2" fillId="0" borderId="8" xfId="0" applyNumberFormat="1" applyFont="1" applyBorder="1"/>
    <xf numFmtId="0" fontId="2" fillId="0" borderId="8" xfId="0" applyFont="1" applyBorder="1"/>
    <xf numFmtId="0" fontId="1" fillId="0" borderId="9" xfId="0" applyFont="1" applyBorder="1" applyAlignment="1">
      <alignment vertical="center"/>
    </xf>
    <xf numFmtId="0" fontId="7" fillId="0" borderId="10" xfId="0" applyFont="1" applyBorder="1" applyAlignment="1">
      <alignment vertical="center"/>
    </xf>
    <xf numFmtId="0" fontId="7" fillId="0" borderId="11" xfId="0" applyFont="1" applyBorder="1"/>
    <xf numFmtId="0" fontId="4" fillId="2" borderId="20" xfId="0" applyFont="1" applyFill="1" applyBorder="1" applyAlignment="1">
      <alignment horizontal="center" vertical="center"/>
    </xf>
    <xf numFmtId="0" fontId="4" fillId="2" borderId="20" xfId="0" applyFont="1" applyFill="1" applyBorder="1" applyAlignment="1">
      <alignment horizontal="center"/>
    </xf>
    <xf numFmtId="0" fontId="4" fillId="2" borderId="24" xfId="0" applyFont="1" applyFill="1" applyBorder="1" applyAlignment="1">
      <alignment horizontal="center"/>
    </xf>
    <xf numFmtId="0" fontId="3" fillId="0" borderId="25" xfId="0" applyFont="1" applyBorder="1" applyAlignment="1">
      <alignment horizontal="center"/>
    </xf>
    <xf numFmtId="0" fontId="3" fillId="0" borderId="25" xfId="0" applyFont="1" applyBorder="1"/>
    <xf numFmtId="3" fontId="3" fillId="0" borderId="26" xfId="0" applyNumberFormat="1" applyFont="1" applyBorder="1" applyAlignment="1">
      <alignment horizontal="center"/>
    </xf>
    <xf numFmtId="166" fontId="3" fillId="0" borderId="0" xfId="0" applyNumberFormat="1" applyFont="1" applyAlignment="1">
      <alignment horizontal="right"/>
    </xf>
    <xf numFmtId="166" fontId="3" fillId="0" borderId="27" xfId="0" applyNumberFormat="1" applyFont="1" applyBorder="1"/>
    <xf numFmtId="0" fontId="3" fillId="0" borderId="26" xfId="0" applyFont="1" applyBorder="1"/>
    <xf numFmtId="172" fontId="3" fillId="0" borderId="0" xfId="0" applyNumberFormat="1" applyFont="1"/>
    <xf numFmtId="0" fontId="3" fillId="0" borderId="27" xfId="0" applyFont="1" applyBorder="1"/>
    <xf numFmtId="0" fontId="3" fillId="0" borderId="28" xfId="0" applyFont="1" applyBorder="1" applyAlignment="1">
      <alignment horizontal="center"/>
    </xf>
    <xf numFmtId="0" fontId="3" fillId="0" borderId="28" xfId="0" applyFont="1" applyBorder="1"/>
    <xf numFmtId="3" fontId="3" fillId="0" borderId="29" xfId="0" applyNumberFormat="1" applyFont="1" applyBorder="1" applyAlignment="1">
      <alignment horizontal="center"/>
    </xf>
    <xf numFmtId="166" fontId="3" fillId="0" borderId="30" xfId="0" applyNumberFormat="1" applyFont="1" applyBorder="1"/>
    <xf numFmtId="0" fontId="3" fillId="0" borderId="29" xfId="0" applyFont="1" applyBorder="1"/>
    <xf numFmtId="0" fontId="3" fillId="0" borderId="30" xfId="0" applyFont="1" applyBorder="1"/>
    <xf numFmtId="166" fontId="3" fillId="0" borderId="29" xfId="0" applyNumberFormat="1" applyFont="1" applyBorder="1"/>
    <xf numFmtId="3" fontId="3" fillId="0" borderId="28" xfId="0" applyNumberFormat="1" applyFont="1" applyBorder="1" applyAlignment="1">
      <alignment horizontal="center"/>
    </xf>
    <xf numFmtId="166" fontId="3" fillId="0" borderId="31" xfId="0" applyNumberFormat="1" applyFont="1" applyBorder="1"/>
    <xf numFmtId="166" fontId="3" fillId="0" borderId="28" xfId="0" applyNumberFormat="1" applyFont="1" applyBorder="1" applyAlignment="1">
      <alignment horizontal="right"/>
    </xf>
    <xf numFmtId="166" fontId="3" fillId="0" borderId="28" xfId="0" applyNumberFormat="1" applyFont="1" applyBorder="1"/>
    <xf numFmtId="172" fontId="3" fillId="0" borderId="30" xfId="0" applyNumberFormat="1" applyFont="1" applyBorder="1"/>
    <xf numFmtId="0" fontId="3" fillId="0" borderId="31" xfId="0" applyFont="1" applyBorder="1"/>
    <xf numFmtId="0" fontId="3" fillId="0" borderId="32" xfId="0" applyFont="1" applyBorder="1" applyAlignment="1">
      <alignment horizontal="center"/>
    </xf>
    <xf numFmtId="0" fontId="3" fillId="0" borderId="32" xfId="0" applyFont="1" applyBorder="1"/>
    <xf numFmtId="3" fontId="3" fillId="0" borderId="32" xfId="0" applyNumberFormat="1" applyFont="1" applyBorder="1" applyAlignment="1">
      <alignment horizontal="center"/>
    </xf>
    <xf numFmtId="166" fontId="3" fillId="0" borderId="32" xfId="0" applyNumberFormat="1" applyFont="1" applyBorder="1"/>
    <xf numFmtId="0" fontId="3" fillId="0" borderId="33" xfId="0" applyFont="1" applyBorder="1"/>
    <xf numFmtId="0" fontId="3" fillId="0" borderId="34" xfId="0" applyFont="1" applyBorder="1" applyAlignment="1">
      <alignment horizontal="center"/>
    </xf>
    <xf numFmtId="0" fontId="3" fillId="0" borderId="34" xfId="0" applyFont="1" applyBorder="1"/>
    <xf numFmtId="3" fontId="3" fillId="0" borderId="34" xfId="0" applyNumberFormat="1" applyFont="1" applyBorder="1" applyAlignment="1">
      <alignment horizontal="center"/>
    </xf>
    <xf numFmtId="166" fontId="3" fillId="0" borderId="34" xfId="0" applyNumberFormat="1" applyFont="1" applyBorder="1"/>
    <xf numFmtId="0" fontId="3" fillId="0" borderId="35" xfId="0" applyFont="1" applyBorder="1"/>
    <xf numFmtId="3" fontId="6" fillId="6" borderId="38" xfId="0" applyNumberFormat="1" applyFont="1" applyFill="1" applyBorder="1" applyAlignment="1">
      <alignment horizontal="center"/>
    </xf>
    <xf numFmtId="0" fontId="2" fillId="6" borderId="39" xfId="0" applyFont="1" applyFill="1" applyBorder="1" applyAlignment="1">
      <alignment horizontal="center"/>
    </xf>
    <xf numFmtId="0" fontId="2" fillId="6" borderId="39" xfId="0" applyFont="1" applyFill="1" applyBorder="1"/>
    <xf numFmtId="172" fontId="3" fillId="6" borderId="39" xfId="0" applyNumberFormat="1" applyFont="1" applyFill="1" applyBorder="1"/>
    <xf numFmtId="3" fontId="6" fillId="6" borderId="40" xfId="0" applyNumberFormat="1" applyFont="1" applyFill="1" applyBorder="1"/>
    <xf numFmtId="0" fontId="1" fillId="6" borderId="39" xfId="0" applyFont="1" applyFill="1" applyBorder="1"/>
    <xf numFmtId="3" fontId="1" fillId="6" borderId="39" xfId="0" applyNumberFormat="1" applyFont="1" applyFill="1" applyBorder="1"/>
    <xf numFmtId="0" fontId="14" fillId="0" borderId="0" xfId="0" applyFont="1"/>
    <xf numFmtId="0" fontId="3" fillId="0" borderId="3" xfId="0" applyFont="1" applyBorder="1"/>
    <xf numFmtId="173" fontId="2" fillId="0" borderId="3" xfId="0" applyNumberFormat="1" applyFont="1" applyBorder="1"/>
    <xf numFmtId="174" fontId="3" fillId="0" borderId="3" xfId="0" applyNumberFormat="1" applyFont="1" applyBorder="1" applyAlignment="1">
      <alignment horizontal="right"/>
    </xf>
    <xf numFmtId="166" fontId="2" fillId="0" borderId="3" xfId="0" applyNumberFormat="1" applyFont="1" applyBorder="1"/>
    <xf numFmtId="174" fontId="2" fillId="0" borderId="3" xfId="0" applyNumberFormat="1" applyFont="1" applyBorder="1"/>
    <xf numFmtId="0" fontId="6" fillId="0" borderId="3" xfId="0" applyFont="1" applyBorder="1"/>
    <xf numFmtId="174" fontId="1" fillId="0" borderId="3" xfId="0" applyNumberFormat="1" applyFont="1" applyBorder="1"/>
    <xf numFmtId="166" fontId="3" fillId="0" borderId="3" xfId="0" applyNumberFormat="1" applyFont="1" applyBorder="1" applyAlignment="1">
      <alignment horizontal="right"/>
    </xf>
    <xf numFmtId="173" fontId="3" fillId="0" borderId="3" xfId="0" applyNumberFormat="1" applyFont="1" applyBorder="1" applyAlignment="1">
      <alignment horizontal="right"/>
    </xf>
    <xf numFmtId="166" fontId="6" fillId="0" borderId="3" xfId="0" applyNumberFormat="1" applyFont="1" applyBorder="1" applyAlignment="1">
      <alignment horizontal="right"/>
    </xf>
    <xf numFmtId="3" fontId="2" fillId="0" borderId="0" xfId="0" applyNumberFormat="1" applyFont="1"/>
    <xf numFmtId="174" fontId="6" fillId="0" borderId="3" xfId="0" applyNumberFormat="1" applyFont="1" applyBorder="1" applyAlignment="1">
      <alignment horizontal="right"/>
    </xf>
    <xf numFmtId="0" fontId="2" fillId="0" borderId="3" xfId="0" applyFont="1" applyBorder="1"/>
    <xf numFmtId="172" fontId="3" fillId="0" borderId="3" xfId="0" applyNumberFormat="1" applyFont="1" applyBorder="1" applyAlignment="1">
      <alignment horizontal="right"/>
    </xf>
    <xf numFmtId="172" fontId="6" fillId="0" borderId="3" xfId="0" applyNumberFormat="1" applyFont="1" applyBorder="1" applyAlignment="1">
      <alignment horizontal="right"/>
    </xf>
    <xf numFmtId="0" fontId="15" fillId="0" borderId="0" xfId="0" applyFont="1"/>
    <xf numFmtId="0" fontId="16" fillId="0" borderId="0" xfId="0" applyFont="1"/>
    <xf numFmtId="0" fontId="17" fillId="0" borderId="0" xfId="0" applyFont="1"/>
    <xf numFmtId="0" fontId="7" fillId="2" borderId="39" xfId="0" applyFont="1" applyFill="1" applyBorder="1"/>
    <xf numFmtId="168" fontId="7" fillId="2" borderId="39" xfId="0" applyNumberFormat="1" applyFont="1" applyFill="1" applyBorder="1"/>
    <xf numFmtId="164" fontId="7" fillId="0" borderId="8" xfId="0" applyNumberFormat="1" applyFont="1" applyBorder="1"/>
    <xf numFmtId="0" fontId="16" fillId="2" borderId="41" xfId="0" applyFont="1" applyFill="1" applyBorder="1" applyAlignment="1">
      <alignment horizontal="left" vertical="center" readingOrder="1"/>
    </xf>
    <xf numFmtId="0" fontId="7" fillId="2" borderId="42" xfId="0" applyFont="1" applyFill="1" applyBorder="1"/>
    <xf numFmtId="0" fontId="7" fillId="2" borderId="43" xfId="0" applyFont="1" applyFill="1" applyBorder="1"/>
    <xf numFmtId="0" fontId="7" fillId="7" borderId="42" xfId="0" applyFont="1" applyFill="1" applyBorder="1"/>
    <xf numFmtId="0" fontId="7" fillId="7" borderId="43" xfId="0" applyFont="1" applyFill="1" applyBorder="1"/>
    <xf numFmtId="0" fontId="7" fillId="0" borderId="46" xfId="0" applyFont="1" applyBorder="1"/>
    <xf numFmtId="0" fontId="18" fillId="0" borderId="47" xfId="0" applyFont="1" applyBorder="1" applyAlignment="1">
      <alignment horizontal="left" vertical="center" readingOrder="1"/>
    </xf>
    <xf numFmtId="0" fontId="7" fillId="0" borderId="0" xfId="0" applyFont="1" applyAlignment="1">
      <alignment horizontal="left"/>
    </xf>
    <xf numFmtId="0" fontId="19" fillId="0" borderId="47" xfId="0" applyFont="1" applyBorder="1"/>
    <xf numFmtId="0" fontId="18" fillId="0" borderId="48" xfId="0" applyFont="1" applyBorder="1"/>
    <xf numFmtId="0" fontId="7" fillId="0" borderId="18" xfId="0" applyFont="1" applyBorder="1"/>
    <xf numFmtId="0" fontId="7" fillId="0" borderId="49" xfId="0" applyFont="1" applyBorder="1"/>
    <xf numFmtId="0" fontId="20" fillId="0" borderId="0" xfId="0" applyFont="1"/>
    <xf numFmtId="0" fontId="1" fillId="2" borderId="8" xfId="0" applyFont="1" applyFill="1" applyBorder="1" applyAlignment="1">
      <alignment horizontal="center" vertical="center" wrapText="1" readingOrder="1"/>
    </xf>
    <xf numFmtId="0" fontId="3" fillId="0" borderId="8" xfId="0" applyFont="1" applyBorder="1" applyAlignment="1">
      <alignment horizontal="left" vertical="top" wrapText="1" readingOrder="1"/>
    </xf>
    <xf numFmtId="175" fontId="21" fillId="0" borderId="8" xfId="0" applyNumberFormat="1" applyFont="1" applyBorder="1" applyAlignment="1">
      <alignment horizontal="right" vertical="top" wrapText="1"/>
    </xf>
    <xf numFmtId="0" fontId="21" fillId="0" borderId="8" xfId="0" applyFont="1" applyBorder="1" applyAlignment="1">
      <alignment horizontal="right" vertical="top"/>
    </xf>
    <xf numFmtId="10" fontId="21" fillId="0" borderId="8" xfId="0" applyNumberFormat="1" applyFont="1" applyBorder="1" applyAlignment="1">
      <alignment horizontal="right" vertical="top" wrapText="1"/>
    </xf>
    <xf numFmtId="10" fontId="21" fillId="0" borderId="8" xfId="0" applyNumberFormat="1" applyFont="1" applyBorder="1" applyAlignment="1">
      <alignment vertical="top" wrapText="1"/>
    </xf>
    <xf numFmtId="0" fontId="22" fillId="0" borderId="0" xfId="0" applyFont="1" applyAlignment="1">
      <alignment horizontal="left" vertical="center" wrapText="1" readingOrder="1"/>
    </xf>
    <xf numFmtId="9" fontId="21" fillId="0" borderId="0" xfId="0" applyNumberFormat="1" applyFont="1" applyAlignment="1">
      <alignment vertical="center" wrapText="1"/>
    </xf>
    <xf numFmtId="0" fontId="21" fillId="0" borderId="0" xfId="0" applyFont="1" applyAlignment="1">
      <alignment horizontal="right" vertical="center"/>
    </xf>
    <xf numFmtId="0" fontId="16" fillId="2" borderId="50" xfId="0" applyFont="1" applyFill="1" applyBorder="1"/>
    <xf numFmtId="0" fontId="16" fillId="2" borderId="51" xfId="0" applyFont="1" applyFill="1" applyBorder="1"/>
    <xf numFmtId="0" fontId="16" fillId="2" borderId="52" xfId="0" applyFont="1" applyFill="1" applyBorder="1"/>
    <xf numFmtId="0" fontId="17" fillId="0" borderId="44" xfId="0" applyFont="1" applyBorder="1"/>
    <xf numFmtId="0" fontId="17" fillId="0" borderId="17" xfId="0" applyFont="1" applyBorder="1"/>
    <xf numFmtId="0" fontId="17" fillId="0" borderId="45" xfId="0" applyFont="1" applyBorder="1"/>
    <xf numFmtId="0" fontId="17" fillId="0" borderId="47" xfId="0" applyFont="1" applyBorder="1" applyAlignment="1">
      <alignment horizontal="left"/>
    </xf>
    <xf numFmtId="0" fontId="17" fillId="0" borderId="0" xfId="0" applyFont="1" applyAlignment="1">
      <alignment horizontal="left"/>
    </xf>
    <xf numFmtId="0" fontId="17" fillId="0" borderId="46" xfId="0" applyFont="1" applyBorder="1" applyAlignment="1">
      <alignment horizontal="left"/>
    </xf>
    <xf numFmtId="0" fontId="17" fillId="0" borderId="47" xfId="0" applyFont="1" applyBorder="1" applyAlignment="1">
      <alignment horizontal="left"/>
    </xf>
    <xf numFmtId="0" fontId="17" fillId="0" borderId="18" xfId="0" applyFont="1" applyBorder="1"/>
    <xf numFmtId="0" fontId="17" fillId="0" borderId="49" xfId="0" applyFont="1" applyBorder="1"/>
    <xf numFmtId="164" fontId="21" fillId="0" borderId="8" xfId="0" applyNumberFormat="1" applyFont="1" applyBorder="1" applyAlignment="1">
      <alignment horizontal="right" vertical="center" wrapText="1"/>
    </xf>
    <xf numFmtId="10" fontId="21" fillId="0" borderId="8" xfId="0" applyNumberFormat="1" applyFont="1" applyBorder="1" applyAlignment="1">
      <alignment horizontal="right" vertical="center" wrapText="1"/>
    </xf>
    <xf numFmtId="9" fontId="7" fillId="0" borderId="8" xfId="0" applyNumberFormat="1" applyFont="1" applyBorder="1"/>
    <xf numFmtId="9" fontId="7" fillId="0" borderId="0" xfId="0" applyNumberFormat="1" applyFont="1"/>
    <xf numFmtId="0" fontId="17" fillId="2" borderId="51" xfId="0" applyFont="1" applyFill="1" applyBorder="1"/>
    <xf numFmtId="0" fontId="7" fillId="2" borderId="51" xfId="0" applyFont="1" applyFill="1" applyBorder="1"/>
    <xf numFmtId="0" fontId="7" fillId="2" borderId="52" xfId="0" applyFont="1" applyFill="1" applyBorder="1"/>
    <xf numFmtId="0" fontId="17" fillId="2" borderId="39" xfId="0" applyFont="1" applyFill="1" applyBorder="1"/>
    <xf numFmtId="0" fontId="17" fillId="2" borderId="53" xfId="0" applyFont="1" applyFill="1" applyBorder="1"/>
    <xf numFmtId="0" fontId="17" fillId="0" borderId="15" xfId="0" applyFont="1" applyBorder="1"/>
    <xf numFmtId="0" fontId="18" fillId="0" borderId="0" xfId="0" applyFont="1"/>
    <xf numFmtId="0" fontId="24" fillId="0" borderId="0" xfId="0" applyFont="1"/>
    <xf numFmtId="0" fontId="23" fillId="0" borderId="0" xfId="0" applyFont="1" applyAlignment="1">
      <alignment wrapText="1"/>
    </xf>
    <xf numFmtId="0" fontId="1" fillId="0" borderId="0" xfId="0" applyFont="1" applyAlignment="1">
      <alignment horizontal="center" vertical="center"/>
    </xf>
    <xf numFmtId="3" fontId="1" fillId="0" borderId="0" xfId="0" applyNumberFormat="1" applyFont="1" applyAlignment="1">
      <alignment horizontal="center" vertical="center"/>
    </xf>
    <xf numFmtId="0" fontId="1" fillId="2" borderId="39" xfId="0" applyFont="1" applyFill="1" applyBorder="1"/>
    <xf numFmtId="176" fontId="2" fillId="8" borderId="39" xfId="0" applyNumberFormat="1" applyFont="1" applyFill="1" applyBorder="1" applyAlignment="1">
      <alignment horizontal="center"/>
    </xf>
    <xf numFmtId="3" fontId="2" fillId="8" borderId="39" xfId="0" applyNumberFormat="1" applyFont="1" applyFill="1" applyBorder="1" applyAlignment="1">
      <alignment horizontal="center"/>
    </xf>
    <xf numFmtId="0" fontId="2" fillId="2" borderId="39" xfId="0" applyFont="1" applyFill="1" applyBorder="1"/>
    <xf numFmtId="177" fontId="2" fillId="8" borderId="39" xfId="0" applyNumberFormat="1" applyFont="1" applyFill="1" applyBorder="1"/>
    <xf numFmtId="3" fontId="2" fillId="8" borderId="39" xfId="0" applyNumberFormat="1" applyFont="1" applyFill="1" applyBorder="1"/>
    <xf numFmtId="178" fontId="2" fillId="8" borderId="39" xfId="0" applyNumberFormat="1" applyFont="1" applyFill="1" applyBorder="1"/>
    <xf numFmtId="0" fontId="25" fillId="2" borderId="39" xfId="0" applyFont="1" applyFill="1" applyBorder="1"/>
    <xf numFmtId="0" fontId="2" fillId="8" borderId="39" xfId="0" applyFont="1" applyFill="1" applyBorder="1"/>
    <xf numFmtId="0" fontId="26" fillId="0" borderId="0" xfId="0" applyFont="1" applyAlignment="1">
      <alignment wrapText="1"/>
    </xf>
    <xf numFmtId="176" fontId="2" fillId="8" borderId="39" xfId="0" applyNumberFormat="1" applyFont="1" applyFill="1" applyBorder="1"/>
    <xf numFmtId="0" fontId="2" fillId="0" borderId="0" xfId="0" applyFont="1" applyAlignment="1">
      <alignment wrapText="1"/>
    </xf>
    <xf numFmtId="0" fontId="23" fillId="0" borderId="0" xfId="0" applyFont="1"/>
    <xf numFmtId="179" fontId="2" fillId="8" borderId="39" xfId="0" applyNumberFormat="1" applyFont="1" applyFill="1" applyBorder="1"/>
    <xf numFmtId="0" fontId="26" fillId="0" borderId="0" xfId="0" applyFont="1"/>
    <xf numFmtId="0" fontId="27" fillId="0" borderId="0" xfId="0" applyFont="1" applyAlignment="1">
      <alignment wrapText="1"/>
    </xf>
    <xf numFmtId="0" fontId="27" fillId="0" borderId="0" xfId="0" applyFont="1"/>
    <xf numFmtId="3" fontId="27" fillId="0" borderId="0" xfId="0" applyNumberFormat="1" applyFont="1"/>
    <xf numFmtId="166" fontId="17" fillId="0" borderId="0" xfId="0" applyNumberFormat="1" applyFont="1"/>
    <xf numFmtId="0" fontId="29" fillId="2" borderId="6" xfId="0" applyFont="1" applyFill="1" applyBorder="1" applyAlignment="1">
      <alignment horizontal="center" wrapText="1"/>
    </xf>
    <xf numFmtId="166" fontId="29" fillId="2" borderId="6" xfId="0" applyNumberFormat="1" applyFont="1" applyFill="1" applyBorder="1" applyAlignment="1">
      <alignment horizontal="center" wrapText="1"/>
    </xf>
    <xf numFmtId="14" fontId="18" fillId="0" borderId="15" xfId="0" applyNumberFormat="1" applyFont="1" applyBorder="1" applyAlignment="1">
      <alignment horizontal="right" wrapText="1"/>
    </xf>
    <xf numFmtId="0" fontId="18" fillId="0" borderId="15" xfId="0" applyFont="1" applyBorder="1" applyAlignment="1">
      <alignment wrapText="1"/>
    </xf>
    <xf numFmtId="0" fontId="18" fillId="0" borderId="15" xfId="0" applyFont="1" applyBorder="1" applyAlignment="1">
      <alignment horizontal="center" wrapText="1"/>
    </xf>
    <xf numFmtId="166" fontId="18" fillId="0" borderId="15" xfId="0" applyNumberFormat="1" applyFont="1" applyBorder="1" applyAlignment="1">
      <alignment horizontal="right" wrapText="1"/>
    </xf>
    <xf numFmtId="166" fontId="18" fillId="0" borderId="15" xfId="0" applyNumberFormat="1" applyFont="1" applyBorder="1"/>
    <xf numFmtId="0" fontId="18" fillId="0" borderId="8" xfId="0" applyFont="1" applyBorder="1"/>
    <xf numFmtId="0" fontId="18" fillId="0" borderId="8" xfId="0" applyFont="1" applyBorder="1" applyAlignment="1">
      <alignment horizontal="left" wrapText="1"/>
    </xf>
    <xf numFmtId="0" fontId="18" fillId="0" borderId="8" xfId="0" applyFont="1" applyBorder="1" applyAlignment="1">
      <alignment horizontal="center" wrapText="1"/>
    </xf>
    <xf numFmtId="166" fontId="18" fillId="0" borderId="8" xfId="0" applyNumberFormat="1" applyFont="1" applyBorder="1"/>
    <xf numFmtId="166" fontId="18" fillId="0" borderId="8" xfId="0" applyNumberFormat="1" applyFont="1" applyBorder="1" applyAlignment="1">
      <alignment horizontal="right" wrapText="1"/>
    </xf>
    <xf numFmtId="0" fontId="30" fillId="0" borderId="8" xfId="0" applyFont="1" applyBorder="1" applyAlignment="1">
      <alignment wrapText="1"/>
    </xf>
    <xf numFmtId="14" fontId="18" fillId="0" borderId="8" xfId="0" applyNumberFormat="1" applyFont="1" applyBorder="1" applyAlignment="1">
      <alignment horizontal="right"/>
    </xf>
    <xf numFmtId="0" fontId="18" fillId="0" borderId="8" xfId="0" applyFont="1" applyBorder="1" applyAlignment="1">
      <alignment horizontal="center"/>
    </xf>
    <xf numFmtId="166" fontId="18" fillId="0" borderId="8" xfId="0" applyNumberFormat="1" applyFont="1" applyBorder="1" applyAlignment="1">
      <alignment horizontal="right"/>
    </xf>
    <xf numFmtId="0" fontId="18" fillId="0" borderId="8" xfId="0" applyFont="1" applyBorder="1" applyAlignment="1">
      <alignment horizontal="left"/>
    </xf>
    <xf numFmtId="0" fontId="30" fillId="0" borderId="8" xfId="0" applyFont="1" applyBorder="1"/>
    <xf numFmtId="171" fontId="18" fillId="0" borderId="8" xfId="0" applyNumberFormat="1" applyFont="1" applyBorder="1"/>
    <xf numFmtId="14" fontId="18" fillId="0" borderId="14" xfId="0" applyNumberFormat="1" applyFont="1" applyBorder="1" applyAlignment="1">
      <alignment horizontal="right"/>
    </xf>
    <xf numFmtId="0" fontId="30" fillId="0" borderId="14" xfId="0" applyFont="1" applyBorder="1"/>
    <xf numFmtId="0" fontId="18" fillId="0" borderId="14" xfId="0" applyFont="1" applyBorder="1" applyAlignment="1">
      <alignment horizontal="center"/>
    </xf>
    <xf numFmtId="166" fontId="18" fillId="0" borderId="14" xfId="0" applyNumberFormat="1" applyFont="1" applyBorder="1" applyAlignment="1">
      <alignment horizontal="right"/>
    </xf>
    <xf numFmtId="166" fontId="18" fillId="0" borderId="14" xfId="0" applyNumberFormat="1" applyFont="1" applyBorder="1"/>
    <xf numFmtId="171" fontId="18" fillId="0" borderId="15" xfId="0" applyNumberFormat="1" applyFont="1" applyBorder="1"/>
    <xf numFmtId="0" fontId="18" fillId="0" borderId="15" xfId="0" applyFont="1" applyBorder="1"/>
    <xf numFmtId="166" fontId="24" fillId="0" borderId="0" xfId="0" applyNumberFormat="1" applyFont="1"/>
    <xf numFmtId="0" fontId="18" fillId="0" borderId="44" xfId="0" applyFont="1" applyBorder="1"/>
    <xf numFmtId="168" fontId="17" fillId="0" borderId="45" xfId="0" applyNumberFormat="1" applyFont="1" applyBorder="1"/>
    <xf numFmtId="0" fontId="18" fillId="0" borderId="47" xfId="0" applyFont="1" applyBorder="1"/>
    <xf numFmtId="9" fontId="18" fillId="0" borderId="46" xfId="0" applyNumberFormat="1" applyFont="1" applyBorder="1"/>
    <xf numFmtId="166" fontId="18" fillId="0" borderId="49" xfId="0" applyNumberFormat="1" applyFont="1" applyBorder="1"/>
    <xf numFmtId="166" fontId="18" fillId="0" borderId="0" xfId="0" applyNumberFormat="1" applyFont="1"/>
    <xf numFmtId="166" fontId="18" fillId="0" borderId="8" xfId="0" applyNumberFormat="1" applyFont="1" applyBorder="1" applyAlignment="1">
      <alignment horizontal="left"/>
    </xf>
    <xf numFmtId="0" fontId="18" fillId="0" borderId="14" xfId="0" applyFont="1" applyBorder="1" applyAlignment="1">
      <alignment horizontal="left"/>
    </xf>
    <xf numFmtId="0" fontId="18" fillId="0" borderId="59" xfId="0" applyFont="1" applyBorder="1"/>
    <xf numFmtId="0" fontId="18" fillId="0" borderId="60" xfId="0" applyFont="1" applyBorder="1"/>
    <xf numFmtId="3" fontId="18" fillId="0" borderId="60" xfId="0" applyNumberFormat="1" applyFont="1" applyBorder="1"/>
    <xf numFmtId="0" fontId="18" fillId="0" borderId="9" xfId="0" applyFont="1" applyBorder="1"/>
    <xf numFmtId="0" fontId="31" fillId="0" borderId="8" xfId="0" applyFont="1" applyBorder="1"/>
    <xf numFmtId="0" fontId="31" fillId="0" borderId="9" xfId="0" applyFont="1" applyBorder="1"/>
    <xf numFmtId="0" fontId="31" fillId="0" borderId="11" xfId="0" applyFont="1" applyBorder="1"/>
    <xf numFmtId="0" fontId="31" fillId="0" borderId="0" xfId="0" applyFont="1"/>
    <xf numFmtId="0" fontId="18" fillId="0" borderId="61" xfId="0" applyFont="1" applyBorder="1"/>
    <xf numFmtId="0" fontId="18" fillId="0" borderId="62" xfId="0" applyFont="1" applyBorder="1"/>
    <xf numFmtId="3" fontId="18" fillId="0" borderId="62" xfId="0" applyNumberFormat="1" applyFont="1" applyBorder="1"/>
    <xf numFmtId="0" fontId="30" fillId="0" borderId="15" xfId="0" applyFont="1" applyBorder="1"/>
    <xf numFmtId="0" fontId="18" fillId="0" borderId="15" xfId="0" applyFont="1" applyBorder="1" applyAlignment="1">
      <alignment horizontal="center"/>
    </xf>
    <xf numFmtId="166" fontId="18" fillId="0" borderId="15" xfId="0" applyNumberFormat="1" applyFont="1" applyBorder="1" applyAlignment="1">
      <alignment horizontal="right"/>
    </xf>
    <xf numFmtId="0" fontId="18" fillId="0" borderId="63" xfId="0" applyFont="1" applyBorder="1"/>
    <xf numFmtId="0" fontId="18" fillId="0" borderId="64" xfId="0" applyFont="1" applyBorder="1"/>
    <xf numFmtId="0" fontId="18" fillId="0" borderId="56" xfId="0" applyFont="1" applyBorder="1"/>
    <xf numFmtId="0" fontId="18" fillId="0" borderId="58" xfId="0" applyFont="1" applyBorder="1"/>
    <xf numFmtId="3" fontId="18" fillId="0" borderId="58" xfId="0" applyNumberFormat="1" applyFont="1" applyBorder="1"/>
    <xf numFmtId="0" fontId="17" fillId="2" borderId="65" xfId="0" applyFont="1" applyFill="1" applyBorder="1"/>
    <xf numFmtId="0" fontId="17" fillId="2" borderId="66" xfId="0" applyFont="1" applyFill="1" applyBorder="1"/>
    <xf numFmtId="0" fontId="17" fillId="0" borderId="61" xfId="0" applyFont="1" applyBorder="1"/>
    <xf numFmtId="0" fontId="17" fillId="0" borderId="67" xfId="0" applyFont="1" applyBorder="1"/>
    <xf numFmtId="0" fontId="17" fillId="0" borderId="62" xfId="0" applyFont="1" applyBorder="1"/>
    <xf numFmtId="168" fontId="17" fillId="0" borderId="0" xfId="0" applyNumberFormat="1" applyFont="1"/>
    <xf numFmtId="0" fontId="17" fillId="0" borderId="68" xfId="0" applyFont="1" applyBorder="1"/>
    <xf numFmtId="171" fontId="17" fillId="0" borderId="8" xfId="0" applyNumberFormat="1" applyFont="1" applyBorder="1"/>
    <xf numFmtId="0" fontId="17" fillId="0" borderId="8" xfId="0" applyFont="1" applyBorder="1"/>
    <xf numFmtId="0" fontId="17" fillId="0" borderId="8" xfId="0" applyFont="1" applyBorder="1" applyAlignment="1">
      <alignment horizontal="center"/>
    </xf>
    <xf numFmtId="166" fontId="17" fillId="0" borderId="8" xfId="0" applyNumberFormat="1" applyFont="1" applyBorder="1"/>
    <xf numFmtId="166" fontId="17" fillId="0" borderId="8" xfId="0" applyNumberFormat="1" applyFont="1" applyBorder="1" applyAlignment="1">
      <alignment horizontal="right"/>
    </xf>
    <xf numFmtId="0" fontId="16" fillId="0" borderId="0" xfId="0" applyFont="1" applyAlignment="1">
      <alignment horizontal="center"/>
    </xf>
    <xf numFmtId="166" fontId="17" fillId="0" borderId="68" xfId="0" applyNumberFormat="1" applyFont="1" applyBorder="1"/>
    <xf numFmtId="0" fontId="17" fillId="0" borderId="62" xfId="0" applyFont="1" applyBorder="1" applyAlignment="1">
      <alignment horizontal="center"/>
    </xf>
    <xf numFmtId="0" fontId="17" fillId="0" borderId="63" xfId="0" applyFont="1" applyBorder="1"/>
    <xf numFmtId="0" fontId="17" fillId="0" borderId="69" xfId="0" applyFont="1" applyBorder="1"/>
    <xf numFmtId="0" fontId="17" fillId="0" borderId="70" xfId="0" applyFont="1" applyBorder="1"/>
    <xf numFmtId="0" fontId="17" fillId="0" borderId="64" xfId="0" applyFont="1" applyBorder="1"/>
    <xf numFmtId="0" fontId="32" fillId="0" borderId="8" xfId="0" applyFont="1" applyBorder="1"/>
    <xf numFmtId="0" fontId="17" fillId="0" borderId="0" xfId="0" applyFont="1" applyAlignment="1">
      <alignment horizontal="center"/>
    </xf>
    <xf numFmtId="166" fontId="16" fillId="0" borderId="8" xfId="0" applyNumberFormat="1" applyFont="1" applyBorder="1" applyAlignment="1">
      <alignment horizontal="right"/>
    </xf>
    <xf numFmtId="0" fontId="2" fillId="2" borderId="71" xfId="0" applyFont="1" applyFill="1" applyBorder="1" applyAlignment="1">
      <alignment horizontal="center" vertical="top" wrapText="1" readingOrder="1"/>
    </xf>
    <xf numFmtId="0" fontId="33" fillId="5" borderId="71" xfId="0" applyFont="1" applyFill="1" applyBorder="1" applyAlignment="1">
      <alignment horizontal="left" vertical="top" wrapText="1" readingOrder="1"/>
    </xf>
    <xf numFmtId="3" fontId="33" fillId="5" borderId="71" xfId="0" applyNumberFormat="1" applyFont="1" applyFill="1" applyBorder="1" applyAlignment="1">
      <alignment horizontal="right" vertical="top" wrapText="1" readingOrder="1"/>
    </xf>
    <xf numFmtId="0" fontId="34" fillId="5" borderId="71" xfId="0" applyFont="1" applyFill="1" applyBorder="1" applyAlignment="1">
      <alignment horizontal="left" vertical="top" wrapText="1" readingOrder="1"/>
    </xf>
    <xf numFmtId="3" fontId="34" fillId="5" borderId="71" xfId="0" applyNumberFormat="1" applyFont="1" applyFill="1" applyBorder="1" applyAlignment="1">
      <alignment horizontal="right" vertical="top" wrapText="1" readingOrder="1"/>
    </xf>
    <xf numFmtId="0" fontId="35" fillId="2" borderId="8" xfId="0" applyFont="1" applyFill="1" applyBorder="1" applyAlignment="1">
      <alignment horizontal="center" vertical="center" wrapText="1" readingOrder="1"/>
    </xf>
    <xf numFmtId="0" fontId="4" fillId="2" borderId="8" xfId="0" applyFont="1" applyFill="1" applyBorder="1" applyAlignment="1">
      <alignment horizontal="center" vertical="center" wrapText="1" readingOrder="1"/>
    </xf>
    <xf numFmtId="0" fontId="36" fillId="0" borderId="8" xfId="0" applyFont="1" applyBorder="1" applyAlignment="1">
      <alignment horizontal="center" vertical="center" wrapText="1" readingOrder="1"/>
    </xf>
    <xf numFmtId="0" fontId="36" fillId="0" borderId="8" xfId="0" applyFont="1" applyBorder="1" applyAlignment="1">
      <alignment horizontal="left" vertical="center" wrapText="1" readingOrder="1"/>
    </xf>
    <xf numFmtId="0" fontId="3" fillId="0" borderId="8" xfId="0" applyFont="1" applyBorder="1" applyAlignment="1">
      <alignment horizontal="center" vertical="center" wrapText="1" readingOrder="1"/>
    </xf>
    <xf numFmtId="0" fontId="36" fillId="0" borderId="8" xfId="0" applyFont="1" applyBorder="1" applyAlignment="1">
      <alignment horizontal="center" vertical="top" readingOrder="1"/>
    </xf>
    <xf numFmtId="0" fontId="7" fillId="0" borderId="0" xfId="0" applyFont="1" applyAlignment="1">
      <alignment horizontal="center" vertical="top"/>
    </xf>
    <xf numFmtId="0" fontId="3" fillId="0" borderId="8" xfId="0" applyFont="1" applyBorder="1" applyAlignment="1">
      <alignment horizontal="center" vertical="top" readingOrder="1"/>
    </xf>
    <xf numFmtId="0" fontId="36" fillId="0" borderId="8" xfId="0" applyFont="1" applyBorder="1" applyAlignment="1">
      <alignment horizontal="center" vertical="top" wrapText="1" readingOrder="1"/>
    </xf>
    <xf numFmtId="0" fontId="36" fillId="0" borderId="0" xfId="0" applyFont="1" applyAlignment="1">
      <alignment horizontal="center" vertical="center" wrapText="1" readingOrder="1"/>
    </xf>
    <xf numFmtId="0" fontId="36" fillId="0" borderId="0" xfId="0" applyFont="1" applyAlignment="1">
      <alignment horizontal="left" vertical="center" wrapText="1" readingOrder="1"/>
    </xf>
    <xf numFmtId="0" fontId="16" fillId="2" borderId="8" xfId="0" applyFont="1" applyFill="1" applyBorder="1" applyAlignment="1">
      <alignment horizontal="center" vertical="center" wrapText="1" readingOrder="1"/>
    </xf>
    <xf numFmtId="0" fontId="18" fillId="0" borderId="8" xfId="0" applyFont="1" applyBorder="1" applyAlignment="1">
      <alignment horizontal="center" vertical="center" wrapText="1" readingOrder="1"/>
    </xf>
    <xf numFmtId="0" fontId="18" fillId="0" borderId="8" xfId="0" applyFont="1" applyBorder="1" applyAlignment="1">
      <alignment horizontal="left" vertical="center" wrapText="1" readingOrder="1"/>
    </xf>
    <xf numFmtId="9" fontId="18" fillId="0" borderId="8" xfId="0" applyNumberFormat="1" applyFont="1" applyBorder="1" applyAlignment="1">
      <alignment horizontal="center" vertical="center" wrapText="1" readingOrder="1"/>
    </xf>
    <xf numFmtId="0" fontId="16" fillId="2" borderId="72" xfId="0" applyFont="1" applyFill="1" applyBorder="1" applyAlignment="1">
      <alignment horizontal="left" vertical="top" wrapText="1" readingOrder="1"/>
    </xf>
    <xf numFmtId="0" fontId="17" fillId="0" borderId="0" xfId="0" applyFont="1" applyAlignment="1">
      <alignment vertical="top"/>
    </xf>
    <xf numFmtId="0" fontId="18" fillId="0" borderId="72" xfId="0" applyFont="1" applyBorder="1" applyAlignment="1">
      <alignment horizontal="left" vertical="top" readingOrder="1"/>
    </xf>
    <xf numFmtId="164" fontId="18" fillId="0" borderId="72" xfId="0" applyNumberFormat="1" applyFont="1" applyBorder="1" applyAlignment="1">
      <alignment horizontal="left" vertical="top" readingOrder="1"/>
    </xf>
    <xf numFmtId="10" fontId="18" fillId="0" borderId="72" xfId="0" applyNumberFormat="1" applyFont="1" applyBorder="1" applyAlignment="1">
      <alignment horizontal="right" vertical="top" readingOrder="1"/>
    </xf>
    <xf numFmtId="0" fontId="37" fillId="2" borderId="39" xfId="0" applyFont="1" applyFill="1" applyBorder="1" applyAlignment="1">
      <alignment vertical="top"/>
    </xf>
    <xf numFmtId="164" fontId="18" fillId="8" borderId="39" xfId="0" applyNumberFormat="1" applyFont="1" applyFill="1" applyBorder="1" applyAlignment="1">
      <alignment horizontal="left" wrapText="1" readingOrder="1"/>
    </xf>
    <xf numFmtId="0" fontId="17" fillId="2" borderId="39" xfId="0" applyFont="1" applyFill="1" applyBorder="1" applyAlignment="1">
      <alignment horizontal="left" wrapText="1" readingOrder="1"/>
    </xf>
    <xf numFmtId="164" fontId="17" fillId="2" borderId="39" xfId="0" applyNumberFormat="1" applyFont="1" applyFill="1" applyBorder="1" applyAlignment="1">
      <alignment horizontal="left" wrapText="1" readingOrder="1"/>
    </xf>
    <xf numFmtId="0" fontId="4" fillId="2" borderId="73" xfId="0" applyFont="1" applyFill="1" applyBorder="1" applyAlignment="1">
      <alignment horizontal="center" vertical="top" wrapText="1" readingOrder="1"/>
    </xf>
    <xf numFmtId="3" fontId="3" fillId="0" borderId="8" xfId="0" applyNumberFormat="1" applyFont="1" applyBorder="1" applyAlignment="1">
      <alignment horizontal="right" vertical="top" wrapText="1" readingOrder="1"/>
    </xf>
    <xf numFmtId="0" fontId="21" fillId="0" borderId="8" xfId="0" applyFont="1" applyBorder="1" applyAlignment="1">
      <alignment vertical="top" wrapText="1"/>
    </xf>
    <xf numFmtId="0" fontId="21" fillId="0" borderId="0" xfId="0" applyFont="1" applyAlignment="1">
      <alignment vertical="top" wrapText="1"/>
    </xf>
    <xf numFmtId="3" fontId="3" fillId="0" borderId="0" xfId="0" applyNumberFormat="1" applyFont="1" applyAlignment="1">
      <alignment horizontal="right" vertical="top" wrapText="1" readingOrder="1"/>
    </xf>
    <xf numFmtId="0" fontId="6" fillId="0" borderId="0" xfId="0" applyFont="1" applyAlignment="1">
      <alignment horizontal="left" vertical="top" wrapText="1" readingOrder="1"/>
    </xf>
    <xf numFmtId="0" fontId="17" fillId="2" borderId="8" xfId="0" applyFont="1" applyFill="1" applyBorder="1" applyAlignment="1">
      <alignment horizontal="left" wrapText="1" readingOrder="1"/>
    </xf>
    <xf numFmtId="0" fontId="17" fillId="2" borderId="8" xfId="0" applyFont="1" applyFill="1" applyBorder="1" applyAlignment="1">
      <alignment horizontal="center" wrapText="1" readingOrder="1"/>
    </xf>
    <xf numFmtId="0" fontId="18" fillId="0" borderId="8" xfId="0" applyFont="1" applyBorder="1" applyAlignment="1">
      <alignment horizontal="left" wrapText="1" readingOrder="1"/>
    </xf>
    <xf numFmtId="3" fontId="18" fillId="0" borderId="8" xfId="0" applyNumberFormat="1" applyFont="1" applyBorder="1" applyAlignment="1">
      <alignment horizontal="right" wrapText="1" readingOrder="1"/>
    </xf>
    <xf numFmtId="10" fontId="18" fillId="0" borderId="8" xfId="0" applyNumberFormat="1" applyFont="1" applyBorder="1" applyAlignment="1">
      <alignment horizontal="right" wrapText="1" readingOrder="1"/>
    </xf>
    <xf numFmtId="164" fontId="18" fillId="0" borderId="8" xfId="0" applyNumberFormat="1" applyFont="1" applyBorder="1" applyAlignment="1">
      <alignment horizontal="left" wrapText="1" readingOrder="1"/>
    </xf>
    <xf numFmtId="0" fontId="6" fillId="0" borderId="8" xfId="0" applyFont="1" applyBorder="1" applyAlignment="1">
      <alignment horizontal="left" readingOrder="1"/>
    </xf>
    <xf numFmtId="3" fontId="6" fillId="0" borderId="8" xfId="0" applyNumberFormat="1" applyFont="1" applyBorder="1" applyAlignment="1">
      <alignment horizontal="right" readingOrder="1"/>
    </xf>
    <xf numFmtId="0" fontId="3" fillId="0" borderId="8" xfId="0" applyFont="1" applyBorder="1" applyAlignment="1">
      <alignment horizontal="left" wrapText="1" readingOrder="1"/>
    </xf>
    <xf numFmtId="3" fontId="3" fillId="0" borderId="8" xfId="0" applyNumberFormat="1" applyFont="1" applyBorder="1" applyAlignment="1">
      <alignment horizontal="right" readingOrder="1"/>
    </xf>
    <xf numFmtId="0" fontId="3" fillId="0" borderId="8" xfId="0" applyFont="1" applyBorder="1" applyAlignment="1">
      <alignment horizontal="left" readingOrder="1"/>
    </xf>
    <xf numFmtId="0" fontId="21" fillId="0" borderId="8" xfId="0" applyFont="1" applyBorder="1" applyAlignment="1">
      <alignment horizontal="right"/>
    </xf>
    <xf numFmtId="0" fontId="3" fillId="0" borderId="8" xfId="0" applyFont="1" applyBorder="1" applyAlignment="1">
      <alignment horizontal="center" readingOrder="1"/>
    </xf>
    <xf numFmtId="0" fontId="16" fillId="2" borderId="39" xfId="0" applyFont="1" applyFill="1" applyBorder="1"/>
    <xf numFmtId="0" fontId="7" fillId="8" borderId="39" xfId="0" applyFont="1" applyFill="1" applyBorder="1"/>
    <xf numFmtId="0" fontId="16" fillId="2" borderId="39" xfId="0" applyFont="1" applyFill="1" applyBorder="1" applyAlignment="1">
      <alignment vertical="top" wrapText="1"/>
    </xf>
    <xf numFmtId="0" fontId="17" fillId="8" borderId="39" xfId="0" applyFont="1" applyFill="1" applyBorder="1" applyAlignment="1">
      <alignment wrapText="1"/>
    </xf>
    <xf numFmtId="164" fontId="17" fillId="8" borderId="39" xfId="0" applyNumberFormat="1" applyFont="1" applyFill="1" applyBorder="1"/>
    <xf numFmtId="0" fontId="17" fillId="2" borderId="39" xfId="0" applyFont="1" applyFill="1" applyBorder="1" applyAlignment="1">
      <alignment wrapText="1"/>
    </xf>
    <xf numFmtId="164" fontId="7" fillId="8" borderId="39" xfId="0" applyNumberFormat="1" applyFont="1" applyFill="1" applyBorder="1"/>
    <xf numFmtId="0" fontId="7" fillId="9" borderId="39" xfId="0" applyFont="1" applyFill="1" applyBorder="1"/>
    <xf numFmtId="0" fontId="7" fillId="2" borderId="39" xfId="0" applyFont="1" applyFill="1" applyBorder="1" applyAlignment="1">
      <alignment wrapText="1"/>
    </xf>
    <xf numFmtId="9" fontId="7" fillId="8" borderId="39" xfId="0" applyNumberFormat="1" applyFont="1" applyFill="1" applyBorder="1"/>
    <xf numFmtId="0" fontId="7" fillId="9" borderId="39" xfId="0" applyFont="1" applyFill="1" applyBorder="1" applyAlignment="1">
      <alignment wrapText="1"/>
    </xf>
    <xf numFmtId="180" fontId="7" fillId="8" borderId="39" xfId="0" applyNumberFormat="1" applyFont="1" applyFill="1" applyBorder="1"/>
    <xf numFmtId="0" fontId="7" fillId="0" borderId="0" xfId="0" applyFont="1" applyAlignment="1">
      <alignment vertical="top"/>
    </xf>
    <xf numFmtId="164" fontId="7" fillId="0" borderId="0" xfId="0" applyNumberFormat="1" applyFont="1" applyAlignment="1">
      <alignment vertical="top"/>
    </xf>
    <xf numFmtId="164" fontId="17" fillId="0" borderId="0" xfId="0" applyNumberFormat="1" applyFont="1" applyAlignment="1">
      <alignment vertical="top"/>
    </xf>
    <xf numFmtId="0" fontId="17" fillId="2" borderId="39" xfId="0" applyFont="1" applyFill="1" applyBorder="1" applyAlignment="1">
      <alignment horizontal="left" vertical="top" wrapText="1" readingOrder="1"/>
    </xf>
    <xf numFmtId="164" fontId="19" fillId="8" borderId="39" xfId="0" applyNumberFormat="1" applyFont="1" applyFill="1" applyBorder="1" applyAlignment="1">
      <alignment horizontal="center" vertical="top" wrapText="1" readingOrder="1"/>
    </xf>
    <xf numFmtId="164" fontId="18" fillId="8" borderId="39" xfId="0" applyNumberFormat="1" applyFont="1" applyFill="1" applyBorder="1" applyAlignment="1">
      <alignment horizontal="right" vertical="top" wrapText="1" readingOrder="1"/>
    </xf>
    <xf numFmtId="164" fontId="17" fillId="8" borderId="39" xfId="0" applyNumberFormat="1" applyFont="1" applyFill="1" applyBorder="1" applyAlignment="1">
      <alignment horizontal="right" vertical="top" wrapText="1"/>
    </xf>
    <xf numFmtId="0" fontId="39" fillId="2" borderId="72" xfId="0" applyFont="1" applyFill="1" applyBorder="1" applyAlignment="1">
      <alignment horizontal="left" vertical="top" wrapText="1" readingOrder="1"/>
    </xf>
    <xf numFmtId="0" fontId="40" fillId="0" borderId="0" xfId="0" applyFont="1" applyAlignment="1">
      <alignment vertical="top"/>
    </xf>
    <xf numFmtId="0" fontId="41" fillId="2" borderId="72" xfId="0" applyFont="1" applyFill="1" applyBorder="1" applyAlignment="1">
      <alignment horizontal="left" vertical="top" wrapText="1" readingOrder="1"/>
    </xf>
    <xf numFmtId="0" fontId="18" fillId="0" borderId="72" xfId="0" applyFont="1" applyBorder="1" applyAlignment="1">
      <alignment horizontal="left" vertical="top" wrapText="1" readingOrder="1"/>
    </xf>
    <xf numFmtId="6" fontId="18" fillId="0" borderId="72" xfId="0" applyNumberFormat="1" applyFont="1" applyBorder="1" applyAlignment="1">
      <alignment horizontal="left" vertical="top" wrapText="1" readingOrder="1"/>
    </xf>
    <xf numFmtId="0" fontId="42" fillId="0" borderId="72" xfId="0" applyFont="1" applyBorder="1" applyAlignment="1">
      <alignment vertical="top" wrapText="1"/>
    </xf>
    <xf numFmtId="0" fontId="16" fillId="2" borderId="39" xfId="0" applyFont="1" applyFill="1" applyBorder="1" applyAlignment="1">
      <alignment horizontal="left" vertical="top" wrapText="1" readingOrder="1"/>
    </xf>
    <xf numFmtId="0" fontId="21" fillId="2" borderId="39" xfId="0" applyFont="1" applyFill="1" applyBorder="1" applyAlignment="1">
      <alignment vertical="top" wrapText="1"/>
    </xf>
    <xf numFmtId="164" fontId="21" fillId="8" borderId="39" xfId="0" applyNumberFormat="1" applyFont="1" applyFill="1" applyBorder="1" applyAlignment="1">
      <alignment horizontal="right" vertical="top" wrapText="1"/>
    </xf>
    <xf numFmtId="164" fontId="18" fillId="8" borderId="39" xfId="0" applyNumberFormat="1" applyFont="1" applyFill="1" applyBorder="1" applyAlignment="1">
      <alignment horizontal="right" wrapText="1" readingOrder="1"/>
    </xf>
    <xf numFmtId="164" fontId="17" fillId="8" borderId="39" xfId="0" applyNumberFormat="1" applyFont="1" applyFill="1" applyBorder="1" applyAlignment="1">
      <alignment horizontal="right" vertical="top"/>
    </xf>
    <xf numFmtId="181" fontId="7" fillId="0" borderId="0" xfId="0" applyNumberFormat="1" applyFont="1" applyAlignment="1">
      <alignment vertical="top"/>
    </xf>
    <xf numFmtId="181" fontId="17" fillId="0" borderId="0" xfId="0" applyNumberFormat="1" applyFont="1" applyAlignment="1">
      <alignment vertical="top"/>
    </xf>
    <xf numFmtId="0" fontId="4" fillId="10" borderId="8" xfId="0" applyFont="1" applyFill="1" applyBorder="1" applyAlignment="1">
      <alignment horizontal="center" vertical="center" wrapText="1" readingOrder="1"/>
    </xf>
    <xf numFmtId="166" fontId="4" fillId="10" borderId="8" xfId="0" applyNumberFormat="1" applyFont="1" applyFill="1" applyBorder="1" applyAlignment="1">
      <alignment horizontal="center" vertical="center" wrapText="1" readingOrder="1"/>
    </xf>
    <xf numFmtId="0" fontId="7" fillId="0" borderId="8" xfId="0" applyFont="1" applyBorder="1" applyAlignment="1">
      <alignment horizontal="center"/>
    </xf>
    <xf numFmtId="0" fontId="7" fillId="0" borderId="8" xfId="0" applyFont="1" applyBorder="1" applyAlignment="1">
      <alignment horizontal="left"/>
    </xf>
    <xf numFmtId="166" fontId="7" fillId="0" borderId="8" xfId="0" applyNumberFormat="1" applyFont="1" applyBorder="1"/>
    <xf numFmtId="0" fontId="3" fillId="0" borderId="0" xfId="0" applyFont="1" applyAlignment="1">
      <alignment horizontal="left" vertical="center" wrapText="1" readingOrder="1"/>
    </xf>
    <xf numFmtId="0" fontId="0" fillId="0" borderId="0" xfId="0" applyFont="1" applyAlignment="1"/>
    <xf numFmtId="0" fontId="4" fillId="2" borderId="1" xfId="0" applyFont="1" applyFill="1" applyBorder="1" applyAlignment="1">
      <alignment horizontal="center" vertical="center" wrapText="1" readingOrder="1"/>
    </xf>
    <xf numFmtId="0" fontId="5" fillId="0" borderId="2" xfId="0" applyFont="1" applyBorder="1"/>
    <xf numFmtId="0" fontId="6" fillId="0" borderId="4" xfId="0" applyFont="1" applyBorder="1" applyAlignment="1">
      <alignment horizontal="center" vertical="center" wrapText="1" readingOrder="1"/>
    </xf>
    <xf numFmtId="0" fontId="5" fillId="0" borderId="5" xfId="0" applyFont="1" applyBorder="1"/>
    <xf numFmtId="0" fontId="5" fillId="0" borderId="7" xfId="0" applyFont="1" applyBorder="1"/>
    <xf numFmtId="0" fontId="1" fillId="0" borderId="0" xfId="0" applyFont="1" applyAlignment="1">
      <alignment horizontal="center"/>
    </xf>
    <xf numFmtId="0" fontId="1" fillId="0" borderId="9" xfId="0" applyFont="1" applyBorder="1" applyAlignment="1">
      <alignment horizontal="center" vertical="center"/>
    </xf>
    <xf numFmtId="0" fontId="5" fillId="0" borderId="10" xfId="0" applyFont="1" applyBorder="1"/>
    <xf numFmtId="0" fontId="5" fillId="0" borderId="11" xfId="0" applyFont="1" applyBorder="1"/>
    <xf numFmtId="0" fontId="4" fillId="2" borderId="4" xfId="0" applyFont="1" applyFill="1" applyBorder="1" applyAlignment="1">
      <alignment horizontal="center" vertical="center" wrapText="1" readingOrder="1"/>
    </xf>
    <xf numFmtId="0" fontId="6" fillId="0" borderId="14" xfId="0" applyFont="1" applyBorder="1" applyAlignment="1">
      <alignment horizontal="center" vertical="center" wrapText="1" readingOrder="1"/>
    </xf>
    <xf numFmtId="0" fontId="5" fillId="0" borderId="16" xfId="0" applyFont="1" applyBorder="1"/>
    <xf numFmtId="0" fontId="5" fillId="0" borderId="15" xfId="0" applyFont="1" applyBorder="1"/>
    <xf numFmtId="0" fontId="6" fillId="0" borderId="17" xfId="0" applyFont="1" applyBorder="1" applyAlignment="1">
      <alignment horizontal="center" vertical="center" wrapText="1" readingOrder="1"/>
    </xf>
    <xf numFmtId="0" fontId="5" fillId="0" borderId="18" xfId="0" applyFont="1" applyBorder="1"/>
    <xf numFmtId="0" fontId="4" fillId="2" borderId="1" xfId="0" applyFont="1" applyFill="1" applyBorder="1" applyAlignment="1">
      <alignment horizontal="left" vertical="center" wrapText="1" readingOrder="1"/>
    </xf>
    <xf numFmtId="0" fontId="5" fillId="0" borderId="12" xfId="0" applyFont="1" applyBorder="1"/>
    <xf numFmtId="166" fontId="4" fillId="2" borderId="4" xfId="0" applyNumberFormat="1" applyFont="1" applyFill="1" applyBorder="1" applyAlignment="1">
      <alignment horizontal="center" vertical="center" wrapText="1" readingOrder="1"/>
    </xf>
    <xf numFmtId="0" fontId="10" fillId="0" borderId="14" xfId="0" applyFont="1" applyBorder="1" applyAlignment="1">
      <alignment horizontal="center" vertical="center" wrapText="1" readingOrder="1"/>
    </xf>
    <xf numFmtId="0" fontId="9" fillId="0" borderId="0" xfId="0" applyFont="1" applyAlignment="1">
      <alignment horizontal="center"/>
    </xf>
    <xf numFmtId="0" fontId="9" fillId="0" borderId="0" xfId="0" applyFont="1" applyAlignment="1">
      <alignment horizontal="center" wrapText="1"/>
    </xf>
    <xf numFmtId="0" fontId="4" fillId="2" borderId="9" xfId="0" applyFont="1" applyFill="1" applyBorder="1" applyAlignment="1">
      <alignment horizontal="center" vertical="center"/>
    </xf>
    <xf numFmtId="0" fontId="6" fillId="0" borderId="14" xfId="0" applyFont="1" applyBorder="1" applyAlignment="1">
      <alignment horizontal="center" vertical="top"/>
    </xf>
    <xf numFmtId="0" fontId="6" fillId="0" borderId="9" xfId="0" applyFont="1" applyBorder="1" applyAlignment="1">
      <alignment horizontal="center"/>
    </xf>
    <xf numFmtId="0" fontId="6" fillId="6" borderId="36" xfId="0" applyFont="1" applyFill="1" applyBorder="1" applyAlignment="1">
      <alignment horizontal="center"/>
    </xf>
    <xf numFmtId="0" fontId="5" fillId="0" borderId="37" xfId="0" applyFont="1" applyBorder="1"/>
    <xf numFmtId="0" fontId="4" fillId="2" borderId="19" xfId="0" applyFont="1" applyFill="1" applyBorder="1" applyAlignment="1">
      <alignment horizontal="center" vertical="center"/>
    </xf>
    <xf numFmtId="0" fontId="5" fillId="0" borderId="23" xfId="0" applyFont="1" applyBorder="1"/>
    <xf numFmtId="0" fontId="4" fillId="2" borderId="21" xfId="0" applyFont="1" applyFill="1" applyBorder="1" applyAlignment="1">
      <alignment horizontal="center" vertical="center"/>
    </xf>
    <xf numFmtId="0" fontId="5" fillId="0" borderId="22" xfId="0" applyFont="1" applyBorder="1"/>
    <xf numFmtId="0" fontId="4" fillId="2" borderId="1" xfId="0" applyFont="1" applyFill="1" applyBorder="1" applyAlignment="1">
      <alignment horizontal="center"/>
    </xf>
    <xf numFmtId="0" fontId="18" fillId="0" borderId="44" xfId="0" applyFont="1" applyBorder="1" applyAlignment="1">
      <alignment horizontal="left" vertical="top" wrapText="1" readingOrder="1"/>
    </xf>
    <xf numFmtId="0" fontId="5" fillId="0" borderId="17" xfId="0" applyFont="1" applyBorder="1"/>
    <xf numFmtId="0" fontId="5" fillId="0" borderId="45" xfId="0" applyFont="1" applyBorder="1"/>
    <xf numFmtId="0" fontId="2" fillId="2" borderId="14" xfId="0" applyFont="1" applyFill="1" applyBorder="1" applyAlignment="1">
      <alignment horizontal="center" vertical="center" wrapText="1" readingOrder="1"/>
    </xf>
    <xf numFmtId="0" fontId="23" fillId="0" borderId="0" xfId="0" applyFont="1" applyAlignment="1">
      <alignment horizontal="left" vertical="top" wrapText="1"/>
    </xf>
    <xf numFmtId="0" fontId="23" fillId="0" borderId="0" xfId="0" applyFont="1" applyAlignment="1">
      <alignment horizontal="left" wrapText="1"/>
    </xf>
    <xf numFmtId="0" fontId="26" fillId="0" borderId="0" xfId="0" applyFont="1" applyAlignment="1">
      <alignment horizontal="left" wrapText="1"/>
    </xf>
    <xf numFmtId="0" fontId="19" fillId="0" borderId="9" xfId="0" applyFont="1" applyBorder="1" applyAlignment="1">
      <alignment horizontal="left" wrapText="1"/>
    </xf>
    <xf numFmtId="0" fontId="28" fillId="0" borderId="0" xfId="0" applyFont="1" applyAlignment="1">
      <alignment horizontal="center"/>
    </xf>
    <xf numFmtId="170" fontId="28" fillId="0" borderId="0" xfId="0" applyNumberFormat="1" applyFont="1" applyAlignment="1">
      <alignment horizontal="center"/>
    </xf>
    <xf numFmtId="0" fontId="16" fillId="0" borderId="9" xfId="0" applyFont="1" applyBorder="1" applyAlignment="1">
      <alignment horizontal="left" wrapText="1"/>
    </xf>
    <xf numFmtId="0" fontId="19" fillId="0" borderId="0" xfId="0" applyFont="1" applyAlignment="1">
      <alignment horizontal="left" wrapText="1"/>
    </xf>
    <xf numFmtId="0" fontId="17" fillId="2" borderId="56" xfId="0" applyFont="1" applyFill="1" applyBorder="1" applyAlignment="1">
      <alignment horizontal="center"/>
    </xf>
    <xf numFmtId="0" fontId="5" fillId="0" borderId="57" xfId="0" applyFont="1" applyBorder="1"/>
    <xf numFmtId="0" fontId="16" fillId="0" borderId="9" xfId="0" applyFont="1" applyBorder="1" applyAlignment="1">
      <alignment horizontal="center"/>
    </xf>
    <xf numFmtId="0" fontId="17" fillId="2" borderId="54" xfId="0" applyFont="1" applyFill="1" applyBorder="1" applyAlignment="1">
      <alignment horizontal="center"/>
    </xf>
    <xf numFmtId="0" fontId="5" fillId="0" borderId="55" xfId="0" applyFont="1" applyBorder="1"/>
    <xf numFmtId="0" fontId="5" fillId="0" borderId="58" xfId="0" applyFont="1" applyBorder="1"/>
    <xf numFmtId="0" fontId="4" fillId="2" borderId="54" xfId="0" applyFont="1" applyFill="1" applyBorder="1" applyAlignment="1">
      <alignment horizontal="center" readingOrder="1"/>
    </xf>
    <xf numFmtId="0" fontId="4" fillId="2" borderId="74" xfId="0" applyFont="1" applyFill="1" applyBorder="1" applyAlignment="1">
      <alignment horizontal="center" readingOrder="1"/>
    </xf>
    <xf numFmtId="0" fontId="5" fillId="0" borderId="75" xfId="0" applyFont="1" applyBorder="1"/>
    <xf numFmtId="0" fontId="7" fillId="0" borderId="0" xfId="0" applyFont="1"/>
    <xf numFmtId="0" fontId="38" fillId="2" borderId="76" xfId="0" applyFont="1" applyFill="1" applyBorder="1" applyAlignment="1">
      <alignment horizontal="center" vertical="top" wrapText="1"/>
    </xf>
    <xf numFmtId="0" fontId="5" fillId="0" borderId="77" xfId="0" applyFont="1" applyBorder="1"/>
    <xf numFmtId="0" fontId="5" fillId="0" borderId="78" xfId="0" applyFont="1" applyBorder="1"/>
    <xf numFmtId="0" fontId="11" fillId="0" borderId="0" xfId="0" applyFont="1" applyAlignment="1">
      <alignment horizontal="center"/>
    </xf>
    <xf numFmtId="0" fontId="13" fillId="0" borderId="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calcChain" Target="calcChain.xml" /></Relationships>
</file>

<file path=xl/drawings/drawing1.xml><?xml version="1.0" encoding="utf-8"?>
<xdr:wsDr xmlns:xdr="http://schemas.openxmlformats.org/drawingml/2006/spreadsheetDrawing" xmlns:a="http://schemas.openxmlformats.org/drawingml/2006/main">
  <xdr:oneCellAnchor>
    <xdr:from>
      <xdr:col>0</xdr:col>
      <xdr:colOff>962025</xdr:colOff>
      <xdr:row>33</xdr:row>
      <xdr:rowOff>66675</xdr:rowOff>
    </xdr:from>
    <xdr:ext cx="1695450" cy="914400"/>
    <xdr:sp macro="" textlink="">
      <xdr:nvSpPr>
        <xdr:cNvPr id="2" name="Rectangle 1">
          <a:extLst>
            <a:ext uri="{FF2B5EF4-FFF2-40B4-BE49-F238E27FC236}">
              <a16:creationId xmlns:a16="http://schemas.microsoft.com/office/drawing/2014/main" id="{00000000-0008-0000-0800-000002000000}"/>
            </a:ext>
          </a:extLst>
        </xdr:cNvPr>
        <xdr:cNvSpPr/>
      </xdr:nvSpPr>
      <xdr:spPr>
        <a:xfrm>
          <a:off x="609600" y="7877175"/>
          <a:ext cx="609600" cy="876300"/>
        </a:xfrm>
        <a:prstGeom prst="rect">
          <a:avLst/>
        </a:prstGeom>
        <a:solidFill>
          <a:schemeClr val="accent1"/>
        </a:solidFill>
        <a:ln w="12700" cap="flat" cmpd="sng" algn="ctr">
          <a:solidFill>
            <a:schemeClr val="accent1">
              <a:shade val="15000"/>
            </a:schemeClr>
          </a:solidFill>
          <a:prstDash val="solid"/>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endParaRPr lang="en-ID" sz="1100"/>
        </a:p>
      </xdr:txBody>
    </xdr:sp>
    <xdr:clientData fLocksWithSheet="0"/>
  </xdr:oneCellAnchor>
  <xdr:oneCellAnchor>
    <xdr:from>
      <xdr:col>0</xdr:col>
      <xdr:colOff>0</xdr:colOff>
      <xdr:row>32</xdr:row>
      <xdr:rowOff>9525</xdr:rowOff>
    </xdr:from>
    <xdr:ext cx="9620250" cy="3962400"/>
    <xdr:sp macro="" textlink="">
      <xdr:nvSpPr>
        <xdr:cNvPr id="3" name="Text Box 2">
          <a:extLst>
            <a:ext uri="{FF2B5EF4-FFF2-40B4-BE49-F238E27FC236}">
              <a16:creationId xmlns:a16="http://schemas.microsoft.com/office/drawing/2014/main" id="{00000000-0008-0000-0800-000003000000}"/>
            </a:ext>
          </a:extLst>
        </xdr:cNvPr>
        <xdr:cNvSpPr txBox="1">
          <a:spLocks noChangeArrowheads="1"/>
        </xdr:cNvSpPr>
      </xdr:nvSpPr>
      <xdr:spPr bwMode="auto">
        <a:xfrm>
          <a:off x="0" y="8082491"/>
          <a:ext cx="9641417" cy="3897843"/>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lvl="0" algn="l" rtl="0">
            <a:defRPr sz="1000"/>
          </a:pPr>
          <a:r>
            <a:rPr lang="en-ID" sz="1100" b="0" i="0" u="none" strike="noStrike">
              <a:solidFill>
                <a:srgbClr val="000000"/>
              </a:solidFill>
              <a:latin typeface="+mn-lt"/>
              <a:ea typeface="Calibri"/>
              <a:cs typeface="Calibri"/>
            </a:rPr>
            <a:t>1</a:t>
          </a:r>
          <a:r>
            <a:rPr lang="en-ID" sz="1200" b="0" i="0" u="none" strike="noStrike">
              <a:solidFill>
                <a:srgbClr val="000000"/>
              </a:solidFill>
              <a:latin typeface="+mn-lt"/>
              <a:ea typeface="Calibri"/>
              <a:cs typeface="Calibri"/>
            </a:rPr>
            <a:t>. </a:t>
          </a:r>
          <a:r>
            <a:rPr lang="en-ID" sz="1200" b="0" i="0" u="none" strike="noStrike">
              <a:solidFill>
                <a:srgbClr val="000000"/>
              </a:solidFill>
              <a:latin typeface="+mn-lt"/>
              <a:ea typeface="Calibri"/>
              <a:cs typeface="Arial" panose="020B0604020202020204" pitchFamily="34" charset="0"/>
            </a:rPr>
            <a:t>Pendapatan perusahaan mengalami penurunan. Hal ini dapat disebabkan oleh faktor, seperti munculnya kompetitor baru yang nenurunkan daya saing atau gejolak ekonomi yang menurunkan daya beli masyarakat. </a:t>
          </a:r>
        </a:p>
        <a:p>
          <a:pPr lvl="0" algn="l" rtl="0">
            <a:defRPr sz="1000"/>
          </a:pPr>
          <a:endParaRPr lang="en-ID" sz="1200" b="0" i="0" u="none" strike="noStrike">
            <a:solidFill>
              <a:srgbClr val="000000"/>
            </a:solidFill>
            <a:latin typeface="+mn-lt"/>
            <a:ea typeface="Calibri"/>
            <a:cs typeface="Arial" panose="020B0604020202020204" pitchFamily="34" charset="0"/>
          </a:endParaRPr>
        </a:p>
        <a:p>
          <a:pPr lvl="0" algn="l" rtl="0">
            <a:defRPr sz="1000"/>
          </a:pPr>
          <a:r>
            <a:rPr lang="en-ID" sz="1200" b="0" i="0" u="none" strike="noStrike">
              <a:solidFill>
                <a:srgbClr val="000000"/>
              </a:solidFill>
              <a:latin typeface="+mn-lt"/>
              <a:ea typeface="Calibri"/>
              <a:cs typeface="Arial" panose="020B0604020202020204" pitchFamily="34" charset="0"/>
            </a:rPr>
            <a:t>Strategi : </a:t>
          </a:r>
        </a:p>
        <a:p>
          <a:pPr lvl="0" algn="l" rtl="0">
            <a:defRPr sz="1000"/>
          </a:pPr>
          <a:r>
            <a:rPr lang="en-ID" sz="1200" b="0" i="0" u="none" strike="noStrike">
              <a:solidFill>
                <a:srgbClr val="000000"/>
              </a:solidFill>
              <a:latin typeface="+mn-lt"/>
              <a:ea typeface="Calibri"/>
              <a:cs typeface="Arial" panose="020B0604020202020204" pitchFamily="34" charset="0"/>
            </a:rPr>
            <a:t>Misalnya jika muncul kompatitor baru manajemen, perlu mengevaluasi mulai dari kekuatan dan kelemahan perusahaan, sehingga dari situ akan timbul yang namanya inovasi yang dapat meningkatan pendapatan.</a:t>
          </a:r>
        </a:p>
        <a:p>
          <a:pPr lvl="0" algn="l" rtl="0">
            <a:defRPr sz="1000"/>
          </a:pPr>
          <a:endParaRPr lang="en-ID" sz="1200" b="0" i="0" u="none" strike="noStrike">
            <a:solidFill>
              <a:srgbClr val="000000"/>
            </a:solidFill>
            <a:latin typeface="+mn-lt"/>
            <a:ea typeface="Calibri"/>
            <a:cs typeface="Arial" panose="020B0604020202020204" pitchFamily="34" charset="0"/>
          </a:endParaRPr>
        </a:p>
        <a:p>
          <a:pPr lvl="0" algn="l" rtl="0">
            <a:defRPr sz="1000"/>
          </a:pPr>
          <a:r>
            <a:rPr lang="en-ID" sz="1200" b="0" i="0" u="none" strike="noStrike">
              <a:solidFill>
                <a:srgbClr val="000000"/>
              </a:solidFill>
              <a:latin typeface="+mn-lt"/>
              <a:ea typeface="Calibri"/>
              <a:cs typeface="Arial" panose="020B0604020202020204" pitchFamily="34" charset="0"/>
            </a:rPr>
            <a:t>2. Beban operasional mengalami penurunan akibat keberhasilan manajemen dalam melakukan efisiensi. Efisiensi ini dapat terjadi karena faktor, seperti adanya transisi penggunaan teknologi ai sebagai pengganti peran manusia</a:t>
          </a:r>
          <a:r>
            <a:rPr lang="id-ID" sz="1200" b="0" i="0" u="none" strike="noStrike">
              <a:solidFill>
                <a:srgbClr val="000000"/>
              </a:solidFill>
              <a:latin typeface="+mn-lt"/>
              <a:ea typeface="Calibri"/>
              <a:cs typeface="Arial" panose="020B0604020202020204" pitchFamily="34" charset="0"/>
            </a:rPr>
            <a:t> misalnya</a:t>
          </a:r>
          <a:r>
            <a:rPr lang="en-ID" sz="1200" b="0" i="0" u="none" strike="noStrike">
              <a:solidFill>
                <a:srgbClr val="000000"/>
              </a:solidFill>
              <a:latin typeface="+mn-lt"/>
              <a:ea typeface="Calibri"/>
              <a:cs typeface="Arial" panose="020B0604020202020204" pitchFamily="34" charset="0"/>
            </a:rPr>
            <a:t>.</a:t>
          </a:r>
        </a:p>
        <a:p>
          <a:pPr lvl="0" algn="l" rtl="0">
            <a:defRPr sz="1000"/>
          </a:pPr>
          <a:endParaRPr lang="en-ID" sz="1200" b="0" i="0" u="none" strike="noStrike">
            <a:solidFill>
              <a:srgbClr val="000000"/>
            </a:solidFill>
            <a:latin typeface="+mn-lt"/>
            <a:ea typeface="Calibri"/>
            <a:cs typeface="Arial" panose="020B0604020202020204" pitchFamily="34" charset="0"/>
          </a:endParaRPr>
        </a:p>
        <a:p>
          <a:pPr lvl="0" algn="l" rtl="0">
            <a:defRPr sz="1000"/>
          </a:pPr>
          <a:r>
            <a:rPr lang="en-ID" sz="1200" b="0" i="0" u="none" strike="noStrike">
              <a:solidFill>
                <a:srgbClr val="000000"/>
              </a:solidFill>
              <a:latin typeface="+mn-lt"/>
              <a:ea typeface="Calibri"/>
              <a:cs typeface="Arial" panose="020B0604020202020204" pitchFamily="34" charset="0"/>
            </a:rPr>
            <a:t>Strategi : </a:t>
          </a:r>
        </a:p>
        <a:p>
          <a:pPr lvl="0" algn="l" rtl="0">
            <a:defRPr sz="1000"/>
          </a:pPr>
          <a:r>
            <a:rPr lang="en-ID" sz="1200" b="0" i="0" u="none" strike="noStrike">
              <a:solidFill>
                <a:srgbClr val="000000"/>
              </a:solidFill>
              <a:latin typeface="+mn-lt"/>
              <a:ea typeface="Calibri"/>
              <a:cs typeface="Arial" panose="020B0604020202020204" pitchFamily="34" charset="0"/>
            </a:rPr>
            <a:t>Misalnya jika terjadi karena penggantian tenaga manusia dengan mesin, manajemen perlu memeriksa apakah operatornya sudah baik dalam menjalankan mesinnya ? jika tidak maka akan berdampak terhadap menurunya jumlah produksi. Jumlah produksi yang turun pada akhirnya menurunkan jumlah pendapatan seperti dipoin nomor 1. Oleh karena itu manajemen perlu melakukan pelatihan guna meningkatkan keterampilan karyawan dalam menggunakan mesin robotik.</a:t>
          </a:r>
        </a:p>
        <a:p>
          <a:pPr lvl="0" algn="l" rtl="0">
            <a:defRPr sz="1000"/>
          </a:pPr>
          <a:endParaRPr lang="en-ID" sz="1200" b="0" i="0" u="none" strike="noStrike">
            <a:solidFill>
              <a:srgbClr val="000000"/>
            </a:solidFill>
            <a:latin typeface="+mn-lt"/>
            <a:ea typeface="Calibri"/>
            <a:cs typeface="Arial" panose="020B0604020202020204" pitchFamily="34" charset="0"/>
          </a:endParaRPr>
        </a:p>
        <a:p>
          <a:pPr lvl="0" algn="l" rtl="0">
            <a:defRPr sz="1000"/>
          </a:pPr>
          <a:r>
            <a:rPr lang="en-ID" sz="1200" b="0" i="0" u="none" strike="noStrike">
              <a:solidFill>
                <a:srgbClr val="000000"/>
              </a:solidFill>
              <a:latin typeface="+mn-lt"/>
              <a:ea typeface="Calibri"/>
              <a:cs typeface="Arial" panose="020B0604020202020204" pitchFamily="34" charset="0"/>
            </a:rPr>
            <a:t>3. Meskipun laba perusahaan mengalami kenaikan, hal ini bukan disebabkan oleh peningkatan pendapatan, melainkan akibat penurunan beban operasional. dikarenakan laba yang didapatkan dari penurunan beban operasional sifatnya jangka pendek, maka manajemen perlu memikirkan kembali untuk meningkatkan laba dari sumber pendapatan. hal ini tentu akan lebih baik untuk jangka panjang.</a:t>
          </a: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8267700" cy="1152525"/>
    <xdr:sp macro="" textlink="">
      <xdr:nvSpPr>
        <xdr:cNvPr id="3" name="Google Shape;867;p62">
          <a:extLst>
            <a:ext uri="{FF2B5EF4-FFF2-40B4-BE49-F238E27FC236}">
              <a16:creationId xmlns:a16="http://schemas.microsoft.com/office/drawing/2014/main" id="{00000000-0008-0000-0B00-000003000000}"/>
            </a:ext>
          </a:extLst>
        </xdr:cNvPr>
        <xdr:cNvSpPr txBox="1"/>
      </xdr:nvSpPr>
      <xdr:spPr>
        <a:xfrm>
          <a:off x="0" y="0"/>
          <a:ext cx="4562475" cy="1108083"/>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buClr>
              <a:schemeClr val="dk1"/>
            </a:buClr>
            <a:buSzPts val="1100"/>
          </a:pPr>
          <a:r>
            <a:rPr lang="id" sz="2800" b="1">
              <a:solidFill>
                <a:schemeClr val="tx1"/>
              </a:solidFill>
              <a:latin typeface="Roboto"/>
              <a:ea typeface="Roboto"/>
              <a:cs typeface="Roboto"/>
              <a:sym typeface="Roboto"/>
            </a:rPr>
            <a:t>Perpajakan Perusahaan</a:t>
          </a:r>
          <a:endParaRPr sz="2800" b="1">
            <a:solidFill>
              <a:schemeClr val="tx1"/>
            </a:solidFill>
            <a:latin typeface="Roboto"/>
            <a:ea typeface="Roboto"/>
            <a:cs typeface="Roboto"/>
            <a:sym typeface="Roboto"/>
          </a:endParaRPr>
        </a:p>
        <a:p>
          <a:pPr lvl="0">
            <a:buClr>
              <a:schemeClr val="dk1"/>
            </a:buClr>
            <a:buSzPts val="1100"/>
          </a:pPr>
          <a:r>
            <a:rPr lang="id" sz="2800" b="1">
              <a:solidFill>
                <a:schemeClr val="tx1"/>
              </a:solidFill>
              <a:latin typeface="Roboto"/>
              <a:ea typeface="Roboto"/>
              <a:cs typeface="Roboto"/>
              <a:sym typeface="Roboto"/>
            </a:rPr>
            <a:t>PPh 21 TER</a:t>
          </a:r>
          <a:endParaRPr sz="2800" b="1">
            <a:solidFill>
              <a:schemeClr val="tx1"/>
            </a:solidFill>
            <a:latin typeface="Roboto"/>
            <a:ea typeface="Roboto"/>
            <a:cs typeface="Roboto"/>
            <a:sym typeface="Roboto"/>
          </a:endParaRPr>
        </a:p>
      </xdr:txBody>
    </xdr:sp>
    <xdr:clientData fLocksWithSheet="0"/>
  </xdr:oneCellAnchor>
  <xdr:oneCellAnchor>
    <xdr:from>
      <xdr:col>0</xdr:col>
      <xdr:colOff>0</xdr:colOff>
      <xdr:row>7</xdr:row>
      <xdr:rowOff>0</xdr:rowOff>
    </xdr:from>
    <xdr:ext cx="8963025" cy="704850"/>
    <xdr:sp macro="" textlink="">
      <xdr:nvSpPr>
        <xdr:cNvPr id="5" name="Google Shape;868;p62">
          <a:extLst>
            <a:ext uri="{FF2B5EF4-FFF2-40B4-BE49-F238E27FC236}">
              <a16:creationId xmlns:a16="http://schemas.microsoft.com/office/drawing/2014/main" id="{00000000-0008-0000-0B00-000005000000}"/>
            </a:ext>
          </a:extLst>
        </xdr:cNvPr>
        <xdr:cNvSpPr txBox="1"/>
      </xdr:nvSpPr>
      <xdr:spPr>
        <a:xfrm>
          <a:off x="0" y="1333500"/>
          <a:ext cx="7353300" cy="676276"/>
        </a:xfrm>
        <a:prstGeom prst="rect">
          <a:avLst/>
        </a:prstGeom>
        <a:noFill/>
        <a:ln>
          <a:noFill/>
        </a:ln>
      </xdr:spPr>
      <xdr:txBody>
        <a:bodyPr spcFirstLastPara="1" wrap="square" lIns="0" tIns="0" rIns="0" bIns="0" anchor="t"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chemeClr val="dk1"/>
            </a:buClr>
            <a:buSzPts val="1500"/>
          </a:pPr>
          <a:r>
            <a:rPr lang="id" sz="1200">
              <a:latin typeface="Roboto"/>
              <a:ea typeface="Roboto"/>
              <a:cs typeface="Roboto"/>
              <a:sym typeface="Roboto"/>
            </a:rPr>
            <a:t>Bapak Jamal adalah seorang pegawai tetap di PT Maju Abadi. Bapak Jamal berstatus menikah dan memiliki 1 tanggungan (K/1). Selama bekerja di PT Maju Abadi di Tahun 2024, Bapak Jamal menerima gaji bruto per bulan, iuran pensiun, dan biaya jabatan. </a:t>
          </a:r>
          <a:endParaRPr sz="1200">
            <a:solidFill>
              <a:srgbClr val="000000"/>
            </a:solidFill>
            <a:latin typeface="Roboto"/>
            <a:ea typeface="Roboto"/>
            <a:cs typeface="Roboto"/>
            <a:sym typeface="Roboto"/>
          </a:endParaRPr>
        </a:p>
        <a:p>
          <a:pPr lvl="0" algn="just">
            <a:lnSpc>
              <a:spcPct val="115000"/>
            </a:lnSpc>
            <a:buClr>
              <a:schemeClr val="dk1"/>
            </a:buClr>
            <a:buSzPts val="1500"/>
          </a:pPr>
          <a:endParaRPr sz="1200">
            <a:solidFill>
              <a:srgbClr val="000000"/>
            </a:solidFill>
            <a:latin typeface="Roboto"/>
            <a:ea typeface="Roboto"/>
            <a:cs typeface="Roboto"/>
            <a:sym typeface="Roboto"/>
          </a:endParaRPr>
        </a:p>
        <a:p>
          <a:pPr lvl="0" algn="just">
            <a:lnSpc>
              <a:spcPct val="115000"/>
            </a:lnSpc>
            <a:buClr>
              <a:schemeClr val="dk1"/>
            </a:buClr>
            <a:buSzPts val="1500"/>
          </a:pPr>
          <a:endParaRPr sz="1200">
            <a:solidFill>
              <a:srgbClr val="000000"/>
            </a:solidFill>
            <a:latin typeface="Roboto"/>
            <a:ea typeface="Roboto"/>
            <a:cs typeface="Roboto"/>
            <a:sym typeface="Roboto"/>
          </a:endParaRPr>
        </a:p>
      </xdr:txBody>
    </xdr:sp>
    <xdr:clientData fLocksWithSheet="0"/>
  </xdr:oneCellAnchor>
  <xdr:oneCellAnchor>
    <xdr:from>
      <xdr:col>0</xdr:col>
      <xdr:colOff>0</xdr:colOff>
      <xdr:row>11</xdr:row>
      <xdr:rowOff>38100</xdr:rowOff>
    </xdr:from>
    <xdr:ext cx="9829800" cy="857250"/>
    <xdr:sp macro="" textlink="">
      <xdr:nvSpPr>
        <xdr:cNvPr id="9" name="Google Shape;892;p63">
          <a:extLst>
            <a:ext uri="{FF2B5EF4-FFF2-40B4-BE49-F238E27FC236}">
              <a16:creationId xmlns:a16="http://schemas.microsoft.com/office/drawing/2014/main" id="{00000000-0008-0000-0B00-000009000000}"/>
            </a:ext>
          </a:extLst>
        </xdr:cNvPr>
        <xdr:cNvSpPr txBox="1"/>
      </xdr:nvSpPr>
      <xdr:spPr>
        <a:xfrm>
          <a:off x="0" y="2143124"/>
          <a:ext cx="8277900" cy="819151"/>
        </a:xfrm>
        <a:prstGeom prst="rect">
          <a:avLst/>
        </a:prstGeom>
        <a:noFill/>
        <a:ln>
          <a:noFill/>
        </a:ln>
      </xdr:spPr>
      <xdr:txBody>
        <a:bodyPr spcFirstLastPara="1" wrap="square" lIns="0" tIns="0" rIns="0" bIns="0" anchor="t"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gn="just">
            <a:lnSpc>
              <a:spcPct val="115000"/>
            </a:lnSpc>
            <a:buClr>
              <a:schemeClr val="dk1"/>
            </a:buClr>
            <a:buSzPts val="1500"/>
          </a:pPr>
          <a:r>
            <a:rPr lang="id" sz="1200" b="1">
              <a:latin typeface="Roboto"/>
              <a:ea typeface="Roboto"/>
              <a:cs typeface="Roboto"/>
              <a:sym typeface="Roboto"/>
            </a:rPr>
            <a:t>Tambahan Informasi :</a:t>
          </a:r>
          <a:endParaRPr sz="1200" b="1">
            <a:latin typeface="Roboto"/>
            <a:ea typeface="Roboto"/>
            <a:cs typeface="Roboto"/>
            <a:sym typeface="Roboto"/>
          </a:endParaRPr>
        </a:p>
        <a:p>
          <a:pPr marL="609585" lvl="0" indent="-406390" algn="just">
            <a:lnSpc>
              <a:spcPct val="115000"/>
            </a:lnSpc>
            <a:buSzPts val="1200"/>
            <a:buFont typeface="Roboto"/>
            <a:buChar char="-"/>
          </a:pPr>
          <a:r>
            <a:rPr lang="id" sz="1200">
              <a:latin typeface="Roboto"/>
              <a:ea typeface="Roboto"/>
              <a:cs typeface="Roboto"/>
              <a:sym typeface="Roboto"/>
            </a:rPr>
            <a:t>Biaya Jabatan per tahun Bapak Jamal  sebesar Rp 6.000.000</a:t>
          </a:r>
          <a:endParaRPr sz="1200">
            <a:latin typeface="Roboto"/>
            <a:ea typeface="Roboto"/>
            <a:cs typeface="Roboto"/>
            <a:sym typeface="Roboto"/>
          </a:endParaRPr>
        </a:p>
        <a:p>
          <a:pPr marL="609585" lvl="0" indent="-406390" algn="just">
            <a:lnSpc>
              <a:spcPct val="115000"/>
            </a:lnSpc>
            <a:buSzPts val="1200"/>
            <a:buFont typeface="Roboto"/>
            <a:buChar char="-"/>
          </a:pPr>
          <a:r>
            <a:rPr lang="id" sz="1200">
              <a:latin typeface="Roboto"/>
              <a:ea typeface="Roboto"/>
              <a:cs typeface="Roboto"/>
              <a:sym typeface="Roboto"/>
            </a:rPr>
            <a:t>Iuran Pensiun Bapak Jamal per tahun sebesar Rp 1.200.000</a:t>
          </a:r>
          <a:endParaRPr sz="1200">
            <a:latin typeface="Roboto"/>
            <a:ea typeface="Roboto"/>
            <a:cs typeface="Roboto"/>
            <a:sym typeface="Roboto"/>
          </a:endParaRPr>
        </a:p>
      </xdr:txBody>
    </xdr:sp>
    <xdr:clientData fLocksWithSheet="0"/>
  </xdr:oneCellAnchor>
  <xdr:oneCellAnchor>
    <xdr:from>
      <xdr:col>0</xdr:col>
      <xdr:colOff>0</xdr:colOff>
      <xdr:row>31</xdr:row>
      <xdr:rowOff>104775</xdr:rowOff>
    </xdr:from>
    <xdr:ext cx="3105150" cy="638175"/>
    <xdr:sp macro="" textlink="">
      <xdr:nvSpPr>
        <xdr:cNvPr id="11" name="Google Shape;915;p64">
          <a:extLst>
            <a:ext uri="{FF2B5EF4-FFF2-40B4-BE49-F238E27FC236}">
              <a16:creationId xmlns:a16="http://schemas.microsoft.com/office/drawing/2014/main" id="{00000000-0008-0000-0B00-00000B000000}"/>
            </a:ext>
          </a:extLst>
        </xdr:cNvPr>
        <xdr:cNvSpPr txBox="1"/>
      </xdr:nvSpPr>
      <xdr:spPr>
        <a:xfrm>
          <a:off x="0" y="6534150"/>
          <a:ext cx="3105150" cy="617821"/>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400"/>
          </a:pPr>
          <a:r>
            <a:rPr lang="id" sz="1050" b="1">
              <a:solidFill>
                <a:srgbClr val="000000"/>
              </a:solidFill>
              <a:latin typeface="Roboto"/>
              <a:ea typeface="Roboto"/>
              <a:cs typeface="Roboto"/>
              <a:sym typeface="Roboto"/>
            </a:rPr>
            <a:t>Tarif Pajak setelah diberlakukannya TER-A (untuk masa Januari-November) :</a:t>
          </a:r>
          <a:endParaRPr sz="1050" b="1">
            <a:solidFill>
              <a:srgbClr val="000000"/>
            </a:solidFill>
            <a:latin typeface="Roboto"/>
            <a:ea typeface="Roboto"/>
            <a:cs typeface="Roboto"/>
            <a:sym typeface="Roboto"/>
          </a:endParaRPr>
        </a:p>
      </xdr:txBody>
    </xdr:sp>
    <xdr:clientData fLocksWithSheet="0"/>
  </xdr:oneCellAnchor>
  <xdr:oneCellAnchor>
    <xdr:from>
      <xdr:col>0</xdr:col>
      <xdr:colOff>0</xdr:colOff>
      <xdr:row>33</xdr:row>
      <xdr:rowOff>171450</xdr:rowOff>
    </xdr:from>
    <xdr:ext cx="2076450" cy="666750"/>
    <xdr:sp macro="" textlink="">
      <xdr:nvSpPr>
        <xdr:cNvPr id="13" name="Google Shape;945;p65">
          <a:extLst>
            <a:ext uri="{FF2B5EF4-FFF2-40B4-BE49-F238E27FC236}">
              <a16:creationId xmlns:a16="http://schemas.microsoft.com/office/drawing/2014/main" id="{00000000-0008-0000-0B00-00000D000000}"/>
            </a:ext>
          </a:extLst>
        </xdr:cNvPr>
        <xdr:cNvSpPr txBox="1"/>
      </xdr:nvSpPr>
      <xdr:spPr>
        <a:xfrm>
          <a:off x="1" y="6981825"/>
          <a:ext cx="2076450" cy="621092"/>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pPr>
          <a:r>
            <a:rPr lang="id" sz="1050" b="1">
              <a:solidFill>
                <a:schemeClr val="dk1"/>
              </a:solidFill>
              <a:latin typeface="Roboto"/>
              <a:ea typeface="Roboto"/>
              <a:cs typeface="Roboto"/>
              <a:sym typeface="Roboto"/>
            </a:rPr>
            <a:t>Ketentuan Wajib Pajak dengan Status  :</a:t>
          </a:r>
          <a:endParaRPr sz="1050"/>
        </a:p>
      </xdr:txBody>
    </xdr:sp>
    <xdr:clientData fLocksWithSheet="0"/>
  </xdr:oneCellAnchor>
  <xdr:oneCellAnchor>
    <xdr:from>
      <xdr:col>3</xdr:col>
      <xdr:colOff>114300</xdr:colOff>
      <xdr:row>36</xdr:row>
      <xdr:rowOff>95250</xdr:rowOff>
    </xdr:from>
    <xdr:ext cx="638175" cy="857250"/>
    <xdr:sp macro="" textlink="">
      <xdr:nvSpPr>
        <xdr:cNvPr id="17" name="Google Shape;918;p64">
          <a:extLst>
            <a:ext uri="{FF2B5EF4-FFF2-40B4-BE49-F238E27FC236}">
              <a16:creationId xmlns:a16="http://schemas.microsoft.com/office/drawing/2014/main" id="{00000000-0008-0000-0B00-000011000000}"/>
            </a:ext>
          </a:extLst>
        </xdr:cNvPr>
        <xdr:cNvSpPr txBox="1"/>
      </xdr:nvSpPr>
      <xdr:spPr>
        <a:xfrm>
          <a:off x="4038600" y="7477125"/>
          <a:ext cx="666750" cy="858762"/>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400"/>
          </a:pPr>
          <a:r>
            <a:rPr lang="id" sz="1100" b="1">
              <a:solidFill>
                <a:srgbClr val="000000"/>
              </a:solidFill>
              <a:latin typeface="Roboto"/>
              <a:ea typeface="Roboto"/>
              <a:cs typeface="Roboto"/>
              <a:sym typeface="Roboto"/>
            </a:rPr>
            <a:t>TK/0</a:t>
          </a:r>
          <a:endParaRPr sz="1100" b="1">
            <a:solidFill>
              <a:srgbClr val="000000"/>
            </a:solidFill>
            <a:latin typeface="Roboto"/>
            <a:ea typeface="Roboto"/>
            <a:cs typeface="Roboto"/>
            <a:sym typeface="Roboto"/>
          </a:endParaRPr>
        </a:p>
        <a:p>
          <a:pPr lvl="0">
            <a:lnSpc>
              <a:spcPct val="115000"/>
            </a:lnSpc>
            <a:buClr>
              <a:srgbClr val="000000"/>
            </a:buClr>
            <a:buSzPts val="1400"/>
          </a:pPr>
          <a:r>
            <a:rPr lang="id" sz="1100" b="1">
              <a:solidFill>
                <a:srgbClr val="000000"/>
              </a:solidFill>
              <a:latin typeface="Roboto"/>
              <a:ea typeface="Roboto"/>
              <a:cs typeface="Roboto"/>
              <a:sym typeface="Roboto"/>
            </a:rPr>
            <a:t>TK/1</a:t>
          </a:r>
          <a:endParaRPr sz="1100" b="1">
            <a:solidFill>
              <a:srgbClr val="000000"/>
            </a:solidFill>
            <a:latin typeface="Roboto"/>
            <a:ea typeface="Roboto"/>
            <a:cs typeface="Roboto"/>
            <a:sym typeface="Roboto"/>
          </a:endParaRPr>
        </a:p>
        <a:p>
          <a:pPr lvl="0">
            <a:lnSpc>
              <a:spcPct val="115000"/>
            </a:lnSpc>
            <a:buClr>
              <a:srgbClr val="000000"/>
            </a:buClr>
            <a:buSzPts val="1400"/>
          </a:pPr>
          <a:r>
            <a:rPr lang="id" sz="1100" b="1">
              <a:solidFill>
                <a:srgbClr val="000000"/>
              </a:solidFill>
              <a:latin typeface="Roboto"/>
              <a:ea typeface="Roboto"/>
              <a:cs typeface="Roboto"/>
              <a:sym typeface="Roboto"/>
            </a:rPr>
            <a:t>K/0</a:t>
          </a:r>
          <a:endParaRPr sz="1100" b="1">
            <a:solidFill>
              <a:srgbClr val="000000"/>
            </a:solidFill>
            <a:latin typeface="Roboto"/>
            <a:ea typeface="Roboto"/>
            <a:cs typeface="Roboto"/>
            <a:sym typeface="Roboto"/>
          </a:endParaRPr>
        </a:p>
      </xdr:txBody>
    </xdr:sp>
    <xdr:clientData fLocksWithSheet="0"/>
  </xdr:oneCellAnchor>
  <xdr:oneCellAnchor>
    <xdr:from>
      <xdr:col>4</xdr:col>
      <xdr:colOff>571500</xdr:colOff>
      <xdr:row>32</xdr:row>
      <xdr:rowOff>0</xdr:rowOff>
    </xdr:from>
    <xdr:ext cx="3362325" cy="866775"/>
    <xdr:sp macro="" textlink="">
      <xdr:nvSpPr>
        <xdr:cNvPr id="23" name="Google Shape;941;p65">
          <a:extLst>
            <a:ext uri="{FF2B5EF4-FFF2-40B4-BE49-F238E27FC236}">
              <a16:creationId xmlns:a16="http://schemas.microsoft.com/office/drawing/2014/main" id="{00000000-0008-0000-0B00-000017000000}"/>
            </a:ext>
          </a:extLst>
        </xdr:cNvPr>
        <xdr:cNvSpPr txBox="1"/>
      </xdr:nvSpPr>
      <xdr:spPr>
        <a:xfrm>
          <a:off x="5105400" y="6619875"/>
          <a:ext cx="2590800" cy="830187"/>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400"/>
          </a:pPr>
          <a:r>
            <a:rPr lang="id" sz="1100" b="1">
              <a:solidFill>
                <a:srgbClr val="000000"/>
              </a:solidFill>
              <a:latin typeface="Roboto"/>
              <a:ea typeface="Roboto"/>
              <a:cs typeface="Roboto"/>
              <a:sym typeface="Roboto"/>
            </a:rPr>
            <a:t>Tarif Pajak setelah diberlakukannya TER-B (untuk masa Januari-November) :</a:t>
          </a:r>
          <a:endParaRPr sz="1100" b="1">
            <a:solidFill>
              <a:srgbClr val="000000"/>
            </a:solidFill>
            <a:latin typeface="Roboto"/>
            <a:ea typeface="Roboto"/>
            <a:cs typeface="Roboto"/>
            <a:sym typeface="Roboto"/>
          </a:endParaRPr>
        </a:p>
      </xdr:txBody>
    </xdr:sp>
    <xdr:clientData fLocksWithSheet="0"/>
  </xdr:oneCellAnchor>
  <xdr:oneCellAnchor>
    <xdr:from>
      <xdr:col>8</xdr:col>
      <xdr:colOff>114300</xdr:colOff>
      <xdr:row>36</xdr:row>
      <xdr:rowOff>114300</xdr:rowOff>
    </xdr:from>
    <xdr:ext cx="590550" cy="1066800"/>
    <xdr:sp macro="" textlink="">
      <xdr:nvSpPr>
        <xdr:cNvPr id="25" name="Google Shape;944;p65">
          <a:extLst>
            <a:ext uri="{FF2B5EF4-FFF2-40B4-BE49-F238E27FC236}">
              <a16:creationId xmlns:a16="http://schemas.microsoft.com/office/drawing/2014/main" id="{00000000-0008-0000-0B00-000019000000}"/>
            </a:ext>
          </a:extLst>
        </xdr:cNvPr>
        <xdr:cNvSpPr txBox="1"/>
      </xdr:nvSpPr>
      <xdr:spPr>
        <a:xfrm>
          <a:off x="8201025" y="7496175"/>
          <a:ext cx="619125" cy="1024856"/>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400"/>
          </a:pPr>
          <a:r>
            <a:rPr lang="id" sz="1100" b="1">
              <a:solidFill>
                <a:srgbClr val="000000"/>
              </a:solidFill>
              <a:latin typeface="Roboto"/>
              <a:ea typeface="Roboto"/>
              <a:cs typeface="Roboto"/>
              <a:sym typeface="Roboto"/>
            </a:rPr>
            <a:t>TK/2</a:t>
          </a:r>
          <a:endParaRPr sz="1100" b="1">
            <a:solidFill>
              <a:srgbClr val="000000"/>
            </a:solidFill>
            <a:latin typeface="Roboto"/>
            <a:ea typeface="Roboto"/>
            <a:cs typeface="Roboto"/>
            <a:sym typeface="Roboto"/>
          </a:endParaRPr>
        </a:p>
        <a:p>
          <a:pPr lvl="0">
            <a:lnSpc>
              <a:spcPct val="115000"/>
            </a:lnSpc>
            <a:buClr>
              <a:srgbClr val="000000"/>
            </a:buClr>
            <a:buSzPts val="1400"/>
          </a:pPr>
          <a:r>
            <a:rPr lang="id" sz="1100" b="1">
              <a:solidFill>
                <a:srgbClr val="000000"/>
              </a:solidFill>
              <a:latin typeface="Roboto"/>
              <a:ea typeface="Roboto"/>
              <a:cs typeface="Roboto"/>
              <a:sym typeface="Roboto"/>
            </a:rPr>
            <a:t>TK/3</a:t>
          </a:r>
          <a:endParaRPr sz="1100" b="1">
            <a:solidFill>
              <a:srgbClr val="000000"/>
            </a:solidFill>
            <a:latin typeface="Roboto"/>
            <a:ea typeface="Roboto"/>
            <a:cs typeface="Roboto"/>
            <a:sym typeface="Roboto"/>
          </a:endParaRPr>
        </a:p>
        <a:p>
          <a:pPr lvl="0">
            <a:lnSpc>
              <a:spcPct val="115000"/>
            </a:lnSpc>
            <a:buClr>
              <a:srgbClr val="000000"/>
            </a:buClr>
            <a:buSzPts val="1400"/>
          </a:pPr>
          <a:r>
            <a:rPr lang="id" sz="1100" b="1">
              <a:solidFill>
                <a:srgbClr val="000000"/>
              </a:solidFill>
              <a:latin typeface="Roboto"/>
              <a:ea typeface="Roboto"/>
              <a:cs typeface="Roboto"/>
              <a:sym typeface="Roboto"/>
            </a:rPr>
            <a:t>K/1</a:t>
          </a:r>
          <a:endParaRPr sz="1100" b="1">
            <a:solidFill>
              <a:srgbClr val="000000"/>
            </a:solidFill>
            <a:latin typeface="Roboto"/>
            <a:ea typeface="Roboto"/>
            <a:cs typeface="Roboto"/>
            <a:sym typeface="Roboto"/>
          </a:endParaRPr>
        </a:p>
        <a:p>
          <a:pPr lvl="0">
            <a:lnSpc>
              <a:spcPct val="115000"/>
            </a:lnSpc>
            <a:buClr>
              <a:srgbClr val="000000"/>
            </a:buClr>
            <a:buSzPts val="1400"/>
          </a:pPr>
          <a:r>
            <a:rPr lang="id" sz="1100" b="1">
              <a:solidFill>
                <a:srgbClr val="000000"/>
              </a:solidFill>
              <a:latin typeface="Roboto"/>
              <a:ea typeface="Roboto"/>
              <a:cs typeface="Roboto"/>
              <a:sym typeface="Roboto"/>
            </a:rPr>
            <a:t>K/2</a:t>
          </a:r>
          <a:endParaRPr sz="1100" b="1">
            <a:solidFill>
              <a:srgbClr val="000000"/>
            </a:solidFill>
            <a:latin typeface="Roboto"/>
            <a:ea typeface="Roboto"/>
            <a:cs typeface="Roboto"/>
            <a:sym typeface="Roboto"/>
          </a:endParaRPr>
        </a:p>
      </xdr:txBody>
    </xdr:sp>
    <xdr:clientData fLocksWithSheet="0"/>
  </xdr:oneCellAnchor>
  <xdr:oneCellAnchor>
    <xdr:from>
      <xdr:col>9</xdr:col>
      <xdr:colOff>485775</xdr:colOff>
      <xdr:row>31</xdr:row>
      <xdr:rowOff>180975</xdr:rowOff>
    </xdr:from>
    <xdr:ext cx="4029075" cy="885825"/>
    <xdr:sp macro="" textlink="">
      <xdr:nvSpPr>
        <xdr:cNvPr id="28" name="Google Shape;970;p66">
          <a:extLst>
            <a:ext uri="{FF2B5EF4-FFF2-40B4-BE49-F238E27FC236}">
              <a16:creationId xmlns:a16="http://schemas.microsoft.com/office/drawing/2014/main" id="{00000000-0008-0000-0B00-00001C000000}"/>
            </a:ext>
          </a:extLst>
        </xdr:cNvPr>
        <xdr:cNvSpPr txBox="1"/>
      </xdr:nvSpPr>
      <xdr:spPr>
        <a:xfrm>
          <a:off x="10429875" y="6610350"/>
          <a:ext cx="4114800" cy="830187"/>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400"/>
          </a:pPr>
          <a:r>
            <a:rPr lang="id" sz="1100" b="1">
              <a:solidFill>
                <a:srgbClr val="000000"/>
              </a:solidFill>
              <a:latin typeface="Roboto"/>
              <a:ea typeface="Roboto"/>
              <a:cs typeface="Roboto"/>
              <a:sym typeface="Roboto"/>
            </a:rPr>
            <a:t>Tarif Pajak setelah diberlakukannya TER-C (untuk masa Januari-November) :</a:t>
          </a:r>
          <a:endParaRPr sz="1100" b="1">
            <a:solidFill>
              <a:srgbClr val="000000"/>
            </a:solidFill>
            <a:latin typeface="Roboto"/>
            <a:ea typeface="Roboto"/>
            <a:cs typeface="Roboto"/>
            <a:sym typeface="Roboto"/>
          </a:endParaRPr>
        </a:p>
      </xdr:txBody>
    </xdr:sp>
    <xdr:clientData fLocksWithSheet="0"/>
  </xdr:oneCellAnchor>
  <xdr:oneCellAnchor>
    <xdr:from>
      <xdr:col>9</xdr:col>
      <xdr:colOff>523875</xdr:colOff>
      <xdr:row>34</xdr:row>
      <xdr:rowOff>38100</xdr:rowOff>
    </xdr:from>
    <xdr:ext cx="2066925" cy="666750"/>
    <xdr:sp macro="" textlink="">
      <xdr:nvSpPr>
        <xdr:cNvPr id="30" name="Google Shape;971;p66">
          <a:extLst>
            <a:ext uri="{FF2B5EF4-FFF2-40B4-BE49-F238E27FC236}">
              <a16:creationId xmlns:a16="http://schemas.microsoft.com/office/drawing/2014/main" id="{00000000-0008-0000-0B00-00001E000000}"/>
            </a:ext>
          </a:extLst>
        </xdr:cNvPr>
        <xdr:cNvSpPr txBox="1"/>
      </xdr:nvSpPr>
      <xdr:spPr>
        <a:xfrm>
          <a:off x="10467975" y="7038975"/>
          <a:ext cx="2099200" cy="638917"/>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pPr>
          <a:r>
            <a:rPr lang="id" sz="1100" b="1">
              <a:solidFill>
                <a:schemeClr val="dk1"/>
              </a:solidFill>
              <a:latin typeface="Roboto"/>
              <a:ea typeface="Roboto"/>
              <a:cs typeface="Roboto"/>
              <a:sym typeface="Roboto"/>
            </a:rPr>
            <a:t>Ketentuan Wajib Pajak dengan Status  :</a:t>
          </a:r>
          <a:endParaRPr sz="1100"/>
        </a:p>
      </xdr:txBody>
    </xdr:sp>
    <xdr:clientData fLocksWithSheet="0"/>
  </xdr:oneCellAnchor>
  <xdr:oneCellAnchor>
    <xdr:from>
      <xdr:col>4</xdr:col>
      <xdr:colOff>581025</xdr:colOff>
      <xdr:row>34</xdr:row>
      <xdr:rowOff>19050</xdr:rowOff>
    </xdr:from>
    <xdr:ext cx="2066925" cy="666750"/>
    <xdr:sp macro="" textlink="">
      <xdr:nvSpPr>
        <xdr:cNvPr id="32" name="Google Shape;971;p66">
          <a:extLst>
            <a:ext uri="{FF2B5EF4-FFF2-40B4-BE49-F238E27FC236}">
              <a16:creationId xmlns:a16="http://schemas.microsoft.com/office/drawing/2014/main" id="{00000000-0008-0000-0B00-000020000000}"/>
            </a:ext>
          </a:extLst>
        </xdr:cNvPr>
        <xdr:cNvSpPr txBox="1"/>
      </xdr:nvSpPr>
      <xdr:spPr>
        <a:xfrm>
          <a:off x="5562600" y="7019925"/>
          <a:ext cx="2099200" cy="638917"/>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pPr>
          <a:r>
            <a:rPr lang="id" sz="1100" b="1">
              <a:solidFill>
                <a:schemeClr val="dk1"/>
              </a:solidFill>
              <a:latin typeface="Roboto"/>
              <a:ea typeface="Roboto"/>
              <a:cs typeface="Roboto"/>
              <a:sym typeface="Roboto"/>
            </a:rPr>
            <a:t>Ketentuan Wajib Pajak dengan Status  :</a:t>
          </a:r>
          <a:endParaRPr sz="1100"/>
        </a:p>
      </xdr:txBody>
    </xdr:sp>
    <xdr:clientData fLocksWithSheet="0"/>
  </xdr:oneCellAnchor>
  <xdr:oneCellAnchor>
    <xdr:from>
      <xdr:col>13</xdr:col>
      <xdr:colOff>104775</xdr:colOff>
      <xdr:row>37</xdr:row>
      <xdr:rowOff>38100</xdr:rowOff>
    </xdr:from>
    <xdr:ext cx="704850" cy="238125"/>
    <xdr:sp macro="" textlink="">
      <xdr:nvSpPr>
        <xdr:cNvPr id="34" name="Google Shape;969;p66">
          <a:extLst>
            <a:ext uri="{FF2B5EF4-FFF2-40B4-BE49-F238E27FC236}">
              <a16:creationId xmlns:a16="http://schemas.microsoft.com/office/drawing/2014/main" id="{00000000-0008-0000-0B00-000022000000}"/>
            </a:ext>
          </a:extLst>
        </xdr:cNvPr>
        <xdr:cNvSpPr txBox="1"/>
      </xdr:nvSpPr>
      <xdr:spPr>
        <a:xfrm>
          <a:off x="14001750" y="7610475"/>
          <a:ext cx="733425" cy="440850"/>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400"/>
          </a:pPr>
          <a:r>
            <a:rPr lang="id" sz="1100" b="1">
              <a:solidFill>
                <a:srgbClr val="000000"/>
              </a:solidFill>
              <a:latin typeface="Roboto"/>
              <a:ea typeface="Roboto"/>
              <a:cs typeface="Roboto"/>
              <a:sym typeface="Roboto"/>
            </a:rPr>
            <a:t>K/3</a:t>
          </a:r>
          <a:endParaRPr sz="1100" b="1">
            <a:solidFill>
              <a:srgbClr val="000000"/>
            </a:solidFill>
            <a:latin typeface="Roboto"/>
            <a:ea typeface="Roboto"/>
            <a:cs typeface="Roboto"/>
            <a:sym typeface="Roboto"/>
          </a:endParaRPr>
        </a:p>
      </xdr:txBody>
    </xdr:sp>
    <xdr:clientData fLocksWithSheet="0"/>
  </xdr:oneCellAnchor>
  <xdr:oneCellAnchor>
    <xdr:from>
      <xdr:col>0</xdr:col>
      <xdr:colOff>0</xdr:colOff>
      <xdr:row>82</xdr:row>
      <xdr:rowOff>95250</xdr:rowOff>
    </xdr:from>
    <xdr:ext cx="3714750" cy="457200"/>
    <xdr:sp macro="" textlink="">
      <xdr:nvSpPr>
        <xdr:cNvPr id="36" name="Google Shape;994;p67">
          <a:extLst>
            <a:ext uri="{FF2B5EF4-FFF2-40B4-BE49-F238E27FC236}">
              <a16:creationId xmlns:a16="http://schemas.microsoft.com/office/drawing/2014/main" id="{00000000-0008-0000-0B00-000024000000}"/>
            </a:ext>
          </a:extLst>
        </xdr:cNvPr>
        <xdr:cNvSpPr txBox="1"/>
      </xdr:nvSpPr>
      <xdr:spPr>
        <a:xfrm>
          <a:off x="0" y="16897350"/>
          <a:ext cx="3743325" cy="444248"/>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pPr>
          <a:r>
            <a:rPr lang="id" sz="1100" b="1">
              <a:solidFill>
                <a:schemeClr val="dk1"/>
              </a:solidFill>
              <a:latin typeface="Roboto"/>
              <a:ea typeface="Roboto"/>
              <a:cs typeface="Roboto"/>
              <a:sym typeface="Roboto"/>
            </a:rPr>
            <a:t>Ketentuan Tarif Progresif PPh Pasal 21</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14</xdr:row>
      <xdr:rowOff>0</xdr:rowOff>
    </xdr:from>
    <xdr:ext cx="7067550" cy="600075"/>
    <xdr:sp macro="" textlink="">
      <xdr:nvSpPr>
        <xdr:cNvPr id="3" name="TextBox 10">
          <a:extLst>
            <a:ext uri="{FF2B5EF4-FFF2-40B4-BE49-F238E27FC236}">
              <a16:creationId xmlns:a16="http://schemas.microsoft.com/office/drawing/2014/main" id="{00000000-0008-0000-0C00-000003000000}"/>
            </a:ext>
          </a:extLst>
        </xdr:cNvPr>
        <xdr:cNvSpPr txBox="1"/>
      </xdr:nvSpPr>
      <xdr:spPr>
        <a:xfrm>
          <a:off x="0" y="3000375"/>
          <a:ext cx="6400800" cy="609013"/>
        </a:xfrm>
        <a:prstGeom prst="rect">
          <a:avLst/>
        </a:prstGeom>
        <a:noFill/>
      </xdr:spPr>
      <xdr:txBody>
        <a:bodyPr wrap="square" rtlCol="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r>
            <a:rPr lang="en-US" sz="1100"/>
            <a:t>Di karenakan Pak Jamal memiliki gaji Rp 12.000.000  sudah menikah dan memiliki satu tanggungan maka pak </a:t>
          </a:r>
        </a:p>
        <a:p>
          <a:r>
            <a:rPr lang="en-US" sz="1100"/>
            <a:t>jamal masuk ke kategori B dengan persentase 3%. Jadi pajak yang   dibayarkan bapak jamal dari januari hi-</a:t>
          </a:r>
        </a:p>
        <a:p>
          <a:r>
            <a:rPr lang="en-US" sz="1100"/>
            <a:t>ngga November sebesar Rp 3.960.000. </a:t>
          </a:r>
          <a:endParaRPr lang="en-ID" sz="1100"/>
        </a:p>
      </xdr:txBody>
    </xdr:sp>
    <xdr:clientData fLocksWithSheet="0"/>
  </xdr:oneCellAnchor>
  <xdr:oneCellAnchor>
    <xdr:from>
      <xdr:col>0</xdr:col>
      <xdr:colOff>0</xdr:colOff>
      <xdr:row>38</xdr:row>
      <xdr:rowOff>0</xdr:rowOff>
    </xdr:from>
    <xdr:ext cx="5124450" cy="276225"/>
    <xdr:sp macro="" textlink="">
      <xdr:nvSpPr>
        <xdr:cNvPr id="4" name="TextBox 11">
          <a:extLst>
            <a:ext uri="{FF2B5EF4-FFF2-40B4-BE49-F238E27FC236}">
              <a16:creationId xmlns:a16="http://schemas.microsoft.com/office/drawing/2014/main" id="{00000000-0008-0000-0C00-000004000000}"/>
            </a:ext>
          </a:extLst>
        </xdr:cNvPr>
        <xdr:cNvSpPr txBox="1"/>
      </xdr:nvSpPr>
      <xdr:spPr>
        <a:xfrm>
          <a:off x="0" y="9829800"/>
          <a:ext cx="5130635" cy="280205"/>
        </a:xfrm>
        <a:prstGeom prst="rect">
          <a:avLst/>
        </a:prstGeom>
        <a:noFill/>
      </xdr:spPr>
      <xdr:txBody>
        <a:bodyPr wrap="square" rtlCol="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r>
            <a:rPr lang="en-US" sz="1200"/>
            <a:t>Jadi pph 21 yang dipotong dibulan desember adalah Rp 1.110.000.</a:t>
          </a:r>
          <a:endParaRPr lang="en-ID" sz="12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114300</xdr:rowOff>
    </xdr:from>
    <xdr:ext cx="6219825" cy="628650"/>
    <xdr:sp macro="" textlink="">
      <xdr:nvSpPr>
        <xdr:cNvPr id="3" name="Google Shape;1097;p72">
          <a:extLst>
            <a:ext uri="{FF2B5EF4-FFF2-40B4-BE49-F238E27FC236}">
              <a16:creationId xmlns:a16="http://schemas.microsoft.com/office/drawing/2014/main" id="{00000000-0008-0000-0D00-000003000000}"/>
            </a:ext>
          </a:extLst>
        </xdr:cNvPr>
        <xdr:cNvSpPr/>
      </xdr:nvSpPr>
      <xdr:spPr>
        <a:xfrm>
          <a:off x="0" y="685800"/>
          <a:ext cx="6305550" cy="600075"/>
        </a:xfrm>
        <a:prstGeom prst="rect">
          <a:avLst/>
        </a:prstGeom>
        <a:noFill/>
        <a:ln>
          <a:noFill/>
        </a:ln>
      </xdr:spPr>
      <xdr:txBody>
        <a:bodyPr spcFirstLastPara="1" wrap="square" lIns="121900" tIns="121900" rIns="121900" bIns="121900" anchor="ctr"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500"/>
          </a:pPr>
          <a:r>
            <a:rPr lang="id" sz="1100">
              <a:solidFill>
                <a:srgbClr val="040C28"/>
              </a:solidFill>
              <a:latin typeface="Roboto"/>
              <a:ea typeface="Roboto"/>
              <a:cs typeface="Roboto"/>
              <a:sym typeface="Roboto"/>
            </a:rPr>
            <a:t>PT Beruntung Selalu berdiri pada tahun 2021 dan bergerak dalam bidang perdagangan umum.</a:t>
          </a:r>
          <a:r>
            <a:rPr lang="en-US" sz="1100">
              <a:solidFill>
                <a:srgbClr val="040C28"/>
              </a:solidFill>
              <a:latin typeface="Roboto"/>
              <a:ea typeface="Roboto"/>
              <a:cs typeface="Roboto"/>
              <a:sym typeface="Roboto"/>
            </a:rPr>
            <a:t> </a:t>
          </a:r>
          <a:r>
            <a:rPr lang="id" sz="1100">
              <a:solidFill>
                <a:srgbClr val="040C28"/>
              </a:solidFill>
              <a:latin typeface="Roboto"/>
              <a:ea typeface="Roboto"/>
              <a:cs typeface="Roboto"/>
              <a:sym typeface="Roboto"/>
            </a:rPr>
            <a:t>Omzet PT Beruntung Selalu pada tahun 2022 sebesar 4 Milyar. Berikut adalah rincian omset PT Beruntung Selalu sepanjang tahun 2022 : </a:t>
          </a:r>
          <a:endParaRPr sz="1100">
            <a:solidFill>
              <a:srgbClr val="040C28"/>
            </a:solidFill>
            <a:latin typeface="Roboto"/>
            <a:ea typeface="Roboto"/>
            <a:cs typeface="Roboto"/>
            <a:sym typeface="Roboto"/>
          </a:endParaRPr>
        </a:p>
        <a:p>
          <a:pPr lvl="0">
            <a:lnSpc>
              <a:spcPct val="115000"/>
            </a:lnSpc>
            <a:buClr>
              <a:srgbClr val="000000"/>
            </a:buClr>
            <a:buSzPts val="1500"/>
          </a:pPr>
          <a:endParaRPr sz="1100">
            <a:solidFill>
              <a:srgbClr val="040C28"/>
            </a:solidFill>
            <a:latin typeface="Roboto"/>
            <a:ea typeface="Roboto"/>
            <a:cs typeface="Roboto"/>
            <a:sym typeface="Roboto"/>
          </a:endParaRPr>
        </a:p>
      </xdr:txBody>
    </xdr:sp>
    <xdr:clientData fLocksWithSheet="0"/>
  </xdr:oneCellAnchor>
  <xdr:oneCellAnchor>
    <xdr:from>
      <xdr:col>2</xdr:col>
      <xdr:colOff>266700</xdr:colOff>
      <xdr:row>7</xdr:row>
      <xdr:rowOff>66675</xdr:rowOff>
    </xdr:from>
    <xdr:ext cx="5991225" cy="1000125"/>
    <xdr:sp macro="" textlink="">
      <xdr:nvSpPr>
        <xdr:cNvPr id="5" name="Google Shape;1099;p72">
          <a:extLst>
            <a:ext uri="{FF2B5EF4-FFF2-40B4-BE49-F238E27FC236}">
              <a16:creationId xmlns:a16="http://schemas.microsoft.com/office/drawing/2014/main" id="{00000000-0008-0000-0D00-000005000000}"/>
            </a:ext>
          </a:extLst>
        </xdr:cNvPr>
        <xdr:cNvSpPr/>
      </xdr:nvSpPr>
      <xdr:spPr>
        <a:xfrm>
          <a:off x="3190875" y="2171700"/>
          <a:ext cx="5433200" cy="1003200"/>
        </a:xfrm>
        <a:prstGeom prst="rect">
          <a:avLst/>
        </a:prstGeom>
        <a:noFill/>
        <a:ln>
          <a:noFill/>
        </a:ln>
      </xdr:spPr>
      <xdr:txBody>
        <a:bodyPr spcFirstLastPara="1" wrap="square" lIns="121900" tIns="121900" rIns="121900" bIns="121900" anchor="ctr"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500"/>
          </a:pPr>
          <a:r>
            <a:rPr lang="id" sz="1100" b="1">
              <a:solidFill>
                <a:srgbClr val="040C28"/>
              </a:solidFill>
              <a:latin typeface="Roboto"/>
              <a:ea typeface="Roboto"/>
              <a:cs typeface="Roboto"/>
              <a:sym typeface="Roboto"/>
            </a:rPr>
            <a:t>Diminta : </a:t>
          </a:r>
          <a:endParaRPr sz="1100" b="1">
            <a:solidFill>
              <a:srgbClr val="040C28"/>
            </a:solidFill>
            <a:latin typeface="Roboto"/>
            <a:ea typeface="Roboto"/>
            <a:cs typeface="Roboto"/>
            <a:sym typeface="Roboto"/>
          </a:endParaRPr>
        </a:p>
        <a:p>
          <a:pPr marL="609585" lvl="0" indent="-414856">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Analisislah tarif pph badan yang tepat untuk PT Beruntung Selalu.</a:t>
          </a:r>
          <a:endParaRPr sz="1100">
            <a:solidFill>
              <a:srgbClr val="040C28"/>
            </a:solidFill>
            <a:latin typeface="Roboto"/>
            <a:ea typeface="Roboto"/>
            <a:cs typeface="Roboto"/>
            <a:sym typeface="Roboto"/>
          </a:endParaRPr>
        </a:p>
        <a:p>
          <a:pPr marL="609585" lvl="0" indent="-414856">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Jika PT Beruntung Selalu menggunakan tarif pph 0,5%, kapan jangka waktu yang diperbolehkan untuk penggunaan tarif pph 0,5%? dan tarif pph badan apa yang berlaku setelah habis jangka waktu penggunaan pph 0,5%?</a:t>
          </a:r>
          <a:endParaRPr sz="1100">
            <a:solidFill>
              <a:srgbClr val="040C28"/>
            </a:solidFill>
            <a:latin typeface="Roboto"/>
            <a:ea typeface="Roboto"/>
            <a:cs typeface="Roboto"/>
            <a:sym typeface="Roboto"/>
          </a:endParaRPr>
        </a:p>
        <a:p>
          <a:pPr marL="609585" lvl="0" indent="-414856">
            <a:lnSpc>
              <a:spcPct val="115000"/>
            </a:lnSpc>
            <a:buClr>
              <a:srgbClr val="040C28"/>
            </a:buClr>
            <a:buSzPts val="1300"/>
            <a:buFont typeface="Roboto"/>
            <a:buAutoNum type="arabicPeriod"/>
          </a:pPr>
          <a:r>
            <a:rPr lang="id" sz="1100">
              <a:solidFill>
                <a:srgbClr val="040C28"/>
              </a:solidFill>
              <a:latin typeface="Roboto"/>
              <a:ea typeface="Roboto"/>
              <a:cs typeface="Roboto"/>
              <a:sym typeface="Roboto"/>
            </a:rPr>
            <a:t>Hitunglah PPh Terutang PT Beruntung Selalu</a:t>
          </a:r>
          <a:endParaRPr sz="1100">
            <a:solidFill>
              <a:srgbClr val="040C28"/>
            </a:solidFill>
            <a:latin typeface="Roboto"/>
            <a:ea typeface="Roboto"/>
            <a:cs typeface="Roboto"/>
            <a:sym typeface="Roboto"/>
          </a:endParaRPr>
        </a:p>
      </xdr:txBody>
    </xdr:sp>
    <xdr:clientData fLocksWithSheet="0"/>
  </xdr:oneCellAnchor>
  <xdr:oneCellAnchor>
    <xdr:from>
      <xdr:col>0</xdr:col>
      <xdr:colOff>0</xdr:colOff>
      <xdr:row>0</xdr:row>
      <xdr:rowOff>47625</xdr:rowOff>
    </xdr:from>
    <xdr:ext cx="3552825" cy="66675"/>
    <xdr:sp macro="" textlink="">
      <xdr:nvSpPr>
        <xdr:cNvPr id="7" name="Google Shape;1120;p73">
          <a:extLst>
            <a:ext uri="{FF2B5EF4-FFF2-40B4-BE49-F238E27FC236}">
              <a16:creationId xmlns:a16="http://schemas.microsoft.com/office/drawing/2014/main" id="{00000000-0008-0000-0D00-000007000000}"/>
            </a:ext>
          </a:extLst>
        </xdr:cNvPr>
        <xdr:cNvSpPr txBox="1"/>
      </xdr:nvSpPr>
      <xdr:spPr>
        <a:xfrm>
          <a:off x="0" y="47625"/>
          <a:ext cx="3552825" cy="68246"/>
        </a:xfrm>
        <a:prstGeom prst="rect">
          <a:avLst/>
        </a:prstGeom>
        <a:noFill/>
        <a:ln>
          <a:noFill/>
        </a:ln>
      </xdr:spPr>
      <xdr:txBody>
        <a:bodyPr spcFirstLastPara="1" wrap="square" lIns="121900" tIns="121900" rIns="121900" bIns="121900" anchor="t"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buClr>
              <a:schemeClr val="dk1"/>
            </a:buClr>
            <a:buSzPts val="1100"/>
          </a:pPr>
          <a:r>
            <a:rPr lang="id" sz="2000" b="1">
              <a:solidFill>
                <a:schemeClr val="tx1"/>
              </a:solidFill>
              <a:latin typeface="Roboto"/>
              <a:ea typeface="Roboto"/>
              <a:cs typeface="Roboto"/>
              <a:sym typeface="Roboto"/>
            </a:rPr>
            <a:t>Perhitungan Pph Badan</a:t>
          </a:r>
          <a:endParaRPr sz="2000" b="1">
            <a:solidFill>
              <a:schemeClr val="tx1"/>
            </a:solidFill>
            <a:latin typeface="Roboto"/>
            <a:ea typeface="Roboto"/>
            <a:cs typeface="Roboto"/>
            <a:sym typeface="Roboto"/>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38100</xdr:colOff>
      <xdr:row>19</xdr:row>
      <xdr:rowOff>114300</xdr:rowOff>
    </xdr:from>
    <xdr:ext cx="7134225" cy="2743200"/>
    <xdr:sp macro="" textlink="">
      <xdr:nvSpPr>
        <xdr:cNvPr id="5" name="Content Placeholder 2">
          <a:extLst>
            <a:ext uri="{FF2B5EF4-FFF2-40B4-BE49-F238E27FC236}">
              <a16:creationId xmlns:a16="http://schemas.microsoft.com/office/drawing/2014/main" id="{00000000-0008-0000-0E00-000005000000}"/>
            </a:ext>
          </a:extLst>
        </xdr:cNvPr>
        <xdr:cNvSpPr>
          <a:spLocks noGrp="1"/>
        </xdr:cNvSpPr>
      </xdr:nvSpPr>
      <xdr:spPr>
        <a:xfrm>
          <a:off x="38100" y="4438651"/>
          <a:ext cx="7248525" cy="2609849"/>
        </a:xfrm>
        <a:prstGeom prst="rect">
          <a:avLst/>
        </a:prstGeom>
      </xdr:spPr>
      <xdr:txBody>
        <a:bodyPr vert="horz" wrap="square" lIns="91440" tIns="45720" rIns="91440" bIns="45720" rtlCol="0">
          <a:noAutofit/>
        </a:bodyPr>
        <a:lstStyle>
          <a:lvl1pPr marL="228600" lvl="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lvl="1"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lvl="2"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lvl="3"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lvl="4"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lvl="5"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lvl="6"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lvl="7"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lvl="8"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lvl="0" indent="0">
            <a:lnSpc>
              <a:spcPct val="115000"/>
            </a:lnSpc>
            <a:buClr>
              <a:srgbClr val="000000"/>
            </a:buClr>
            <a:buSzPts val="1500"/>
            <a:buNone/>
          </a:pPr>
          <a:r>
            <a:rPr lang="en-ID" sz="1100">
              <a:solidFill>
                <a:srgbClr val="040C28"/>
              </a:solidFill>
              <a:latin typeface="Roboto"/>
              <a:ea typeface="Roboto"/>
              <a:cs typeface="Roboto"/>
              <a:sym typeface="Roboto"/>
            </a:rPr>
            <a:t>PT Yolo Yolo memiliki omset lebih dari 4,8 miliar dan masih di bawah 50 miliar dalam satu tahun. Maka, berdasarkan UU PPh Pasal 31E maka PT Maju Yes mendapatkan fasilitas penurunan tarif 50% dari proporsi peredaran usaha 4,8 miliar. </a:t>
          </a:r>
        </a:p>
        <a:p>
          <a:pPr marL="0" lvl="0" indent="0">
            <a:lnSpc>
              <a:spcPct val="115000"/>
            </a:lnSpc>
            <a:buClr>
              <a:srgbClr val="000000"/>
            </a:buClr>
            <a:buSzPts val="1500"/>
            <a:buNone/>
          </a:pPr>
          <a:r>
            <a:rPr lang="en-ID" sz="1100">
              <a:solidFill>
                <a:srgbClr val="040C28"/>
              </a:solidFill>
              <a:latin typeface="Roboto"/>
              <a:ea typeface="Roboto"/>
              <a:cs typeface="Roboto"/>
              <a:sym typeface="Roboto"/>
            </a:rPr>
            <a:t>Berikut adalah perhitungan pajaknya : </a:t>
          </a:r>
        </a:p>
        <a:p>
          <a:pPr marL="0" lvl="0" indent="0">
            <a:lnSpc>
              <a:spcPct val="115000"/>
            </a:lnSpc>
            <a:buClr>
              <a:srgbClr val="000000"/>
            </a:buClr>
            <a:buSzPts val="1500"/>
            <a:buNone/>
          </a:pPr>
          <a:r>
            <a:rPr lang="sv-SE" sz="1100" b="1">
              <a:solidFill>
                <a:srgbClr val="040C28"/>
              </a:solidFill>
              <a:latin typeface="Roboto"/>
              <a:ea typeface="Roboto"/>
              <a:cs typeface="Roboto"/>
              <a:sym typeface="Roboto"/>
            </a:rPr>
            <a:t>Penghasilan Kena Pajak : </a:t>
          </a:r>
        </a:p>
        <a:p>
          <a:pPr marL="0" lvl="0" indent="0">
            <a:lnSpc>
              <a:spcPct val="115000"/>
            </a:lnSpc>
            <a:buClr>
              <a:srgbClr val="000000"/>
            </a:buClr>
            <a:buSzPts val="1500"/>
            <a:buNone/>
          </a:pPr>
          <a:r>
            <a:rPr lang="sv-SE" sz="1100">
              <a:solidFill>
                <a:srgbClr val="040C28"/>
              </a:solidFill>
              <a:latin typeface="Roboto"/>
              <a:ea typeface="Roboto"/>
              <a:cs typeface="Roboto"/>
              <a:sym typeface="Roboto"/>
            </a:rPr>
            <a:t>Peredaran Bruto			Rp 40.000.000.000</a:t>
          </a:r>
        </a:p>
        <a:p>
          <a:pPr marL="0" lvl="0" indent="0">
            <a:lnSpc>
              <a:spcPct val="115000"/>
            </a:lnSpc>
            <a:buClr>
              <a:srgbClr val="000000"/>
            </a:buClr>
            <a:buSzPts val="1500"/>
            <a:buNone/>
          </a:pPr>
          <a:r>
            <a:rPr lang="sv-SE" sz="1100">
              <a:solidFill>
                <a:srgbClr val="040C28"/>
              </a:solidFill>
              <a:latin typeface="Roboto"/>
              <a:ea typeface="Roboto"/>
              <a:cs typeface="Roboto"/>
              <a:sym typeface="Roboto"/>
            </a:rPr>
            <a:t>HPP	                                                                               Rp 25.000.000.000</a:t>
          </a:r>
        </a:p>
        <a:p>
          <a:pPr marL="0" lvl="0" indent="0">
            <a:lnSpc>
              <a:spcPct val="115000"/>
            </a:lnSpc>
            <a:buClr>
              <a:srgbClr val="000000"/>
            </a:buClr>
            <a:buSzPts val="1500"/>
            <a:buNone/>
          </a:pPr>
          <a:r>
            <a:rPr lang="sv-SE" sz="1100">
              <a:solidFill>
                <a:srgbClr val="040C28"/>
              </a:solidFill>
              <a:latin typeface="Roboto"/>
              <a:ea typeface="Roboto"/>
              <a:cs typeface="Roboto"/>
              <a:sym typeface="Roboto"/>
            </a:rPr>
            <a:t>Beban Operasional			</a:t>
          </a:r>
          <a:r>
            <a:rPr lang="sv-SE" sz="1100" u="sng">
              <a:solidFill>
                <a:srgbClr val="040C28"/>
              </a:solidFill>
              <a:latin typeface="Roboto"/>
              <a:ea typeface="Roboto"/>
              <a:cs typeface="Roboto"/>
              <a:sym typeface="Roboto"/>
            </a:rPr>
            <a:t>Rp    7.000.000.000 (-)</a:t>
          </a:r>
        </a:p>
        <a:p>
          <a:pPr marL="0" lvl="0" indent="0">
            <a:lnSpc>
              <a:spcPct val="115000"/>
            </a:lnSpc>
            <a:buClr>
              <a:srgbClr val="000000"/>
            </a:buClr>
            <a:buSzPts val="1500"/>
            <a:buNone/>
          </a:pPr>
          <a:r>
            <a:rPr lang="sv-SE" sz="1100" b="1">
              <a:solidFill>
                <a:srgbClr val="040C28"/>
              </a:solidFill>
              <a:latin typeface="Roboto"/>
              <a:ea typeface="Roboto"/>
              <a:cs typeface="Roboto"/>
              <a:sym typeface="Roboto"/>
            </a:rPr>
            <a:t>Penghasilan Kena Pajak</a:t>
          </a:r>
          <a:r>
            <a:rPr lang="sv-SE" sz="1100">
              <a:solidFill>
                <a:srgbClr val="040C28"/>
              </a:solidFill>
              <a:latin typeface="Roboto"/>
              <a:ea typeface="Roboto"/>
              <a:cs typeface="Roboto"/>
              <a:sym typeface="Roboto"/>
            </a:rPr>
            <a:t>		                           Rp    8.000.000.000</a:t>
          </a:r>
          <a:endParaRPr lang="en-US" sz="1100">
            <a:solidFill>
              <a:schemeClr val="tx1"/>
            </a:solidFill>
          </a:endParaRPr>
        </a:p>
        <a:p>
          <a:pPr marL="0" lvl="0" indent="0">
            <a:lnSpc>
              <a:spcPct val="115000"/>
            </a:lnSpc>
            <a:buClr>
              <a:srgbClr val="000000"/>
            </a:buClr>
            <a:buSzPts val="1500"/>
            <a:buNone/>
          </a:pPr>
          <a:endParaRPr lang="en-US" sz="1100">
            <a:solidFill>
              <a:schemeClr val="tx1"/>
            </a:solidFill>
          </a:endParaRPr>
        </a:p>
        <a:p>
          <a:pPr marL="0" lvl="0" indent="0">
            <a:buNone/>
          </a:pPr>
          <a:endParaRPr lang="en-US" sz="1100"/>
        </a:p>
      </xdr:txBody>
    </xdr:sp>
    <xdr:clientData fLocksWithSheet="0"/>
  </xdr:oneCellAnchor>
  <xdr:oneCellAnchor>
    <xdr:from>
      <xdr:col>2</xdr:col>
      <xdr:colOff>161925</xdr:colOff>
      <xdr:row>2</xdr:row>
      <xdr:rowOff>171450</xdr:rowOff>
    </xdr:from>
    <xdr:ext cx="6019800" cy="1009650"/>
    <xdr:sp macro="" textlink="">
      <xdr:nvSpPr>
        <xdr:cNvPr id="7" name="Google Shape;1144;p74">
          <a:extLst>
            <a:ext uri="{FF2B5EF4-FFF2-40B4-BE49-F238E27FC236}">
              <a16:creationId xmlns:a16="http://schemas.microsoft.com/office/drawing/2014/main" id="{00000000-0008-0000-0E00-000007000000}"/>
            </a:ext>
          </a:extLst>
        </xdr:cNvPr>
        <xdr:cNvSpPr/>
      </xdr:nvSpPr>
      <xdr:spPr>
        <a:xfrm>
          <a:off x="3276600" y="552450"/>
          <a:ext cx="5575600" cy="1003200"/>
        </a:xfrm>
        <a:prstGeom prst="rect">
          <a:avLst/>
        </a:prstGeom>
        <a:noFill/>
        <a:ln>
          <a:noFill/>
        </a:ln>
      </xdr:spPr>
      <xdr:txBody>
        <a:bodyPr spcFirstLastPara="1" wrap="square" lIns="121900" tIns="121900" rIns="121900" bIns="121900" anchor="ctr"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500"/>
          </a:pPr>
          <a:r>
            <a:rPr lang="id" sz="1100">
              <a:solidFill>
                <a:srgbClr val="040C28"/>
              </a:solidFill>
              <a:latin typeface="Roboto"/>
              <a:ea typeface="Roboto"/>
              <a:cs typeface="Roboto"/>
              <a:sym typeface="Roboto"/>
            </a:rPr>
            <a:t>PT Yolo Yolo merupakan perusahaan yang bergerak di bidang perdagangan mainan. PT Yolo Yolo sudah melakukan pembukuan. Berikut adalah data Laporan Laba Rugi PT Yolo Yolo per 31 Desember 2023 : </a:t>
          </a:r>
          <a:endParaRPr sz="1100">
            <a:solidFill>
              <a:srgbClr val="040C28"/>
            </a:solidFill>
            <a:latin typeface="Roboto"/>
            <a:ea typeface="Roboto"/>
            <a:cs typeface="Roboto"/>
            <a:sym typeface="Roboto"/>
          </a:endParaRPr>
        </a:p>
        <a:p>
          <a:pPr lvl="0">
            <a:lnSpc>
              <a:spcPct val="115000"/>
            </a:lnSpc>
            <a:buClr>
              <a:srgbClr val="000000"/>
            </a:buClr>
            <a:buSzPts val="1500"/>
          </a:pPr>
          <a:endParaRPr sz="1100">
            <a:solidFill>
              <a:srgbClr val="040C28"/>
            </a:solidFill>
            <a:latin typeface="Roboto"/>
            <a:ea typeface="Roboto"/>
            <a:cs typeface="Roboto"/>
            <a:sym typeface="Roboto"/>
          </a:endParaRPr>
        </a:p>
      </xdr:txBody>
    </xdr:sp>
    <xdr:clientData fLocksWithSheet="0"/>
  </xdr:oneCellAnchor>
  <xdr:oneCellAnchor>
    <xdr:from>
      <xdr:col>2</xdr:col>
      <xdr:colOff>114300</xdr:colOff>
      <xdr:row>5</xdr:row>
      <xdr:rowOff>133350</xdr:rowOff>
    </xdr:from>
    <xdr:ext cx="6086475" cy="800100"/>
    <xdr:sp macro="" textlink="">
      <xdr:nvSpPr>
        <xdr:cNvPr id="9" name="Google Shape;1145;p74">
          <a:extLst>
            <a:ext uri="{FF2B5EF4-FFF2-40B4-BE49-F238E27FC236}">
              <a16:creationId xmlns:a16="http://schemas.microsoft.com/office/drawing/2014/main" id="{00000000-0008-0000-0E00-000009000000}"/>
            </a:ext>
          </a:extLst>
        </xdr:cNvPr>
        <xdr:cNvSpPr/>
      </xdr:nvSpPr>
      <xdr:spPr>
        <a:xfrm>
          <a:off x="3228975" y="1285875"/>
          <a:ext cx="5646800" cy="1003200"/>
        </a:xfrm>
        <a:prstGeom prst="rect">
          <a:avLst/>
        </a:prstGeom>
        <a:noFill/>
        <a:ln>
          <a:noFill/>
        </a:ln>
      </xdr:spPr>
      <xdr:txBody>
        <a:bodyPr spcFirstLastPara="1" wrap="square" lIns="121900" tIns="121900" rIns="121900" bIns="121900" anchor="ctr"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buClr>
              <a:srgbClr val="000000"/>
            </a:buClr>
            <a:buSzPts val="1500"/>
          </a:pPr>
          <a:r>
            <a:rPr lang="id" sz="1100" b="1">
              <a:solidFill>
                <a:srgbClr val="040C28"/>
              </a:solidFill>
              <a:latin typeface="Roboto"/>
              <a:ea typeface="Roboto"/>
              <a:cs typeface="Roboto"/>
              <a:sym typeface="Roboto"/>
            </a:rPr>
            <a:t>Diminta : </a:t>
          </a:r>
          <a:endParaRPr sz="1100" b="1">
            <a:solidFill>
              <a:srgbClr val="040C28"/>
            </a:solidFill>
            <a:latin typeface="Roboto"/>
            <a:ea typeface="Roboto"/>
            <a:cs typeface="Roboto"/>
            <a:sym typeface="Roboto"/>
          </a:endParaRPr>
        </a:p>
        <a:p>
          <a:pPr marL="609585" lvl="0" indent="-423323">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Analisislah tarif pph badan yang tepat untuk PT Yolo Yolo</a:t>
          </a:r>
          <a:endParaRPr sz="1100">
            <a:solidFill>
              <a:srgbClr val="040C28"/>
            </a:solidFill>
            <a:latin typeface="Roboto"/>
            <a:ea typeface="Roboto"/>
            <a:cs typeface="Roboto"/>
            <a:sym typeface="Roboto"/>
          </a:endParaRPr>
        </a:p>
        <a:p>
          <a:pPr marL="609585" lvl="0" indent="-423323">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Hitung dan tentukanlah berapa Penghasilan Kena Pajak PT Yolo Yolo</a:t>
          </a:r>
          <a:endParaRPr sz="1100">
            <a:solidFill>
              <a:srgbClr val="040C28"/>
            </a:solidFill>
            <a:latin typeface="Roboto"/>
            <a:ea typeface="Roboto"/>
            <a:cs typeface="Roboto"/>
            <a:sym typeface="Roboto"/>
          </a:endParaRPr>
        </a:p>
        <a:p>
          <a:pPr marL="609585" lvl="0" indent="-423323">
            <a:lnSpc>
              <a:spcPct val="115000"/>
            </a:lnSpc>
            <a:buClr>
              <a:srgbClr val="040C28"/>
            </a:buClr>
            <a:buSzPts val="1400"/>
            <a:buFont typeface="Roboto"/>
            <a:buAutoNum type="arabicPeriod"/>
          </a:pPr>
          <a:r>
            <a:rPr lang="id" sz="1100">
              <a:solidFill>
                <a:srgbClr val="040C28"/>
              </a:solidFill>
              <a:latin typeface="Roboto"/>
              <a:ea typeface="Roboto"/>
              <a:cs typeface="Roboto"/>
              <a:sym typeface="Roboto"/>
            </a:rPr>
            <a:t>Hitunglah PPh Terutang PT Yolo Yolo</a:t>
          </a:r>
          <a:endParaRPr sz="1100">
            <a:solidFill>
              <a:srgbClr val="040C28"/>
            </a:solidFill>
            <a:latin typeface="Roboto"/>
            <a:ea typeface="Roboto"/>
            <a:cs typeface="Roboto"/>
            <a:sym typeface="Roboto"/>
          </a:endParaRPr>
        </a:p>
      </xdr:txBody>
    </xdr:sp>
    <xdr:clientData fLocksWithSheet="0"/>
  </xdr:oneCellAnchor>
  <xdr:oneCellAnchor>
    <xdr:from>
      <xdr:col>0</xdr:col>
      <xdr:colOff>0</xdr:colOff>
      <xdr:row>0</xdr:row>
      <xdr:rowOff>76200</xdr:rowOff>
    </xdr:from>
    <xdr:ext cx="3171825" cy="581025"/>
    <xdr:sp macro="" textlink="">
      <xdr:nvSpPr>
        <xdr:cNvPr id="17" name="Google Shape;1120;p73">
          <a:extLst>
            <a:ext uri="{FF2B5EF4-FFF2-40B4-BE49-F238E27FC236}">
              <a16:creationId xmlns:a16="http://schemas.microsoft.com/office/drawing/2014/main" id="{00000000-0008-0000-0E00-000011000000}"/>
            </a:ext>
          </a:extLst>
        </xdr:cNvPr>
        <xdr:cNvSpPr txBox="1"/>
      </xdr:nvSpPr>
      <xdr:spPr>
        <a:xfrm>
          <a:off x="0" y="76200"/>
          <a:ext cx="3171825" cy="554022"/>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buClr>
              <a:schemeClr val="dk1"/>
            </a:buClr>
            <a:buSzPts val="1100"/>
          </a:pPr>
          <a:r>
            <a:rPr lang="id" sz="2000" b="1">
              <a:solidFill>
                <a:schemeClr val="tx1"/>
              </a:solidFill>
              <a:latin typeface="Roboto"/>
              <a:ea typeface="Roboto"/>
              <a:cs typeface="Roboto"/>
              <a:sym typeface="Roboto"/>
            </a:rPr>
            <a:t>Perhitungan Pph Badan</a:t>
          </a:r>
          <a:endParaRPr sz="2000" b="1">
            <a:solidFill>
              <a:schemeClr val="tx1"/>
            </a:solidFill>
            <a:latin typeface="Roboto"/>
            <a:ea typeface="Roboto"/>
            <a:cs typeface="Roboto"/>
            <a:sym typeface="Roboto"/>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38100</xdr:colOff>
      <xdr:row>3</xdr:row>
      <xdr:rowOff>85725</xdr:rowOff>
    </xdr:from>
    <xdr:ext cx="8105775" cy="3171825"/>
    <xdr:sp macro="" textlink="">
      <xdr:nvSpPr>
        <xdr:cNvPr id="3" name="Google Shape;1474;p88">
          <a:extLst>
            <a:ext uri="{FF2B5EF4-FFF2-40B4-BE49-F238E27FC236}">
              <a16:creationId xmlns:a16="http://schemas.microsoft.com/office/drawing/2014/main" id="{00000000-0008-0000-0F00-000003000000}"/>
            </a:ext>
          </a:extLst>
        </xdr:cNvPr>
        <xdr:cNvSpPr txBox="1"/>
      </xdr:nvSpPr>
      <xdr:spPr>
        <a:xfrm>
          <a:off x="38100" y="657225"/>
          <a:ext cx="8420100" cy="3013605"/>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spcBef>
              <a:spcPts val="1600"/>
            </a:spcBef>
          </a:pPr>
          <a:r>
            <a:rPr lang="id" sz="1100" b="1">
              <a:solidFill>
                <a:schemeClr val="dk1"/>
              </a:solidFill>
              <a:latin typeface="Roboto"/>
              <a:ea typeface="Roboto"/>
              <a:cs typeface="Roboto"/>
              <a:sym typeface="Roboto"/>
            </a:rPr>
            <a:t>Studi Kasus: PT XYZ</a:t>
          </a:r>
          <a:endParaRPr sz="1100" b="1">
            <a:solidFill>
              <a:schemeClr val="dk1"/>
            </a:solidFill>
            <a:latin typeface="Roboto"/>
            <a:ea typeface="Roboto"/>
            <a:cs typeface="Roboto"/>
            <a:sym typeface="Roboto"/>
          </a:endParaRPr>
        </a:p>
        <a:p>
          <a:pPr lvl="0">
            <a:lnSpc>
              <a:spcPct val="115000"/>
            </a:lnSpc>
            <a:spcBef>
              <a:spcPts val="1600"/>
            </a:spcBef>
          </a:pPr>
          <a:r>
            <a:rPr lang="id" sz="1100">
              <a:solidFill>
                <a:schemeClr val="dk1"/>
              </a:solidFill>
              <a:latin typeface="Roboto"/>
              <a:ea typeface="Roboto"/>
              <a:cs typeface="Roboto"/>
              <a:sym typeface="Roboto"/>
            </a:rPr>
            <a:t>Kantor Akuntan Publik "JAYA" menerima penugasan untuk mengaudit PT XYZ, untuk pertama kalinya.</a:t>
          </a:r>
          <a:endParaRPr sz="1100">
            <a:solidFill>
              <a:schemeClr val="dk1"/>
            </a:solidFill>
            <a:latin typeface="Roboto"/>
            <a:ea typeface="Roboto"/>
            <a:cs typeface="Roboto"/>
            <a:sym typeface="Roboto"/>
          </a:endParaRPr>
        </a:p>
        <a:p>
          <a:pPr lvl="0">
            <a:lnSpc>
              <a:spcPct val="115000"/>
            </a:lnSpc>
            <a:spcBef>
              <a:spcPts val="1600"/>
            </a:spcBef>
          </a:pPr>
          <a:r>
            <a:rPr lang="id" sz="1100">
              <a:solidFill>
                <a:schemeClr val="dk1"/>
              </a:solidFill>
              <a:latin typeface="Roboto"/>
              <a:ea typeface="Roboto"/>
              <a:cs typeface="Roboto"/>
              <a:sym typeface="Roboto"/>
            </a:rPr>
            <a:t>Engagement Manager, pada fase persiapan audit, menyampaikan informasi berikut terkait PT XYZ:</a:t>
          </a:r>
          <a:endParaRPr sz="1100">
            <a:solidFill>
              <a:schemeClr val="dk1"/>
            </a:solidFill>
            <a:latin typeface="Roboto"/>
            <a:ea typeface="Roboto"/>
            <a:cs typeface="Roboto"/>
            <a:sym typeface="Roboto"/>
          </a:endParaRPr>
        </a:p>
        <a:p>
          <a:pPr marL="609585" lvl="0" indent="-440256">
            <a:lnSpc>
              <a:spcPct val="115000"/>
            </a:lnSpc>
            <a:spcBef>
              <a:spcPts val="1600"/>
            </a:spcBef>
            <a:buClr>
              <a:schemeClr val="dk1"/>
            </a:buClr>
            <a:buSzPts val="1600"/>
            <a:buFont typeface="Roboto"/>
            <a:buChar char="●"/>
          </a:pPr>
          <a:r>
            <a:rPr lang="id" sz="1100">
              <a:solidFill>
                <a:schemeClr val="dk1"/>
              </a:solidFill>
              <a:latin typeface="Roboto"/>
              <a:ea typeface="Roboto"/>
              <a:cs typeface="Roboto"/>
              <a:sym typeface="Roboto"/>
            </a:rPr>
            <a:t>Ini adalah sesi audit eksternal pertama kalinya untuk PT XYZ.</a:t>
          </a:r>
          <a:endParaRPr sz="1100">
            <a:solidFill>
              <a:schemeClr val="dk1"/>
            </a:solidFill>
            <a:latin typeface="Roboto"/>
            <a:ea typeface="Roboto"/>
            <a:cs typeface="Roboto"/>
            <a:sym typeface="Roboto"/>
          </a:endParaRPr>
        </a:p>
        <a:p>
          <a:pPr marL="609585" lvl="0"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PT XYZ adalah perusahaan distribusi yang memiliki banyak cabang di India, Jepang, Tiongkok, Vietnam, Prancis, dan Brazil.</a:t>
          </a:r>
          <a:endParaRPr sz="1100">
            <a:solidFill>
              <a:schemeClr val="dk1"/>
            </a:solidFill>
            <a:latin typeface="Roboto"/>
            <a:ea typeface="Roboto"/>
            <a:cs typeface="Roboto"/>
            <a:sym typeface="Roboto"/>
          </a:endParaRPr>
        </a:p>
        <a:p>
          <a:pPr marL="609585" lvl="0"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Tim internal Audit PT XYZ baru dibentuk 2 bulan lalu.</a:t>
          </a:r>
          <a:endParaRPr sz="1100">
            <a:solidFill>
              <a:schemeClr val="dk1"/>
            </a:solidFill>
            <a:latin typeface="Roboto"/>
            <a:ea typeface="Roboto"/>
            <a:cs typeface="Roboto"/>
            <a:sym typeface="Roboto"/>
          </a:endParaRPr>
        </a:p>
        <a:p>
          <a:pPr marL="609585" lvl="0"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Komite Audit PT XYZ terdiri dari Board of Director member yang tidak satupun memiliki latar belakang bidang akuntansi dan keuangan.</a:t>
          </a:r>
          <a:endParaRPr sz="1100">
            <a:solidFill>
              <a:schemeClr val="dk1"/>
            </a:solidFill>
            <a:latin typeface="Roboto"/>
            <a:ea typeface="Roboto"/>
            <a:cs typeface="Roboto"/>
            <a:sym typeface="Roboto"/>
          </a:endParaRPr>
        </a:p>
        <a:p>
          <a:pPr marL="609585" lvl="0" indent="-440256">
            <a:lnSpc>
              <a:spcPct val="115000"/>
            </a:lnSpc>
            <a:buClr>
              <a:schemeClr val="dk1"/>
            </a:buClr>
            <a:buSzPts val="1600"/>
            <a:buFont typeface="Roboto"/>
            <a:buChar char="●"/>
          </a:pPr>
          <a:r>
            <a:rPr lang="id" sz="1100">
              <a:solidFill>
                <a:schemeClr val="dk1"/>
              </a:solidFill>
              <a:latin typeface="Roboto"/>
              <a:ea typeface="Roboto"/>
              <a:cs typeface="Roboto"/>
              <a:sym typeface="Roboto"/>
            </a:rPr>
            <a:t>KAP JAYA mematok angka 15% sebagai "accepted audit risk level."</a:t>
          </a:r>
          <a:endParaRPr sz="1100">
            <a:solidFill>
              <a:schemeClr val="dk1"/>
            </a:solidFill>
            <a:latin typeface="Roboto"/>
            <a:ea typeface="Roboto"/>
            <a:cs typeface="Roboto"/>
            <a:sym typeface="Roboto"/>
          </a:endParaRPr>
        </a:p>
      </xdr:txBody>
    </xdr:sp>
    <xdr:clientData fLocksWithSheet="0"/>
  </xdr:oneCellAnchor>
  <xdr:oneCellAnchor>
    <xdr:from>
      <xdr:col>0</xdr:col>
      <xdr:colOff>0</xdr:colOff>
      <xdr:row>0</xdr:row>
      <xdr:rowOff>38100</xdr:rowOff>
    </xdr:from>
    <xdr:ext cx="4552950" cy="742950"/>
    <xdr:sp macro="" textlink="">
      <xdr:nvSpPr>
        <xdr:cNvPr id="6" name="Google Shape;1449;p87">
          <a:extLst>
            <a:ext uri="{FF2B5EF4-FFF2-40B4-BE49-F238E27FC236}">
              <a16:creationId xmlns:a16="http://schemas.microsoft.com/office/drawing/2014/main" id="{00000000-0008-0000-0F00-000006000000}"/>
            </a:ext>
          </a:extLst>
        </xdr:cNvPr>
        <xdr:cNvSpPr txBox="1"/>
      </xdr:nvSpPr>
      <xdr:spPr>
        <a:xfrm>
          <a:off x="0" y="38100"/>
          <a:ext cx="4695825" cy="714375"/>
        </a:xfrm>
        <a:prstGeom prst="rect">
          <a:avLst/>
        </a:prstGeom>
        <a:noFill/>
        <a:ln>
          <a:noFill/>
        </a:ln>
      </xdr:spPr>
      <xdr:txBody>
        <a:bodyPr spcFirstLastPara="1" wrap="square" lIns="121900" tIns="121900" rIns="121900" bIns="121900" anchor="ctr"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80000"/>
            </a:lnSpc>
            <a:buClr>
              <a:srgbClr val="000000"/>
            </a:buClr>
            <a:buSzPts val="8000"/>
          </a:pPr>
          <a:r>
            <a:rPr lang="id" sz="2400">
              <a:solidFill>
                <a:schemeClr val="tx1"/>
              </a:solidFill>
              <a:latin typeface="Roboto Black"/>
              <a:ea typeface="Roboto Black"/>
              <a:cs typeface="Roboto Black"/>
              <a:sym typeface="Roboto Black"/>
            </a:rPr>
            <a:t>Pengantar Audit Keuangan</a:t>
          </a:r>
          <a:endParaRPr sz="2400">
            <a:solidFill>
              <a:schemeClr val="tx1"/>
            </a:solidFill>
            <a:latin typeface="Roboto Black"/>
            <a:ea typeface="Roboto Black"/>
            <a:cs typeface="Roboto Black"/>
            <a:sym typeface="Roboto Black"/>
          </a:endParaRPr>
        </a:p>
      </xdr:txBody>
    </xdr:sp>
    <xdr:clientData fLocksWithSheet="0"/>
  </xdr:oneCellAnchor>
  <xdr:oneCellAnchor>
    <xdr:from>
      <xdr:col>0</xdr:col>
      <xdr:colOff>9525</xdr:colOff>
      <xdr:row>19</xdr:row>
      <xdr:rowOff>28575</xdr:rowOff>
    </xdr:from>
    <xdr:ext cx="7848600" cy="2733675"/>
    <xdr:sp macro="" textlink="">
      <xdr:nvSpPr>
        <xdr:cNvPr id="9" name="Google Shape;1497;p89">
          <a:extLst>
            <a:ext uri="{FF2B5EF4-FFF2-40B4-BE49-F238E27FC236}">
              <a16:creationId xmlns:a16="http://schemas.microsoft.com/office/drawing/2014/main" id="{00000000-0008-0000-0F00-000009000000}"/>
            </a:ext>
          </a:extLst>
        </xdr:cNvPr>
        <xdr:cNvSpPr txBox="1"/>
      </xdr:nvSpPr>
      <xdr:spPr>
        <a:xfrm>
          <a:off x="9525" y="3648075"/>
          <a:ext cx="7505700" cy="2613752"/>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spcBef>
              <a:spcPts val="1600"/>
            </a:spcBef>
          </a:pPr>
          <a:r>
            <a:rPr lang="id" sz="1100">
              <a:solidFill>
                <a:schemeClr val="dk1"/>
              </a:solidFill>
              <a:latin typeface="Roboto"/>
              <a:ea typeface="Roboto"/>
              <a:cs typeface="Roboto"/>
              <a:sym typeface="Roboto"/>
            </a:rPr>
            <a:t>Dari informasi tersebut, tim audit KAP "JAYA" menghitung besaran angka DR yang harus diantisipasi dengan prosedur dan metode audit yang paling efektif:</a:t>
          </a:r>
          <a:endParaRPr sz="1100">
            <a:solidFill>
              <a:schemeClr val="dk1"/>
            </a:solidFill>
            <a:latin typeface="Roboto"/>
            <a:ea typeface="Roboto"/>
            <a:cs typeface="Roboto"/>
            <a:sym typeface="Roboto"/>
          </a:endParaRPr>
        </a:p>
        <a:p>
          <a:pPr lvl="0">
            <a:lnSpc>
              <a:spcPct val="115000"/>
            </a:lnSpc>
            <a:spcBef>
              <a:spcPts val="1600"/>
            </a:spcBef>
          </a:pPr>
          <a:r>
            <a:rPr lang="id" sz="1100">
              <a:solidFill>
                <a:schemeClr val="dk1"/>
              </a:solidFill>
              <a:latin typeface="Roboto"/>
              <a:ea typeface="Roboto"/>
              <a:cs typeface="Roboto"/>
              <a:sym typeface="Roboto"/>
            </a:rPr>
            <a:t>Inherent Risk (IR) diperkirakan mencapai 70%, mengingat:</a:t>
          </a:r>
          <a:endParaRPr sz="1100">
            <a:solidFill>
              <a:schemeClr val="dk1"/>
            </a:solidFill>
            <a:latin typeface="Roboto"/>
            <a:ea typeface="Roboto"/>
            <a:cs typeface="Roboto"/>
            <a:sym typeface="Roboto"/>
          </a:endParaRPr>
        </a:p>
        <a:p>
          <a:pPr marL="609585" lvl="0" indent="-423323">
            <a:lnSpc>
              <a:spcPct val="115000"/>
            </a:lnSpc>
            <a:spcBef>
              <a:spcPts val="1600"/>
            </a:spcBef>
            <a:buClr>
              <a:schemeClr val="dk1"/>
            </a:buClr>
            <a:buSzPts val="1400"/>
            <a:buFont typeface="Roboto"/>
            <a:buChar char="●"/>
          </a:pPr>
          <a:r>
            <a:rPr lang="id" sz="1100">
              <a:solidFill>
                <a:schemeClr val="dk1"/>
              </a:solidFill>
              <a:latin typeface="Roboto"/>
              <a:ea typeface="Roboto"/>
              <a:cs typeface="Roboto"/>
              <a:sym typeface="Roboto"/>
            </a:rPr>
            <a:t>Klien adalah perusahaan distribusi dengan kompleksitas pengakuan pendapatan yang tinggi karena penjualan dan inventarisasi barang.</a:t>
          </a:r>
          <a:endParaRPr sz="1100">
            <a:solidFill>
              <a:schemeClr val="dk1"/>
            </a:solidFill>
            <a:latin typeface="Roboto"/>
            <a:ea typeface="Roboto"/>
            <a:cs typeface="Roboto"/>
            <a:sym typeface="Roboto"/>
          </a:endParaRPr>
        </a:p>
        <a:p>
          <a:pPr marL="609585" lvl="0" indent="-423323">
            <a:lnSpc>
              <a:spcPct val="115000"/>
            </a:lnSpc>
            <a:buClr>
              <a:schemeClr val="dk1"/>
            </a:buClr>
            <a:buSzPts val="1400"/>
            <a:buFont typeface="Roboto"/>
            <a:buChar char="●"/>
          </a:pPr>
          <a:r>
            <a:rPr lang="id" sz="1100">
              <a:solidFill>
                <a:schemeClr val="dk1"/>
              </a:solidFill>
              <a:latin typeface="Roboto"/>
              <a:ea typeface="Roboto"/>
              <a:cs typeface="Roboto"/>
              <a:sym typeface="Roboto"/>
            </a:rPr>
            <a:t>Ini adalah audit eksternal pertama kalinya, sehingga minimnya informasi obyektif dapat meningkatkan risiko kesalahan pengakuan transaksi.</a:t>
          </a:r>
          <a:endParaRPr sz="1100">
            <a:solidFill>
              <a:schemeClr val="dk1"/>
            </a:solidFill>
            <a:latin typeface="Roboto"/>
            <a:ea typeface="Roboto"/>
            <a:cs typeface="Roboto"/>
            <a:sym typeface="Roboto"/>
          </a:endParaRPr>
        </a:p>
        <a:p>
          <a:pPr marL="609585" lvl="0" indent="-423323">
            <a:lnSpc>
              <a:spcPct val="115000"/>
            </a:lnSpc>
            <a:buClr>
              <a:schemeClr val="dk1"/>
            </a:buClr>
            <a:buSzPts val="1400"/>
            <a:buFont typeface="Roboto"/>
            <a:buChar char="●"/>
          </a:pPr>
          <a:r>
            <a:rPr lang="id" sz="1100">
              <a:solidFill>
                <a:schemeClr val="dk1"/>
              </a:solidFill>
              <a:latin typeface="Roboto"/>
              <a:ea typeface="Roboto"/>
              <a:cs typeface="Roboto"/>
              <a:sym typeface="Roboto"/>
            </a:rPr>
            <a:t>Klien memiliki banyak cabang di luar negeri dengan mata uang asing yang berbeda, meningkatkan kompleksitas pelaporan keuangan.</a:t>
          </a:r>
          <a:endParaRPr sz="1100">
            <a:solidFill>
              <a:schemeClr val="dk1"/>
            </a:solidFill>
            <a:latin typeface="Roboto"/>
            <a:ea typeface="Roboto"/>
            <a:cs typeface="Roboto"/>
            <a:sym typeface="Roboto"/>
          </a:endParaRPr>
        </a:p>
      </xdr:txBody>
    </xdr:sp>
    <xdr:clientData fLocksWithSheet="0"/>
  </xdr:oneCellAnchor>
  <xdr:oneCellAnchor>
    <xdr:from>
      <xdr:col>0</xdr:col>
      <xdr:colOff>0</xdr:colOff>
      <xdr:row>32</xdr:row>
      <xdr:rowOff>38100</xdr:rowOff>
    </xdr:from>
    <xdr:ext cx="8801100" cy="1495425"/>
    <xdr:sp macro="" textlink="">
      <xdr:nvSpPr>
        <xdr:cNvPr id="11" name="Google Shape;1497;p89">
          <a:extLst>
            <a:ext uri="{FF2B5EF4-FFF2-40B4-BE49-F238E27FC236}">
              <a16:creationId xmlns:a16="http://schemas.microsoft.com/office/drawing/2014/main" id="{00000000-0008-0000-0F00-00000B000000}"/>
            </a:ext>
          </a:extLst>
        </xdr:cNvPr>
        <xdr:cNvSpPr txBox="1"/>
      </xdr:nvSpPr>
      <xdr:spPr>
        <a:xfrm>
          <a:off x="0" y="6134100"/>
          <a:ext cx="8487600" cy="1435224"/>
        </a:xfrm>
        <a:prstGeom prst="rect">
          <a:avLst/>
        </a:prstGeom>
        <a:noFill/>
        <a:ln>
          <a:noFill/>
        </a:ln>
      </xdr:spPr>
      <xdr:txBody>
        <a:bodyPr spcFirstLastPara="1" wrap="square" lIns="121900" tIns="121900" rIns="121900" bIns="121900" anchor="t" anchorCtr="0">
          <a:sp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spcBef>
              <a:spcPts val="1600"/>
            </a:spcBef>
          </a:pPr>
          <a:r>
            <a:rPr lang="id" sz="1100">
              <a:solidFill>
                <a:schemeClr val="dk1"/>
              </a:solidFill>
              <a:latin typeface="Roboto"/>
              <a:ea typeface="Roboto"/>
              <a:cs typeface="Roboto"/>
              <a:sym typeface="Roboto"/>
            </a:rPr>
            <a:t>Control Risk (CR) juga diperkirakan mencapai 60%, mengingat:</a:t>
          </a:r>
          <a:endParaRPr sz="1100">
            <a:solidFill>
              <a:schemeClr val="dk1"/>
            </a:solidFill>
            <a:latin typeface="Roboto"/>
            <a:ea typeface="Roboto"/>
            <a:cs typeface="Roboto"/>
            <a:sym typeface="Roboto"/>
          </a:endParaRPr>
        </a:p>
        <a:p>
          <a:pPr marL="609585" lvl="0" indent="-423323">
            <a:lnSpc>
              <a:spcPct val="115000"/>
            </a:lnSpc>
            <a:spcBef>
              <a:spcPts val="1600"/>
            </a:spcBef>
            <a:buClr>
              <a:schemeClr val="dk1"/>
            </a:buClr>
            <a:buSzPts val="1400"/>
            <a:buFont typeface="Roboto"/>
            <a:buChar char="●"/>
          </a:pPr>
          <a:r>
            <a:rPr lang="id" sz="1100">
              <a:solidFill>
                <a:schemeClr val="dk1"/>
              </a:solidFill>
              <a:latin typeface="Roboto"/>
              <a:ea typeface="Roboto"/>
              <a:cs typeface="Roboto"/>
              <a:sym typeface="Roboto"/>
            </a:rPr>
            <a:t>Tim internal audit PT XYZ tergolong baru.</a:t>
          </a:r>
          <a:endParaRPr sz="1100">
            <a:solidFill>
              <a:schemeClr val="dk1"/>
            </a:solidFill>
            <a:latin typeface="Roboto"/>
            <a:ea typeface="Roboto"/>
            <a:cs typeface="Roboto"/>
            <a:sym typeface="Roboto"/>
          </a:endParaRPr>
        </a:p>
        <a:p>
          <a:pPr marL="609585" lvl="0" indent="-423323">
            <a:lnSpc>
              <a:spcPct val="115000"/>
            </a:lnSpc>
            <a:buClr>
              <a:schemeClr val="dk1"/>
            </a:buClr>
            <a:buSzPts val="1400"/>
            <a:buFont typeface="Roboto"/>
            <a:buChar char="●"/>
          </a:pPr>
          <a:r>
            <a:rPr lang="id" sz="1100">
              <a:solidFill>
                <a:schemeClr val="dk1"/>
              </a:solidFill>
              <a:latin typeface="Roboto"/>
              <a:ea typeface="Roboto"/>
              <a:cs typeface="Roboto"/>
              <a:sym typeface="Roboto"/>
            </a:rPr>
            <a:t>Anggota audit komite nya terdiri dari orang-orang yang tidak berlatar belakang akuntansi dan keuangan, yang dapat mengurangi efektivitas pengawasan terhadap proses pencatatan dan pelaporan transaksi keuangan PT XYZ.</a:t>
          </a:r>
          <a:endParaRPr sz="1100" b="1">
            <a:solidFill>
              <a:schemeClr val="dk1"/>
            </a:solidFill>
            <a:latin typeface="Roboto"/>
            <a:ea typeface="Roboto"/>
            <a:cs typeface="Roboto"/>
            <a:sym typeface="Roboto"/>
          </a:endParaRPr>
        </a:p>
      </xdr:txBody>
    </xdr:sp>
    <xdr:clientData fLocksWithSheet="0"/>
  </xdr:oneCellAnchor>
  <xdr:oneCellAnchor>
    <xdr:from>
      <xdr:col>0</xdr:col>
      <xdr:colOff>38100</xdr:colOff>
      <xdr:row>57</xdr:row>
      <xdr:rowOff>104775</xdr:rowOff>
    </xdr:from>
    <xdr:ext cx="7343775" cy="695325"/>
    <xdr:sp macro="" textlink="">
      <xdr:nvSpPr>
        <xdr:cNvPr id="15" name="Content Placeholder 2">
          <a:extLst>
            <a:ext uri="{FF2B5EF4-FFF2-40B4-BE49-F238E27FC236}">
              <a16:creationId xmlns:a16="http://schemas.microsoft.com/office/drawing/2014/main" id="{00000000-0008-0000-0F00-00000F000000}"/>
            </a:ext>
          </a:extLst>
        </xdr:cNvPr>
        <xdr:cNvSpPr>
          <a:spLocks noGrp="1"/>
        </xdr:cNvSpPr>
      </xdr:nvSpPr>
      <xdr:spPr>
        <a:xfrm>
          <a:off x="38100" y="11153775"/>
          <a:ext cx="7629525" cy="657225"/>
        </a:xfrm>
        <a:prstGeom prst="rect">
          <a:avLst/>
        </a:prstGeom>
      </xdr:spPr>
      <xdr:txBody>
        <a:bodyPr vert="horz" wrap="square" lIns="91440" tIns="45720" rIns="91440" bIns="45720" rtlCol="0">
          <a:noAutofit/>
        </a:bodyPr>
        <a:lstStyle>
          <a:lvl1pPr marL="228600" lvl="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lvl="1"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lvl="2"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lvl="3"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lvl="4"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lvl="5"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lvl="6"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lvl="7"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lvl="8"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marL="0" lvl="0" indent="0">
            <a:buNone/>
          </a:pPr>
          <a:r>
            <a:rPr lang="en-US" sz="1200"/>
            <a:t>Angka tersebut kemudian diubah menjadi persen menjadi 36%. Jadi Dr yang perlu diantisipasi Perusahaan sebesar 36%.</a:t>
          </a:r>
        </a:p>
        <a:p>
          <a:endParaRPr lang="en-ID" sz="1100"/>
        </a:p>
      </xdr:txBody>
    </xdr:sp>
    <xdr:clientData fLocksWithSheet="0"/>
  </xdr:oneCellAnchor>
  <xdr:oneCellAnchor>
    <xdr:from>
      <xdr:col>0</xdr:col>
      <xdr:colOff>28575</xdr:colOff>
      <xdr:row>39</xdr:row>
      <xdr:rowOff>95250</xdr:rowOff>
    </xdr:from>
    <xdr:ext cx="8372475" cy="2286000"/>
    <xdr:sp macro="" textlink="">
      <xdr:nvSpPr>
        <xdr:cNvPr id="17" name="Google Shape;1520;p90">
          <a:extLst>
            <a:ext uri="{FF2B5EF4-FFF2-40B4-BE49-F238E27FC236}">
              <a16:creationId xmlns:a16="http://schemas.microsoft.com/office/drawing/2014/main" id="{00000000-0008-0000-0F00-000011000000}"/>
            </a:ext>
          </a:extLst>
        </xdr:cNvPr>
        <xdr:cNvSpPr/>
      </xdr:nvSpPr>
      <xdr:spPr>
        <a:xfrm>
          <a:off x="28575" y="7534274"/>
          <a:ext cx="8723625" cy="2181225"/>
        </a:xfrm>
        <a:prstGeom prst="rect">
          <a:avLst/>
        </a:prstGeom>
        <a:noFill/>
        <a:ln>
          <a:noFill/>
        </a:ln>
      </xdr:spPr>
      <xdr:txBody>
        <a:bodyPr spcFirstLastPara="1" wrap="square" lIns="121900" tIns="60933" rIns="121900" bIns="60933" anchor="t"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pPr lvl="0">
            <a:lnSpc>
              <a:spcPct val="115000"/>
            </a:lnSpc>
            <a:spcBef>
              <a:spcPts val="1600"/>
            </a:spcBef>
            <a:buClr>
              <a:schemeClr val="dk1"/>
            </a:buClr>
            <a:buSzPts val="1100"/>
          </a:pPr>
          <a:r>
            <a:rPr lang="id" sz="1200" b="1">
              <a:solidFill>
                <a:schemeClr val="dk1"/>
              </a:solidFill>
              <a:latin typeface="Roboto"/>
              <a:ea typeface="Roboto"/>
              <a:cs typeface="Roboto"/>
              <a:sym typeface="Roboto"/>
            </a:rPr>
            <a:t>Instruksi</a:t>
          </a:r>
          <a:endParaRPr sz="1200" b="1">
            <a:solidFill>
              <a:schemeClr val="dk1"/>
            </a:solidFill>
            <a:latin typeface="Roboto"/>
            <a:ea typeface="Roboto"/>
            <a:cs typeface="Roboto"/>
            <a:sym typeface="Roboto"/>
          </a:endParaRPr>
        </a:p>
        <a:p>
          <a:pPr marL="609585" lvl="0" indent="-423323">
            <a:lnSpc>
              <a:spcPct val="115000"/>
            </a:lnSpc>
            <a:spcBef>
              <a:spcPts val="1600"/>
            </a:spcBef>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Inherent Risk (IR):</a:t>
          </a:r>
          <a:endParaRPr sz="1200">
            <a:solidFill>
              <a:schemeClr val="dk1"/>
            </a:solidFill>
            <a:latin typeface="Roboto"/>
            <a:ea typeface="Roboto"/>
            <a:cs typeface="Roboto"/>
            <a:sym typeface="Roboto"/>
          </a:endParaRPr>
        </a:p>
        <a:p>
          <a:pPr marL="609585" lvl="0"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Control Risk (CR):</a:t>
          </a:r>
          <a:endParaRPr sz="1200">
            <a:solidFill>
              <a:schemeClr val="dk1"/>
            </a:solidFill>
            <a:latin typeface="Roboto"/>
            <a:ea typeface="Roboto"/>
            <a:cs typeface="Roboto"/>
            <a:sym typeface="Roboto"/>
          </a:endParaRPr>
        </a:p>
        <a:p>
          <a:pPr marL="609585" lvl="0"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Accepted Audit Risk Level:</a:t>
          </a:r>
          <a:endParaRPr sz="1200">
            <a:solidFill>
              <a:schemeClr val="dk1"/>
            </a:solidFill>
            <a:latin typeface="Roboto"/>
            <a:ea typeface="Roboto"/>
            <a:cs typeface="Roboto"/>
            <a:sym typeface="Roboto"/>
          </a:endParaRPr>
        </a:p>
        <a:p>
          <a:pPr marL="609585" lvl="0"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Besaran Angka DR yang Diharapkan:</a:t>
          </a:r>
          <a:br>
            <a:rPr lang="id" sz="1200">
              <a:solidFill>
                <a:schemeClr val="dk1"/>
              </a:solidFill>
              <a:latin typeface="Roboto"/>
              <a:ea typeface="Roboto"/>
              <a:cs typeface="Roboto"/>
              <a:sym typeface="Roboto"/>
            </a:rPr>
          </a:br>
          <a:r>
            <a:rPr lang="id" sz="1200">
              <a:solidFill>
                <a:schemeClr val="dk1"/>
              </a:solidFill>
              <a:latin typeface="Roboto"/>
              <a:ea typeface="Roboto"/>
              <a:cs typeface="Roboto"/>
              <a:sym typeface="Roboto"/>
            </a:rPr>
            <a:t>Besaran angka DR yang diharapkan dapat dihitung dengan rumus: DR = AAR / (IR * CR), dimana AAR adalah "Accepted Audit Risk Level". Dalam kasus ini, AAR = 15%.</a:t>
          </a:r>
          <a:endParaRPr sz="1200">
            <a:solidFill>
              <a:schemeClr val="dk1"/>
            </a:solidFill>
            <a:latin typeface="Roboto"/>
            <a:ea typeface="Roboto"/>
            <a:cs typeface="Roboto"/>
            <a:sym typeface="Roboto"/>
          </a:endParaRPr>
        </a:p>
        <a:p>
          <a:pPr marL="609585" lvl="0" indent="-423323">
            <a:lnSpc>
              <a:spcPct val="115000"/>
            </a:lnSpc>
            <a:buClr>
              <a:schemeClr val="dk1"/>
            </a:buClr>
            <a:buSzPts val="1400"/>
            <a:buFont typeface="Arial" panose="020B0604020202020204" pitchFamily="34" charset="0"/>
            <a:buChar char="•"/>
          </a:pPr>
          <a:r>
            <a:rPr lang="id" sz="1200">
              <a:solidFill>
                <a:schemeClr val="dk1"/>
              </a:solidFill>
              <a:latin typeface="Roboto"/>
              <a:ea typeface="Roboto"/>
              <a:cs typeface="Roboto"/>
              <a:sym typeface="Roboto"/>
            </a:rPr>
            <a:t>Analisa</a:t>
          </a:r>
          <a:br>
            <a:rPr lang="id" sz="1200" b="1">
              <a:latin typeface="Roboto"/>
              <a:ea typeface="Roboto"/>
              <a:cs typeface="Roboto"/>
              <a:sym typeface="Roboto"/>
            </a:rPr>
          </a:br>
          <a:endParaRPr sz="1200">
            <a:solidFill>
              <a:srgbClr val="000000"/>
            </a:solidFill>
            <a:latin typeface="Roboto"/>
            <a:ea typeface="Roboto"/>
            <a:cs typeface="Roboto"/>
            <a:sym typeface="Roboto"/>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1171575</xdr:colOff>
      <xdr:row>15</xdr:row>
      <xdr:rowOff>76200</xdr:rowOff>
    </xdr:from>
    <xdr:ext cx="5981700" cy="4495800"/>
    <xdr:sp macro="" textlink="">
      <xdr:nvSpPr>
        <xdr:cNvPr id="8" name="Google Shape;1577;p93">
          <a:extLst>
            <a:ext uri="{FF2B5EF4-FFF2-40B4-BE49-F238E27FC236}">
              <a16:creationId xmlns:a16="http://schemas.microsoft.com/office/drawing/2014/main" id="{00000000-0008-0000-1000-000008000000}"/>
            </a:ext>
          </a:extLst>
        </xdr:cNvPr>
        <xdr:cNvSpPr/>
      </xdr:nvSpPr>
      <xdr:spPr>
        <a:xfrm>
          <a:off x="5819776" y="3867150"/>
          <a:ext cx="5981700" cy="4396400"/>
        </a:xfrm>
        <a:prstGeom prst="rect">
          <a:avLst/>
        </a:prstGeom>
        <a:noFill/>
        <a:ln w="9525" cap="flat" cmpd="sng">
          <a:solidFill>
            <a:schemeClr val="dk2"/>
          </a:solidFill>
          <a:prstDash val="solid"/>
          <a:round/>
          <a:headEnd type="none" w="sm" len="sm"/>
          <a:tailEnd type="none" w="sm" len="sm"/>
        </a:ln>
      </xdr:spPr>
      <xdr:txBody>
        <a:bodyPr spcFirstLastPara="1" wrap="square" lIns="121900" tIns="121900" rIns="121900" bIns="121900" anchor="ctr" anchorCtr="0">
          <a:noAutofit/>
        </a:bodyPr>
        <a:lstStyle>
          <a:defPPr lvl="0">
            <a:defRPr lang="en-US"/>
          </a:defPPr>
          <a:lvl1pPr marL="0" lvl="0" algn="l" defTabSz="914400" rtl="0" eaLnBrk="1" latinLnBrk="0" hangingPunct="1">
            <a:defRPr sz="1800" kern="1200">
              <a:solidFill>
                <a:schemeClr val="tx1"/>
              </a:solidFill>
              <a:latin typeface="+mn-lt"/>
              <a:ea typeface="+mn-ea"/>
              <a:cs typeface="+mn-cs"/>
            </a:defRPr>
          </a:lvl1pPr>
          <a:lvl2pPr marL="457200" lvl="1" algn="l" defTabSz="914400" rtl="0" eaLnBrk="1" latinLnBrk="0" hangingPunct="1">
            <a:defRPr sz="1800" kern="1200">
              <a:solidFill>
                <a:schemeClr val="tx1"/>
              </a:solidFill>
              <a:latin typeface="+mn-lt"/>
              <a:ea typeface="+mn-ea"/>
              <a:cs typeface="+mn-cs"/>
            </a:defRPr>
          </a:lvl2pPr>
          <a:lvl3pPr marL="914400" lvl="2" algn="l" defTabSz="914400" rtl="0" eaLnBrk="1" latinLnBrk="0" hangingPunct="1">
            <a:defRPr sz="1800" kern="1200">
              <a:solidFill>
                <a:schemeClr val="tx1"/>
              </a:solidFill>
              <a:latin typeface="+mn-lt"/>
              <a:ea typeface="+mn-ea"/>
              <a:cs typeface="+mn-cs"/>
            </a:defRPr>
          </a:lvl3pPr>
          <a:lvl4pPr marL="1371600" lvl="3" algn="l" defTabSz="914400" rtl="0" eaLnBrk="1" latinLnBrk="0" hangingPunct="1">
            <a:defRPr sz="1800" kern="1200">
              <a:solidFill>
                <a:schemeClr val="tx1"/>
              </a:solidFill>
              <a:latin typeface="+mn-lt"/>
              <a:ea typeface="+mn-ea"/>
              <a:cs typeface="+mn-cs"/>
            </a:defRPr>
          </a:lvl4pPr>
          <a:lvl5pPr marL="1828800" lvl="4" algn="l" defTabSz="914400" rtl="0" eaLnBrk="1" latinLnBrk="0" hangingPunct="1">
            <a:defRPr sz="1800" kern="1200">
              <a:solidFill>
                <a:schemeClr val="tx1"/>
              </a:solidFill>
              <a:latin typeface="+mn-lt"/>
              <a:ea typeface="+mn-ea"/>
              <a:cs typeface="+mn-cs"/>
            </a:defRPr>
          </a:lvl5pPr>
          <a:lvl6pPr marL="2286000" lvl="5" algn="l" defTabSz="914400" rtl="0" eaLnBrk="1" latinLnBrk="0" hangingPunct="1">
            <a:defRPr sz="1800" kern="1200">
              <a:solidFill>
                <a:schemeClr val="tx1"/>
              </a:solidFill>
              <a:latin typeface="+mn-lt"/>
              <a:ea typeface="+mn-ea"/>
              <a:cs typeface="+mn-cs"/>
            </a:defRPr>
          </a:lvl6pPr>
          <a:lvl7pPr marL="2743200" lvl="6" algn="l" defTabSz="914400" rtl="0" eaLnBrk="1" latinLnBrk="0" hangingPunct="1">
            <a:defRPr sz="1800" kern="1200">
              <a:solidFill>
                <a:schemeClr val="tx1"/>
              </a:solidFill>
              <a:latin typeface="+mn-lt"/>
              <a:ea typeface="+mn-ea"/>
              <a:cs typeface="+mn-cs"/>
            </a:defRPr>
          </a:lvl7pPr>
          <a:lvl8pPr marL="3200400" lvl="7" algn="l" defTabSz="914400" rtl="0" eaLnBrk="1" latinLnBrk="0" hangingPunct="1">
            <a:defRPr sz="1800" kern="1200">
              <a:solidFill>
                <a:schemeClr val="tx1"/>
              </a:solidFill>
              <a:latin typeface="+mn-lt"/>
              <a:ea typeface="+mn-ea"/>
              <a:cs typeface="+mn-cs"/>
            </a:defRPr>
          </a:lvl8pPr>
          <a:lvl9pPr marL="3657600" lvl="8" algn="l" defTabSz="914400" rtl="0" eaLnBrk="1" latinLnBrk="0" hangingPunct="1">
            <a:defRPr sz="1800" kern="1200">
              <a:solidFill>
                <a:schemeClr val="tx1"/>
              </a:solidFill>
              <a:latin typeface="+mn-lt"/>
              <a:ea typeface="+mn-ea"/>
              <a:cs typeface="+mn-cs"/>
            </a:defRPr>
          </a:lvl9pPr>
        </a:lstStyle>
        <a:p>
          <a:br>
            <a:rPr lang="id" sz="1333"/>
          </a:br>
          <a:r>
            <a:rPr lang="id" sz="1333"/>
            <a:t>PT ABC sedang diaudit oleh KAP XYZ untuk tahun buku 2023. Dari data yang ditampilkan, ditemukan beberapa temuan antara lain sebagai berikut:</a:t>
          </a:r>
          <a:br>
            <a:rPr lang="id" sz="1333"/>
          </a:br>
          <a:endParaRPr sz="1333"/>
        </a:p>
        <a:p>
          <a:pPr marL="609585" lvl="0" indent="-389457">
            <a:buSzPts val="1000"/>
            <a:buAutoNum type="arabicPeriod"/>
          </a:pPr>
          <a:r>
            <a:rPr lang="id" sz="1333"/>
            <a:t>Setelah dilakukan </a:t>
          </a:r>
          <a:r>
            <a:rPr lang="id" sz="1333" i="1"/>
            <a:t>cash opname</a:t>
          </a:r>
          <a:r>
            <a:rPr lang="id" sz="1333"/>
            <a:t> terdapat biaya operasional yang belum tercatat sebesar Rp 2.000.000</a:t>
          </a:r>
          <a:endParaRPr sz="1333"/>
        </a:p>
        <a:p>
          <a:pPr marL="609585" lvl="0" indent="-389457">
            <a:buSzPts val="1000"/>
            <a:buAutoNum type="arabicPeriod"/>
          </a:pPr>
          <a:r>
            <a:rPr lang="id" sz="1333"/>
            <a:t>Ditemukan invoice ke customer yang belum tercatat sebesar Rp 10.000.000</a:t>
          </a:r>
          <a:endParaRPr sz="1333"/>
        </a:p>
        <a:p>
          <a:pPr marL="609585" lvl="0" indent="-389457">
            <a:buSzPts val="1000"/>
            <a:buAutoNum type="arabicPeriod"/>
          </a:pPr>
          <a:r>
            <a:rPr lang="id" sz="1333"/>
            <a:t>Berdasarkan hasil rekalkulasi terdapat biaya depresiasi peralatan kantor yang belum tercatat sebesar </a:t>
          </a:r>
          <a:br>
            <a:rPr lang="id" sz="1333"/>
          </a:br>
          <a:r>
            <a:rPr lang="id" sz="1333"/>
            <a:t>Rp 5.000.000 </a:t>
          </a:r>
          <a:endParaRPr sz="1333"/>
        </a:p>
        <a:p>
          <a:pPr marL="609585" lvl="0" indent="-389457">
            <a:buSzPts val="1000"/>
            <a:buAutoNum type="arabicPeriod"/>
          </a:pPr>
          <a:r>
            <a:rPr lang="id" sz="1333"/>
            <a:t>Berdasarkan hasil konfirmasi utang usaha, terdapat invoice biaya operasional yang belum tercatat sebesar Rp 5.000.000 </a:t>
          </a:r>
          <a:endParaRPr sz="1333"/>
        </a:p>
        <a:p>
          <a:endParaRPr sz="1333"/>
        </a:p>
        <a:p>
          <a:r>
            <a:rPr lang="id" sz="1333"/>
            <a:t>Instruksi:</a:t>
          </a:r>
          <a:endParaRPr sz="1333"/>
        </a:p>
        <a:p>
          <a:r>
            <a:rPr lang="id" sz="1333"/>
            <a:t>Berdasarkan narasi diatas, mohon dibuat jurnal penyesuaian yang dibutuhkan dan Trial Balance setelah penyesuaian.</a:t>
          </a:r>
          <a:endParaRPr sz="1333"/>
        </a:p>
        <a:p>
          <a:endParaRPr sz="1333"/>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 /></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 /></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9933"/>
  </sheetPr>
  <dimension ref="A1:F220"/>
  <sheetViews>
    <sheetView workbookViewId="0"/>
  </sheetViews>
  <sheetFormatPr defaultColWidth="14.390625" defaultRowHeight="15" customHeight="1" x14ac:dyDescent="0.2"/>
  <cols>
    <col min="1" max="1" width="20.3125" customWidth="1"/>
    <col min="2" max="2" width="3.8984375" customWidth="1"/>
    <col min="3" max="3" width="149.58984375" customWidth="1"/>
    <col min="4" max="4" width="8.7421875" customWidth="1"/>
    <col min="5" max="5" width="13.98828125" customWidth="1"/>
    <col min="6" max="6" width="24.078125" customWidth="1"/>
  </cols>
  <sheetData>
    <row r="1" spans="1:6" ht="14.25" customHeight="1" x14ac:dyDescent="0.25">
      <c r="A1" s="1" t="s">
        <v>0</v>
      </c>
      <c r="B1" s="2"/>
      <c r="C1" s="3"/>
    </row>
    <row r="2" spans="1:6" ht="35.25" customHeight="1" x14ac:dyDescent="0.2">
      <c r="A2" s="425" t="s">
        <v>1</v>
      </c>
      <c r="B2" s="426"/>
      <c r="C2" s="426"/>
      <c r="E2" s="5" t="s">
        <v>2</v>
      </c>
    </row>
    <row r="3" spans="1:6" ht="14.25" customHeight="1" x14ac:dyDescent="0.25">
      <c r="A3" s="3"/>
      <c r="B3" s="2"/>
      <c r="C3" s="3"/>
    </row>
    <row r="4" spans="1:6" ht="14.25" customHeight="1" x14ac:dyDescent="0.2">
      <c r="A4" s="427" t="s">
        <v>3</v>
      </c>
      <c r="B4" s="428"/>
      <c r="C4" s="6" t="s">
        <v>4</v>
      </c>
      <c r="E4" s="6" t="s">
        <v>5</v>
      </c>
      <c r="F4" s="6" t="s">
        <v>6</v>
      </c>
    </row>
    <row r="5" spans="1:6" ht="14.25" customHeight="1" x14ac:dyDescent="0.2">
      <c r="A5" s="429" t="s">
        <v>7</v>
      </c>
      <c r="B5" s="7">
        <v>1</v>
      </c>
      <c r="C5" s="8" t="s">
        <v>8</v>
      </c>
      <c r="E5" s="7">
        <v>101</v>
      </c>
      <c r="F5" s="9" t="s">
        <v>9</v>
      </c>
    </row>
    <row r="6" spans="1:6" ht="14.25" customHeight="1" x14ac:dyDescent="0.2">
      <c r="A6" s="430"/>
      <c r="B6" s="10">
        <v>1</v>
      </c>
      <c r="C6" s="8" t="s">
        <v>10</v>
      </c>
      <c r="E6" s="11">
        <v>102</v>
      </c>
      <c r="F6" s="12" t="s">
        <v>11</v>
      </c>
    </row>
    <row r="7" spans="1:6" ht="14.25" customHeight="1" x14ac:dyDescent="0.2">
      <c r="A7" s="430"/>
      <c r="B7" s="7">
        <v>3</v>
      </c>
      <c r="C7" s="13" t="s">
        <v>12</v>
      </c>
      <c r="E7" s="7">
        <v>103</v>
      </c>
      <c r="F7" s="9" t="s">
        <v>13</v>
      </c>
    </row>
    <row r="8" spans="1:6" ht="14.25" customHeight="1" x14ac:dyDescent="0.2">
      <c r="A8" s="430"/>
      <c r="B8" s="11">
        <v>5</v>
      </c>
      <c r="C8" s="8" t="s">
        <v>14</v>
      </c>
      <c r="E8" s="11">
        <v>104</v>
      </c>
      <c r="F8" s="12" t="s">
        <v>15</v>
      </c>
    </row>
    <row r="9" spans="1:6" ht="14.25" customHeight="1" x14ac:dyDescent="0.2">
      <c r="A9" s="430"/>
      <c r="B9" s="7">
        <v>8</v>
      </c>
      <c r="C9" s="8" t="s">
        <v>16</v>
      </c>
      <c r="E9" s="7">
        <v>121</v>
      </c>
      <c r="F9" s="9" t="s">
        <v>17</v>
      </c>
    </row>
    <row r="10" spans="1:6" ht="14.25" customHeight="1" x14ac:dyDescent="0.2">
      <c r="A10" s="430"/>
      <c r="B10" s="11">
        <v>10</v>
      </c>
      <c r="C10" s="14" t="s">
        <v>18</v>
      </c>
      <c r="E10" s="11">
        <v>201</v>
      </c>
      <c r="F10" s="12" t="s">
        <v>19</v>
      </c>
    </row>
    <row r="11" spans="1:6" ht="14.25" customHeight="1" x14ac:dyDescent="0.2">
      <c r="A11" s="430"/>
      <c r="B11" s="7">
        <v>14</v>
      </c>
      <c r="C11" s="8" t="s">
        <v>20</v>
      </c>
      <c r="E11" s="7">
        <v>301</v>
      </c>
      <c r="F11" s="9" t="s">
        <v>21</v>
      </c>
    </row>
    <row r="12" spans="1:6" ht="27" customHeight="1" x14ac:dyDescent="0.2">
      <c r="A12" s="430"/>
      <c r="B12" s="11">
        <v>17</v>
      </c>
      <c r="C12" s="8" t="s">
        <v>22</v>
      </c>
      <c r="E12" s="11">
        <v>302</v>
      </c>
      <c r="F12" s="12" t="s">
        <v>23</v>
      </c>
    </row>
    <row r="13" spans="1:6" ht="14.25" customHeight="1" x14ac:dyDescent="0.2">
      <c r="A13" s="430"/>
      <c r="B13" s="7">
        <v>25</v>
      </c>
      <c r="C13" s="8" t="s">
        <v>24</v>
      </c>
      <c r="E13" s="7">
        <v>401</v>
      </c>
      <c r="F13" s="9" t="s">
        <v>25</v>
      </c>
    </row>
    <row r="14" spans="1:6" ht="14.25" customHeight="1" x14ac:dyDescent="0.2">
      <c r="A14" s="431"/>
      <c r="B14" s="11">
        <v>27</v>
      </c>
      <c r="C14" s="8" t="s">
        <v>26</v>
      </c>
      <c r="E14" s="11">
        <v>501</v>
      </c>
      <c r="F14" s="12" t="s">
        <v>27</v>
      </c>
    </row>
    <row r="15" spans="1:6" ht="14.25" customHeight="1" x14ac:dyDescent="0.2">
      <c r="B15" s="15"/>
      <c r="E15" s="7">
        <v>502</v>
      </c>
      <c r="F15" s="9" t="s">
        <v>28</v>
      </c>
    </row>
    <row r="16" spans="1:6" ht="14.25" customHeight="1" x14ac:dyDescent="0.2">
      <c r="B16" s="15"/>
    </row>
    <row r="17" spans="2:2" ht="14.25" customHeight="1" x14ac:dyDescent="0.2">
      <c r="B17" s="15"/>
    </row>
    <row r="18" spans="2:2" ht="14.25" customHeight="1" x14ac:dyDescent="0.2">
      <c r="B18" s="15"/>
    </row>
    <row r="19" spans="2:2" ht="14.25" customHeight="1" x14ac:dyDescent="0.2">
      <c r="B19" s="15"/>
    </row>
    <row r="20" spans="2:2" ht="14.25" customHeight="1" x14ac:dyDescent="0.2">
      <c r="B20" s="15"/>
    </row>
    <row r="21" spans="2:2" ht="14.25" customHeight="1" x14ac:dyDescent="0.2">
      <c r="B21" s="15"/>
    </row>
    <row r="22" spans="2:2" ht="14.25" customHeight="1" x14ac:dyDescent="0.2">
      <c r="B22" s="15"/>
    </row>
    <row r="23" spans="2:2" ht="14.25" customHeight="1" x14ac:dyDescent="0.2">
      <c r="B23" s="15"/>
    </row>
    <row r="24" spans="2:2" ht="14.25" customHeight="1" x14ac:dyDescent="0.2">
      <c r="B24" s="15"/>
    </row>
    <row r="25" spans="2:2" ht="14.25" customHeight="1" x14ac:dyDescent="0.2">
      <c r="B25" s="15"/>
    </row>
    <row r="26" spans="2:2" ht="14.25" customHeight="1" x14ac:dyDescent="0.2">
      <c r="B26" s="15"/>
    </row>
    <row r="27" spans="2:2" ht="14.25" customHeight="1" x14ac:dyDescent="0.2">
      <c r="B27" s="15"/>
    </row>
    <row r="28" spans="2:2" ht="14.25" customHeight="1" x14ac:dyDescent="0.2">
      <c r="B28" s="15"/>
    </row>
    <row r="29" spans="2:2" ht="14.25" customHeight="1" x14ac:dyDescent="0.2">
      <c r="B29" s="15"/>
    </row>
    <row r="30" spans="2:2" ht="14.25" customHeight="1" x14ac:dyDescent="0.2">
      <c r="B30" s="15"/>
    </row>
    <row r="31" spans="2:2" ht="14.25" customHeight="1" x14ac:dyDescent="0.2">
      <c r="B31" s="15"/>
    </row>
    <row r="32" spans="2:2" ht="14.25" customHeight="1" x14ac:dyDescent="0.2">
      <c r="B32" s="15"/>
    </row>
    <row r="33" spans="2:2" ht="14.25" customHeight="1" x14ac:dyDescent="0.2">
      <c r="B33" s="15"/>
    </row>
    <row r="34" spans="2:2" ht="14.25" customHeight="1" x14ac:dyDescent="0.2">
      <c r="B34" s="15"/>
    </row>
    <row r="35" spans="2:2" ht="14.25" customHeight="1" x14ac:dyDescent="0.2">
      <c r="B35" s="15"/>
    </row>
    <row r="36" spans="2:2" ht="14.25" customHeight="1" x14ac:dyDescent="0.2">
      <c r="B36" s="15"/>
    </row>
    <row r="37" spans="2:2" ht="14.25" customHeight="1" x14ac:dyDescent="0.2">
      <c r="B37" s="15"/>
    </row>
    <row r="38" spans="2:2" ht="14.25" customHeight="1" x14ac:dyDescent="0.2">
      <c r="B38" s="15"/>
    </row>
    <row r="39" spans="2:2" ht="14.25" customHeight="1" x14ac:dyDescent="0.2">
      <c r="B39" s="15"/>
    </row>
    <row r="40" spans="2:2" ht="14.25" customHeight="1" x14ac:dyDescent="0.2">
      <c r="B40" s="15"/>
    </row>
    <row r="41" spans="2:2" ht="14.25" customHeight="1" x14ac:dyDescent="0.2">
      <c r="B41" s="15"/>
    </row>
    <row r="42" spans="2:2" ht="14.25" customHeight="1" x14ac:dyDescent="0.2">
      <c r="B42" s="15"/>
    </row>
    <row r="43" spans="2:2" ht="14.25" customHeight="1" x14ac:dyDescent="0.2">
      <c r="B43" s="15"/>
    </row>
    <row r="44" spans="2:2" ht="14.25" customHeight="1" x14ac:dyDescent="0.2">
      <c r="B44" s="15"/>
    </row>
    <row r="45" spans="2:2" ht="14.25" customHeight="1" x14ac:dyDescent="0.2">
      <c r="B45" s="15"/>
    </row>
    <row r="46" spans="2:2" ht="14.25" customHeight="1" x14ac:dyDescent="0.2">
      <c r="B46" s="15"/>
    </row>
    <row r="47" spans="2:2" ht="14.25" customHeight="1" x14ac:dyDescent="0.2">
      <c r="B47" s="15"/>
    </row>
    <row r="48" spans="2:2" ht="14.25" customHeight="1" x14ac:dyDescent="0.2">
      <c r="B48" s="15"/>
    </row>
    <row r="49" spans="2:2" ht="14.25" customHeight="1" x14ac:dyDescent="0.2">
      <c r="B49" s="15"/>
    </row>
    <row r="50" spans="2:2" ht="14.25" customHeight="1" x14ac:dyDescent="0.2">
      <c r="B50" s="15"/>
    </row>
    <row r="51" spans="2:2" ht="14.25" customHeight="1" x14ac:dyDescent="0.2">
      <c r="B51" s="15"/>
    </row>
    <row r="52" spans="2:2" ht="14.25" customHeight="1" x14ac:dyDescent="0.2">
      <c r="B52" s="15"/>
    </row>
    <row r="53" spans="2:2" ht="14.25" customHeight="1" x14ac:dyDescent="0.2">
      <c r="B53" s="15"/>
    </row>
    <row r="54" spans="2:2" ht="14.25" customHeight="1" x14ac:dyDescent="0.2">
      <c r="B54" s="15"/>
    </row>
    <row r="55" spans="2:2" ht="14.25" customHeight="1" x14ac:dyDescent="0.2">
      <c r="B55" s="15"/>
    </row>
    <row r="56" spans="2:2" ht="14.25" customHeight="1" x14ac:dyDescent="0.2">
      <c r="B56" s="15"/>
    </row>
    <row r="57" spans="2:2" ht="14.25" customHeight="1" x14ac:dyDescent="0.2">
      <c r="B57" s="15"/>
    </row>
    <row r="58" spans="2:2" ht="14.25" customHeight="1" x14ac:dyDescent="0.2">
      <c r="B58" s="15"/>
    </row>
    <row r="59" spans="2:2" ht="14.25" customHeight="1" x14ac:dyDescent="0.2">
      <c r="B59" s="15"/>
    </row>
    <row r="60" spans="2:2" ht="14.25" customHeight="1" x14ac:dyDescent="0.2">
      <c r="B60" s="15"/>
    </row>
    <row r="61" spans="2:2" ht="14.25" customHeight="1" x14ac:dyDescent="0.2">
      <c r="B61" s="15"/>
    </row>
    <row r="62" spans="2:2" ht="14.25" customHeight="1" x14ac:dyDescent="0.2">
      <c r="B62" s="15"/>
    </row>
    <row r="63" spans="2:2" ht="14.25" customHeight="1" x14ac:dyDescent="0.2">
      <c r="B63" s="15"/>
    </row>
    <row r="64" spans="2:2" ht="14.25" customHeight="1" x14ac:dyDescent="0.2">
      <c r="B64" s="15"/>
    </row>
    <row r="65" spans="2:2" ht="14.25" customHeight="1" x14ac:dyDescent="0.2">
      <c r="B65" s="15"/>
    </row>
    <row r="66" spans="2:2" ht="14.25" customHeight="1" x14ac:dyDescent="0.2">
      <c r="B66" s="15"/>
    </row>
    <row r="67" spans="2:2" ht="14.25" customHeight="1" x14ac:dyDescent="0.2">
      <c r="B67" s="15"/>
    </row>
    <row r="68" spans="2:2" ht="14.25" customHeight="1" x14ac:dyDescent="0.2">
      <c r="B68" s="15"/>
    </row>
    <row r="69" spans="2:2" ht="14.25" customHeight="1" x14ac:dyDescent="0.2">
      <c r="B69" s="15"/>
    </row>
    <row r="70" spans="2:2" ht="14.25" customHeight="1" x14ac:dyDescent="0.2">
      <c r="B70" s="15"/>
    </row>
    <row r="71" spans="2:2" ht="14.25" customHeight="1" x14ac:dyDescent="0.2">
      <c r="B71" s="15"/>
    </row>
    <row r="72" spans="2:2" ht="14.25" customHeight="1" x14ac:dyDescent="0.2">
      <c r="B72" s="15"/>
    </row>
    <row r="73" spans="2:2" ht="14.25" customHeight="1" x14ac:dyDescent="0.2">
      <c r="B73" s="15"/>
    </row>
    <row r="74" spans="2:2" ht="14.25" customHeight="1" x14ac:dyDescent="0.2">
      <c r="B74" s="15"/>
    </row>
    <row r="75" spans="2:2" ht="14.25" customHeight="1" x14ac:dyDescent="0.2">
      <c r="B75" s="15"/>
    </row>
    <row r="76" spans="2:2" ht="14.25" customHeight="1" x14ac:dyDescent="0.2">
      <c r="B76" s="15"/>
    </row>
    <row r="77" spans="2:2" ht="14.25" customHeight="1" x14ac:dyDescent="0.2">
      <c r="B77" s="15"/>
    </row>
    <row r="78" spans="2:2" ht="14.25" customHeight="1" x14ac:dyDescent="0.2">
      <c r="B78" s="15"/>
    </row>
    <row r="79" spans="2:2" ht="14.25" customHeight="1" x14ac:dyDescent="0.2">
      <c r="B79" s="15"/>
    </row>
    <row r="80" spans="2:2" ht="14.25" customHeight="1" x14ac:dyDescent="0.2">
      <c r="B80" s="15"/>
    </row>
    <row r="81" spans="2:2" ht="14.25" customHeight="1" x14ac:dyDescent="0.2">
      <c r="B81" s="15"/>
    </row>
    <row r="82" spans="2:2" ht="14.25" customHeight="1" x14ac:dyDescent="0.2">
      <c r="B82" s="15"/>
    </row>
    <row r="83" spans="2:2" ht="14.25" customHeight="1" x14ac:dyDescent="0.2">
      <c r="B83" s="15"/>
    </row>
    <row r="84" spans="2:2" ht="14.25" customHeight="1" x14ac:dyDescent="0.2">
      <c r="B84" s="15"/>
    </row>
    <row r="85" spans="2:2" ht="14.25" customHeight="1" x14ac:dyDescent="0.2">
      <c r="B85" s="15"/>
    </row>
    <row r="86" spans="2:2" ht="14.25" customHeight="1" x14ac:dyDescent="0.2">
      <c r="B86" s="15"/>
    </row>
    <row r="87" spans="2:2" ht="14.25" customHeight="1" x14ac:dyDescent="0.2">
      <c r="B87" s="15"/>
    </row>
    <row r="88" spans="2:2" ht="14.25" customHeight="1" x14ac:dyDescent="0.2">
      <c r="B88" s="15"/>
    </row>
    <row r="89" spans="2:2" ht="14.25" customHeight="1" x14ac:dyDescent="0.2">
      <c r="B89" s="15"/>
    </row>
    <row r="90" spans="2:2" ht="14.25" customHeight="1" x14ac:dyDescent="0.2">
      <c r="B90" s="15"/>
    </row>
    <row r="91" spans="2:2" ht="14.25" customHeight="1" x14ac:dyDescent="0.2">
      <c r="B91" s="15"/>
    </row>
    <row r="92" spans="2:2" ht="14.25" customHeight="1" x14ac:dyDescent="0.2">
      <c r="B92" s="15"/>
    </row>
    <row r="93" spans="2:2" ht="14.25" customHeight="1" x14ac:dyDescent="0.2">
      <c r="B93" s="15"/>
    </row>
    <row r="94" spans="2:2" ht="14.25" customHeight="1" x14ac:dyDescent="0.2">
      <c r="B94" s="15"/>
    </row>
    <row r="95" spans="2:2" ht="14.25" customHeight="1" x14ac:dyDescent="0.2">
      <c r="B95" s="15"/>
    </row>
    <row r="96" spans="2:2" ht="14.25" customHeight="1" x14ac:dyDescent="0.2">
      <c r="B96" s="15"/>
    </row>
    <row r="97" spans="2:2" ht="14.25" customHeight="1" x14ac:dyDescent="0.2">
      <c r="B97" s="15"/>
    </row>
    <row r="98" spans="2:2" ht="14.25" customHeight="1" x14ac:dyDescent="0.2">
      <c r="B98" s="15"/>
    </row>
    <row r="99" spans="2:2" ht="14.25" customHeight="1" x14ac:dyDescent="0.2">
      <c r="B99" s="15"/>
    </row>
    <row r="100" spans="2:2" ht="14.25" customHeight="1" x14ac:dyDescent="0.2">
      <c r="B100" s="15"/>
    </row>
    <row r="101" spans="2:2" ht="14.25" customHeight="1" x14ac:dyDescent="0.2">
      <c r="B101" s="15"/>
    </row>
    <row r="102" spans="2:2" ht="14.25" customHeight="1" x14ac:dyDescent="0.2">
      <c r="B102" s="15"/>
    </row>
    <row r="103" spans="2:2" ht="14.25" customHeight="1" x14ac:dyDescent="0.2">
      <c r="B103" s="15"/>
    </row>
    <row r="104" spans="2:2" ht="14.25" customHeight="1" x14ac:dyDescent="0.2">
      <c r="B104" s="15"/>
    </row>
    <row r="105" spans="2:2" ht="14.25" customHeight="1" x14ac:dyDescent="0.2">
      <c r="B105" s="15"/>
    </row>
    <row r="106" spans="2:2" ht="14.25" customHeight="1" x14ac:dyDescent="0.2">
      <c r="B106" s="15"/>
    </row>
    <row r="107" spans="2:2" ht="14.25" customHeight="1" x14ac:dyDescent="0.2">
      <c r="B107" s="15"/>
    </row>
    <row r="108" spans="2:2" ht="14.25" customHeight="1" x14ac:dyDescent="0.2">
      <c r="B108" s="15"/>
    </row>
    <row r="109" spans="2:2" ht="14.25" customHeight="1" x14ac:dyDescent="0.2">
      <c r="B109" s="15"/>
    </row>
    <row r="110" spans="2:2" ht="14.25" customHeight="1" x14ac:dyDescent="0.2">
      <c r="B110" s="15"/>
    </row>
    <row r="111" spans="2:2" ht="14.25" customHeight="1" x14ac:dyDescent="0.2">
      <c r="B111" s="15"/>
    </row>
    <row r="112" spans="2:2" ht="14.25" customHeight="1" x14ac:dyDescent="0.2">
      <c r="B112" s="15"/>
    </row>
    <row r="113" spans="2:2" ht="14.25" customHeight="1" x14ac:dyDescent="0.2">
      <c r="B113" s="15"/>
    </row>
    <row r="114" spans="2:2" ht="14.25" customHeight="1" x14ac:dyDescent="0.2">
      <c r="B114" s="15"/>
    </row>
    <row r="115" spans="2:2" ht="14.25" customHeight="1" x14ac:dyDescent="0.2">
      <c r="B115" s="15"/>
    </row>
    <row r="116" spans="2:2" ht="14.25" customHeight="1" x14ac:dyDescent="0.2">
      <c r="B116" s="15"/>
    </row>
    <row r="117" spans="2:2" ht="14.25" customHeight="1" x14ac:dyDescent="0.2">
      <c r="B117" s="15"/>
    </row>
    <row r="118" spans="2:2" ht="14.25" customHeight="1" x14ac:dyDescent="0.2">
      <c r="B118" s="15"/>
    </row>
    <row r="119" spans="2:2" ht="14.25" customHeight="1" x14ac:dyDescent="0.2">
      <c r="B119" s="15"/>
    </row>
    <row r="120" spans="2:2" ht="14.25" customHeight="1" x14ac:dyDescent="0.2">
      <c r="B120" s="15"/>
    </row>
    <row r="121" spans="2:2" ht="14.25" customHeight="1" x14ac:dyDescent="0.2">
      <c r="B121" s="15"/>
    </row>
    <row r="122" spans="2:2" ht="14.25" customHeight="1" x14ac:dyDescent="0.2">
      <c r="B122" s="15"/>
    </row>
    <row r="123" spans="2:2" ht="14.25" customHeight="1" x14ac:dyDescent="0.2">
      <c r="B123" s="15"/>
    </row>
    <row r="124" spans="2:2" ht="14.25" customHeight="1" x14ac:dyDescent="0.2">
      <c r="B124" s="15"/>
    </row>
    <row r="125" spans="2:2" ht="14.25" customHeight="1" x14ac:dyDescent="0.2">
      <c r="B125" s="15"/>
    </row>
    <row r="126" spans="2:2" ht="14.25" customHeight="1" x14ac:dyDescent="0.2">
      <c r="B126" s="15"/>
    </row>
    <row r="127" spans="2:2" ht="14.25" customHeight="1" x14ac:dyDescent="0.2">
      <c r="B127" s="15"/>
    </row>
    <row r="128" spans="2:2" ht="14.25" customHeight="1" x14ac:dyDescent="0.2">
      <c r="B128" s="15"/>
    </row>
    <row r="129" spans="2:2" ht="14.25" customHeight="1" x14ac:dyDescent="0.2">
      <c r="B129" s="15"/>
    </row>
    <row r="130" spans="2:2" ht="14.25" customHeight="1" x14ac:dyDescent="0.2">
      <c r="B130" s="15"/>
    </row>
    <row r="131" spans="2:2" ht="14.25" customHeight="1" x14ac:dyDescent="0.2">
      <c r="B131" s="15"/>
    </row>
    <row r="132" spans="2:2" ht="14.25" customHeight="1" x14ac:dyDescent="0.2">
      <c r="B132" s="15"/>
    </row>
    <row r="133" spans="2:2" ht="14.25" customHeight="1" x14ac:dyDescent="0.2">
      <c r="B133" s="15"/>
    </row>
    <row r="134" spans="2:2" ht="14.25" customHeight="1" x14ac:dyDescent="0.2">
      <c r="B134" s="15"/>
    </row>
    <row r="135" spans="2:2" ht="14.25" customHeight="1" x14ac:dyDescent="0.2">
      <c r="B135" s="15"/>
    </row>
    <row r="136" spans="2:2" ht="14.25" customHeight="1" x14ac:dyDescent="0.2">
      <c r="B136" s="15"/>
    </row>
    <row r="137" spans="2:2" ht="14.25" customHeight="1" x14ac:dyDescent="0.2">
      <c r="B137" s="15"/>
    </row>
    <row r="138" spans="2:2" ht="14.25" customHeight="1" x14ac:dyDescent="0.2">
      <c r="B138" s="15"/>
    </row>
    <row r="139" spans="2:2" ht="14.25" customHeight="1" x14ac:dyDescent="0.2">
      <c r="B139" s="15"/>
    </row>
    <row r="140" spans="2:2" ht="14.25" customHeight="1" x14ac:dyDescent="0.2">
      <c r="B140" s="15"/>
    </row>
    <row r="141" spans="2:2" ht="14.25" customHeight="1" x14ac:dyDescent="0.2">
      <c r="B141" s="15"/>
    </row>
    <row r="142" spans="2:2" ht="14.25" customHeight="1" x14ac:dyDescent="0.2">
      <c r="B142" s="15"/>
    </row>
    <row r="143" spans="2:2" ht="14.25" customHeight="1" x14ac:dyDescent="0.2">
      <c r="B143" s="15"/>
    </row>
    <row r="144" spans="2:2" ht="14.25" customHeight="1" x14ac:dyDescent="0.2">
      <c r="B144" s="15"/>
    </row>
    <row r="145" spans="2:2" ht="14.25" customHeight="1" x14ac:dyDescent="0.2">
      <c r="B145" s="15"/>
    </row>
    <row r="146" spans="2:2" ht="14.25" customHeight="1" x14ac:dyDescent="0.2">
      <c r="B146" s="15"/>
    </row>
    <row r="147" spans="2:2" ht="14.25" customHeight="1" x14ac:dyDescent="0.2">
      <c r="B147" s="15"/>
    </row>
    <row r="148" spans="2:2" ht="14.25" customHeight="1" x14ac:dyDescent="0.2">
      <c r="B148" s="15"/>
    </row>
    <row r="149" spans="2:2" ht="14.25" customHeight="1" x14ac:dyDescent="0.2">
      <c r="B149" s="15"/>
    </row>
    <row r="150" spans="2:2" ht="14.25" customHeight="1" x14ac:dyDescent="0.2">
      <c r="B150" s="15"/>
    </row>
    <row r="151" spans="2:2" ht="14.25" customHeight="1" x14ac:dyDescent="0.2">
      <c r="B151" s="15"/>
    </row>
    <row r="152" spans="2:2" ht="14.25" customHeight="1" x14ac:dyDescent="0.2">
      <c r="B152" s="15"/>
    </row>
    <row r="153" spans="2:2" ht="14.25" customHeight="1" x14ac:dyDescent="0.2">
      <c r="B153" s="15"/>
    </row>
    <row r="154" spans="2:2" ht="14.25" customHeight="1" x14ac:dyDescent="0.2">
      <c r="B154" s="15"/>
    </row>
    <row r="155" spans="2:2" ht="14.25" customHeight="1" x14ac:dyDescent="0.2">
      <c r="B155" s="15"/>
    </row>
    <row r="156" spans="2:2" ht="14.25" customHeight="1" x14ac:dyDescent="0.2">
      <c r="B156" s="15"/>
    </row>
    <row r="157" spans="2:2" ht="14.25" customHeight="1" x14ac:dyDescent="0.2">
      <c r="B157" s="15"/>
    </row>
    <row r="158" spans="2:2" ht="14.25" customHeight="1" x14ac:dyDescent="0.2">
      <c r="B158" s="15"/>
    </row>
    <row r="159" spans="2:2" ht="14.25" customHeight="1" x14ac:dyDescent="0.2">
      <c r="B159" s="15"/>
    </row>
    <row r="160" spans="2:2" ht="14.25" customHeight="1" x14ac:dyDescent="0.2">
      <c r="B160" s="15"/>
    </row>
    <row r="161" spans="2:2" ht="14.25" customHeight="1" x14ac:dyDescent="0.2">
      <c r="B161" s="15"/>
    </row>
    <row r="162" spans="2:2" ht="14.25" customHeight="1" x14ac:dyDescent="0.2">
      <c r="B162" s="15"/>
    </row>
    <row r="163" spans="2:2" ht="14.25" customHeight="1" x14ac:dyDescent="0.2">
      <c r="B163" s="15"/>
    </row>
    <row r="164" spans="2:2" ht="14.25" customHeight="1" x14ac:dyDescent="0.2">
      <c r="B164" s="15"/>
    </row>
    <row r="165" spans="2:2" ht="14.25" customHeight="1" x14ac:dyDescent="0.2">
      <c r="B165" s="15"/>
    </row>
    <row r="166" spans="2:2" ht="14.25" customHeight="1" x14ac:dyDescent="0.2">
      <c r="B166" s="15"/>
    </row>
    <row r="167" spans="2:2" ht="14.25" customHeight="1" x14ac:dyDescent="0.2">
      <c r="B167" s="15"/>
    </row>
    <row r="168" spans="2:2" ht="14.25" customHeight="1" x14ac:dyDescent="0.2">
      <c r="B168" s="15"/>
    </row>
    <row r="169" spans="2:2" ht="14.25" customHeight="1" x14ac:dyDescent="0.2">
      <c r="B169" s="15"/>
    </row>
    <row r="170" spans="2:2" ht="14.25" customHeight="1" x14ac:dyDescent="0.2">
      <c r="B170" s="15"/>
    </row>
    <row r="171" spans="2:2" ht="14.25" customHeight="1" x14ac:dyDescent="0.2">
      <c r="B171" s="15"/>
    </row>
    <row r="172" spans="2:2" ht="14.25" customHeight="1" x14ac:dyDescent="0.2">
      <c r="B172" s="15"/>
    </row>
    <row r="173" spans="2:2" ht="14.25" customHeight="1" x14ac:dyDescent="0.2">
      <c r="B173" s="15"/>
    </row>
    <row r="174" spans="2:2" ht="14.25" customHeight="1" x14ac:dyDescent="0.2">
      <c r="B174" s="15"/>
    </row>
    <row r="175" spans="2:2" ht="14.25" customHeight="1" x14ac:dyDescent="0.2">
      <c r="B175" s="15"/>
    </row>
    <row r="176" spans="2:2" ht="14.25" customHeight="1" x14ac:dyDescent="0.2">
      <c r="B176" s="15"/>
    </row>
    <row r="177" spans="2:2" ht="14.25" customHeight="1" x14ac:dyDescent="0.2">
      <c r="B177" s="15"/>
    </row>
    <row r="178" spans="2:2" ht="14.25" customHeight="1" x14ac:dyDescent="0.2">
      <c r="B178" s="15"/>
    </row>
    <row r="179" spans="2:2" ht="14.25" customHeight="1" x14ac:dyDescent="0.2">
      <c r="B179" s="15"/>
    </row>
    <row r="180" spans="2:2" ht="14.25" customHeight="1" x14ac:dyDescent="0.2">
      <c r="B180" s="15"/>
    </row>
    <row r="181" spans="2:2" ht="14.25" customHeight="1" x14ac:dyDescent="0.2">
      <c r="B181" s="15"/>
    </row>
    <row r="182" spans="2:2" ht="14.25" customHeight="1" x14ac:dyDescent="0.2">
      <c r="B182" s="15"/>
    </row>
    <row r="183" spans="2:2" ht="14.25" customHeight="1" x14ac:dyDescent="0.2">
      <c r="B183" s="15"/>
    </row>
    <row r="184" spans="2:2" ht="14.25" customHeight="1" x14ac:dyDescent="0.2">
      <c r="B184" s="15"/>
    </row>
    <row r="185" spans="2:2" ht="14.25" customHeight="1" x14ac:dyDescent="0.2">
      <c r="B185" s="15"/>
    </row>
    <row r="186" spans="2:2" ht="14.25" customHeight="1" x14ac:dyDescent="0.2">
      <c r="B186" s="15"/>
    </row>
    <row r="187" spans="2:2" ht="14.25" customHeight="1" x14ac:dyDescent="0.2">
      <c r="B187" s="15"/>
    </row>
    <row r="188" spans="2:2" ht="14.25" customHeight="1" x14ac:dyDescent="0.2">
      <c r="B188" s="15"/>
    </row>
    <row r="189" spans="2:2" ht="14.25" customHeight="1" x14ac:dyDescent="0.2">
      <c r="B189" s="15"/>
    </row>
    <row r="190" spans="2:2" ht="14.25" customHeight="1" x14ac:dyDescent="0.2">
      <c r="B190" s="15"/>
    </row>
    <row r="191" spans="2:2" ht="14.25" customHeight="1" x14ac:dyDescent="0.2">
      <c r="B191" s="15"/>
    </row>
    <row r="192" spans="2:2" ht="14.25" customHeight="1" x14ac:dyDescent="0.2">
      <c r="B192" s="15"/>
    </row>
    <row r="193" spans="2:2" ht="14.25" customHeight="1" x14ac:dyDescent="0.2">
      <c r="B193" s="15"/>
    </row>
    <row r="194" spans="2:2" ht="14.25" customHeight="1" x14ac:dyDescent="0.2">
      <c r="B194" s="15"/>
    </row>
    <row r="195" spans="2:2" ht="14.25" customHeight="1" x14ac:dyDescent="0.2">
      <c r="B195" s="15"/>
    </row>
    <row r="196" spans="2:2" ht="14.25" customHeight="1" x14ac:dyDescent="0.2">
      <c r="B196" s="15"/>
    </row>
    <row r="197" spans="2:2" ht="14.25" customHeight="1" x14ac:dyDescent="0.2">
      <c r="B197" s="15"/>
    </row>
    <row r="198" spans="2:2" ht="14.25" customHeight="1" x14ac:dyDescent="0.2">
      <c r="B198" s="15"/>
    </row>
    <row r="199" spans="2:2" ht="14.25" customHeight="1" x14ac:dyDescent="0.2">
      <c r="B199" s="15"/>
    </row>
    <row r="200" spans="2:2" ht="14.25" customHeight="1" x14ac:dyDescent="0.2">
      <c r="B200" s="15"/>
    </row>
    <row r="201" spans="2:2" ht="14.25" customHeight="1" x14ac:dyDescent="0.2">
      <c r="B201" s="15"/>
    </row>
    <row r="202" spans="2:2" ht="14.25" customHeight="1" x14ac:dyDescent="0.2">
      <c r="B202" s="15"/>
    </row>
    <row r="203" spans="2:2" ht="14.25" customHeight="1" x14ac:dyDescent="0.2">
      <c r="B203" s="15"/>
    </row>
    <row r="204" spans="2:2" ht="14.25" customHeight="1" x14ac:dyDescent="0.2">
      <c r="B204" s="15"/>
    </row>
    <row r="205" spans="2:2" ht="14.25" customHeight="1" x14ac:dyDescent="0.2">
      <c r="B205" s="15"/>
    </row>
    <row r="206" spans="2:2" ht="14.25" customHeight="1" x14ac:dyDescent="0.2">
      <c r="B206" s="15"/>
    </row>
    <row r="207" spans="2:2" ht="14.25" customHeight="1" x14ac:dyDescent="0.2">
      <c r="B207" s="15"/>
    </row>
    <row r="208" spans="2:2" ht="14.25" customHeight="1" x14ac:dyDescent="0.2">
      <c r="B208" s="15"/>
    </row>
    <row r="209" spans="2:2" ht="14.25" customHeight="1" x14ac:dyDescent="0.2">
      <c r="B209" s="15"/>
    </row>
    <row r="210" spans="2:2" ht="14.25" customHeight="1" x14ac:dyDescent="0.2">
      <c r="B210" s="15"/>
    </row>
    <row r="211" spans="2:2" ht="14.25" customHeight="1" x14ac:dyDescent="0.2">
      <c r="B211" s="15"/>
    </row>
    <row r="212" spans="2:2" ht="14.25" customHeight="1" x14ac:dyDescent="0.2">
      <c r="B212" s="15"/>
    </row>
    <row r="213" spans="2:2" ht="14.25" customHeight="1" x14ac:dyDescent="0.2">
      <c r="B213" s="15"/>
    </row>
    <row r="214" spans="2:2" ht="14.25" customHeight="1" x14ac:dyDescent="0.2">
      <c r="B214" s="15"/>
    </row>
    <row r="215" spans="2:2" ht="14.25" customHeight="1" x14ac:dyDescent="0.2">
      <c r="B215" s="15"/>
    </row>
    <row r="216" spans="2:2" ht="14.25" customHeight="1" x14ac:dyDescent="0.2">
      <c r="B216" s="15"/>
    </row>
    <row r="217" spans="2:2" ht="14.25" customHeight="1" x14ac:dyDescent="0.2">
      <c r="B217" s="15"/>
    </row>
    <row r="218" spans="2:2" ht="14.25" customHeight="1" x14ac:dyDescent="0.2">
      <c r="B218" s="15"/>
    </row>
    <row r="219" spans="2:2" ht="14.25" customHeight="1" x14ac:dyDescent="0.2">
      <c r="B219" s="15"/>
    </row>
    <row r="220" spans="2:2" ht="14.25" customHeight="1" x14ac:dyDescent="0.2">
      <c r="B220" s="15"/>
    </row>
  </sheetData>
  <mergeCells count="3">
    <mergeCell ref="A2:C2"/>
    <mergeCell ref="A4:B4"/>
    <mergeCell ref="A5:A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39933"/>
  </sheetPr>
  <dimension ref="A1:Y237"/>
  <sheetViews>
    <sheetView workbookViewId="0">
      <pane ySplit="6" topLeftCell="A7" activePane="bottomLeft" state="frozen"/>
      <selection pane="bottomLeft" activeCell="B8" sqref="B8"/>
    </sheetView>
  </sheetViews>
  <sheetFormatPr defaultColWidth="14.390625" defaultRowHeight="15" customHeight="1" x14ac:dyDescent="0.2"/>
  <cols>
    <col min="1" max="1" width="18.6953125" customWidth="1"/>
    <col min="2" max="2" width="49.09765625" customWidth="1"/>
    <col min="3" max="3" width="9.68359375" customWidth="1"/>
    <col min="4" max="4" width="21.1171875" customWidth="1"/>
    <col min="5" max="5" width="21.38671875" customWidth="1"/>
    <col min="6" max="25" width="8.7421875" customWidth="1"/>
  </cols>
  <sheetData>
    <row r="1" spans="1:25" ht="14.25" customHeight="1" x14ac:dyDescent="0.2">
      <c r="C1" s="15"/>
      <c r="D1" s="16"/>
      <c r="E1" s="16"/>
    </row>
    <row r="2" spans="1:25" ht="14.25" customHeight="1" x14ac:dyDescent="0.25">
      <c r="A2" s="432" t="s">
        <v>29</v>
      </c>
      <c r="B2" s="426"/>
      <c r="C2" s="426"/>
      <c r="D2" s="426"/>
      <c r="E2" s="426"/>
    </row>
    <row r="3" spans="1:25" ht="14.25" customHeight="1" x14ac:dyDescent="0.25">
      <c r="A3" s="432" t="s">
        <v>30</v>
      </c>
      <c r="B3" s="426"/>
      <c r="C3" s="426"/>
      <c r="D3" s="426"/>
      <c r="E3" s="426"/>
    </row>
    <row r="4" spans="1:25" ht="14.25" customHeight="1" x14ac:dyDescent="0.25">
      <c r="A4" s="432" t="s">
        <v>31</v>
      </c>
      <c r="B4" s="426"/>
      <c r="C4" s="426"/>
      <c r="D4" s="426"/>
      <c r="E4" s="426"/>
    </row>
    <row r="5" spans="1:25" ht="14.25" customHeight="1" x14ac:dyDescent="0.2">
      <c r="C5" s="15"/>
      <c r="D5" s="16"/>
      <c r="E5" s="16"/>
    </row>
    <row r="6" spans="1:25" ht="30" customHeight="1" x14ac:dyDescent="0.3">
      <c r="A6" s="17" t="s">
        <v>3</v>
      </c>
      <c r="B6" s="17" t="s">
        <v>4</v>
      </c>
      <c r="C6" s="17" t="s">
        <v>32</v>
      </c>
      <c r="D6" s="18" t="s">
        <v>33</v>
      </c>
      <c r="E6" s="18" t="s">
        <v>34</v>
      </c>
    </row>
    <row r="7" spans="1:25" ht="19.5" customHeight="1" x14ac:dyDescent="0.25">
      <c r="A7" s="19">
        <f>DATE(2023,1,1)</f>
        <v>44927</v>
      </c>
      <c r="B7" s="20" t="s">
        <v>9</v>
      </c>
      <c r="C7" s="21">
        <v>101</v>
      </c>
      <c r="D7" s="22">
        <v>25000000</v>
      </c>
      <c r="E7" s="22"/>
      <c r="F7" s="23"/>
      <c r="G7" s="23"/>
      <c r="H7" s="23"/>
      <c r="I7" s="23"/>
      <c r="J7" s="23"/>
      <c r="K7" s="23"/>
      <c r="L7" s="23"/>
      <c r="M7" s="23"/>
      <c r="N7" s="23"/>
      <c r="O7" s="23"/>
      <c r="P7" s="23"/>
      <c r="Q7" s="23"/>
      <c r="R7" s="23"/>
      <c r="S7" s="23"/>
      <c r="T7" s="23"/>
      <c r="U7" s="23"/>
      <c r="V7" s="23"/>
      <c r="W7" s="23"/>
      <c r="X7" s="23"/>
      <c r="Y7" s="23"/>
    </row>
    <row r="8" spans="1:25" ht="19.5" customHeight="1" x14ac:dyDescent="0.25">
      <c r="A8" s="19"/>
      <c r="B8" s="20" t="s">
        <v>35</v>
      </c>
      <c r="C8" s="21">
        <v>301</v>
      </c>
      <c r="D8" s="22"/>
      <c r="E8" s="22">
        <v>25000000</v>
      </c>
      <c r="F8" s="23"/>
      <c r="G8" s="23"/>
      <c r="H8" s="23"/>
      <c r="I8" s="23"/>
      <c r="J8" s="23"/>
      <c r="K8" s="23"/>
      <c r="L8" s="23"/>
      <c r="M8" s="23"/>
      <c r="N8" s="23"/>
      <c r="O8" s="23"/>
      <c r="P8" s="23"/>
      <c r="Q8" s="23"/>
      <c r="R8" s="23"/>
      <c r="S8" s="23"/>
      <c r="T8" s="23"/>
      <c r="U8" s="23"/>
      <c r="V8" s="23"/>
      <c r="W8" s="23"/>
      <c r="X8" s="23"/>
      <c r="Y8" s="23"/>
    </row>
    <row r="9" spans="1:25" ht="19.5" customHeight="1" x14ac:dyDescent="0.2">
      <c r="A9" s="19"/>
      <c r="B9" s="24" t="s">
        <v>36</v>
      </c>
      <c r="C9" s="25">
        <v>104</v>
      </c>
      <c r="D9" s="26">
        <v>12000000</v>
      </c>
      <c r="E9" s="26"/>
      <c r="F9" s="23"/>
      <c r="G9" s="23"/>
      <c r="H9" s="23"/>
      <c r="I9" s="23"/>
      <c r="J9" s="23"/>
      <c r="K9" s="23"/>
      <c r="L9" s="23"/>
      <c r="M9" s="23"/>
      <c r="N9" s="23"/>
      <c r="O9" s="23"/>
      <c r="P9" s="23"/>
      <c r="Q9" s="23"/>
      <c r="R9" s="23"/>
      <c r="S9" s="23"/>
      <c r="T9" s="23"/>
      <c r="U9" s="23"/>
      <c r="V9" s="23"/>
      <c r="W9" s="23"/>
      <c r="X9" s="23"/>
      <c r="Y9" s="23"/>
    </row>
    <row r="10" spans="1:25" ht="19.5" customHeight="1" x14ac:dyDescent="0.2">
      <c r="A10" s="19"/>
      <c r="B10" s="24" t="s">
        <v>9</v>
      </c>
      <c r="C10" s="25">
        <v>101</v>
      </c>
      <c r="D10" s="26"/>
      <c r="E10" s="26">
        <v>12000000</v>
      </c>
      <c r="F10" s="23"/>
      <c r="G10" s="23"/>
      <c r="H10" s="23"/>
      <c r="I10" s="23"/>
      <c r="J10" s="23"/>
      <c r="K10" s="23"/>
      <c r="L10" s="23"/>
      <c r="M10" s="23"/>
      <c r="N10" s="23"/>
      <c r="O10" s="23"/>
      <c r="P10" s="23"/>
      <c r="Q10" s="23"/>
      <c r="R10" s="23"/>
      <c r="S10" s="23"/>
      <c r="T10" s="23"/>
      <c r="U10" s="23"/>
      <c r="V10" s="23"/>
      <c r="W10" s="23"/>
      <c r="X10" s="23"/>
      <c r="Y10" s="23"/>
    </row>
    <row r="11" spans="1:25" ht="19.5" customHeight="1" x14ac:dyDescent="0.2">
      <c r="A11" s="19"/>
      <c r="B11" s="24"/>
      <c r="C11" s="25"/>
      <c r="D11" s="26"/>
      <c r="E11" s="26"/>
      <c r="F11" s="23"/>
      <c r="G11" s="23"/>
      <c r="H11" s="23"/>
      <c r="I11" s="23"/>
      <c r="J11" s="23"/>
      <c r="K11" s="23"/>
      <c r="L11" s="23"/>
      <c r="M11" s="23"/>
      <c r="N11" s="23"/>
      <c r="O11" s="23"/>
      <c r="P11" s="23"/>
      <c r="Q11" s="23"/>
      <c r="R11" s="23"/>
      <c r="S11" s="23"/>
      <c r="T11" s="23"/>
      <c r="U11" s="23"/>
      <c r="V11" s="23"/>
      <c r="W11" s="23"/>
      <c r="X11" s="23"/>
      <c r="Y11" s="23"/>
    </row>
    <row r="12" spans="1:25" ht="19.5" customHeight="1" x14ac:dyDescent="0.25">
      <c r="A12" s="19">
        <f>DATE(2023,1,3)</f>
        <v>44929</v>
      </c>
      <c r="B12" s="24" t="s">
        <v>17</v>
      </c>
      <c r="C12" s="25">
        <v>121</v>
      </c>
      <c r="D12" s="26">
        <v>7000000</v>
      </c>
      <c r="E12" s="26"/>
      <c r="F12" s="23"/>
      <c r="G12" s="23"/>
      <c r="H12" s="23"/>
      <c r="I12" s="23"/>
      <c r="J12" s="4"/>
      <c r="K12" s="27"/>
      <c r="L12" s="28"/>
      <c r="M12" s="28"/>
      <c r="N12" s="23"/>
      <c r="O12" s="23"/>
      <c r="P12" s="23"/>
      <c r="Q12" s="23"/>
      <c r="R12" s="23"/>
      <c r="S12" s="23"/>
      <c r="T12" s="23"/>
      <c r="U12" s="23"/>
      <c r="V12" s="23"/>
      <c r="W12" s="23"/>
      <c r="X12" s="23"/>
      <c r="Y12" s="23"/>
    </row>
    <row r="13" spans="1:25" ht="19.5" customHeight="1" x14ac:dyDescent="0.2">
      <c r="A13" s="19"/>
      <c r="B13" s="24" t="s">
        <v>19</v>
      </c>
      <c r="C13" s="25">
        <v>201</v>
      </c>
      <c r="D13" s="26"/>
      <c r="E13" s="26">
        <v>7000000</v>
      </c>
      <c r="F13" s="23"/>
      <c r="G13" s="23"/>
      <c r="H13" s="23"/>
      <c r="I13" s="23"/>
      <c r="J13" s="23"/>
      <c r="K13" s="23"/>
      <c r="L13" s="23"/>
      <c r="M13" s="23"/>
      <c r="N13" s="23"/>
      <c r="O13" s="23"/>
      <c r="P13" s="23"/>
      <c r="Q13" s="23"/>
      <c r="R13" s="23"/>
      <c r="S13" s="23"/>
      <c r="T13" s="23"/>
      <c r="U13" s="23"/>
      <c r="V13" s="23"/>
      <c r="W13" s="23"/>
      <c r="X13" s="23"/>
      <c r="Y13" s="23"/>
    </row>
    <row r="14" spans="1:25" ht="19.5" customHeight="1" x14ac:dyDescent="0.2">
      <c r="A14" s="19"/>
      <c r="B14" s="24"/>
      <c r="C14" s="25"/>
      <c r="D14" s="26"/>
      <c r="E14" s="26"/>
      <c r="F14" s="23"/>
      <c r="G14" s="23"/>
      <c r="H14" s="23"/>
      <c r="I14" s="23"/>
      <c r="J14" s="23"/>
      <c r="K14" s="23"/>
      <c r="L14" s="23"/>
      <c r="M14" s="23"/>
      <c r="N14" s="23"/>
      <c r="O14" s="23"/>
      <c r="P14" s="23"/>
      <c r="Q14" s="23"/>
      <c r="R14" s="23"/>
      <c r="S14" s="23"/>
      <c r="T14" s="23"/>
      <c r="U14" s="23"/>
      <c r="V14" s="23"/>
      <c r="W14" s="23"/>
      <c r="X14" s="23"/>
      <c r="Y14" s="23"/>
    </row>
    <row r="15" spans="1:25" ht="19.5" customHeight="1" x14ac:dyDescent="0.25">
      <c r="A15" s="19">
        <f>DATE(2023,1,5)</f>
        <v>44931</v>
      </c>
      <c r="B15" s="24" t="s">
        <v>37</v>
      </c>
      <c r="C15" s="25">
        <v>103</v>
      </c>
      <c r="D15" s="26">
        <v>1000000</v>
      </c>
      <c r="E15" s="26"/>
      <c r="F15" s="23"/>
      <c r="G15" s="23"/>
      <c r="H15" s="23"/>
      <c r="I15" s="23"/>
      <c r="J15" s="23"/>
      <c r="K15" s="23"/>
      <c r="L15" s="23"/>
      <c r="M15" s="23"/>
      <c r="N15" s="23"/>
      <c r="O15" s="23"/>
      <c r="P15" s="23"/>
      <c r="Q15" s="23"/>
      <c r="R15" s="23"/>
      <c r="S15" s="23"/>
      <c r="T15" s="23"/>
      <c r="U15" s="23"/>
      <c r="V15" s="23"/>
      <c r="W15" s="23"/>
      <c r="X15" s="23"/>
      <c r="Y15" s="23"/>
    </row>
    <row r="16" spans="1:25" ht="19.5" customHeight="1" x14ac:dyDescent="0.2">
      <c r="A16" s="19"/>
      <c r="B16" s="24" t="s">
        <v>9</v>
      </c>
      <c r="C16" s="25">
        <v>101</v>
      </c>
      <c r="D16" s="26"/>
      <c r="E16" s="26">
        <v>1000000</v>
      </c>
      <c r="F16" s="23"/>
      <c r="G16" s="23"/>
      <c r="H16" s="23"/>
      <c r="I16" s="23"/>
      <c r="J16" s="23"/>
      <c r="K16" s="23"/>
      <c r="L16" s="23"/>
      <c r="M16" s="23"/>
      <c r="N16" s="23"/>
      <c r="O16" s="23"/>
      <c r="P16" s="23"/>
      <c r="Q16" s="23"/>
      <c r="R16" s="23"/>
      <c r="S16" s="23"/>
      <c r="T16" s="23"/>
      <c r="U16" s="23"/>
      <c r="V16" s="23"/>
      <c r="W16" s="23"/>
      <c r="X16" s="23"/>
      <c r="Y16" s="23"/>
    </row>
    <row r="17" spans="1:25" ht="19.5" customHeight="1" x14ac:dyDescent="0.2">
      <c r="A17" s="19"/>
      <c r="B17" s="24"/>
      <c r="C17" s="25"/>
      <c r="D17" s="26"/>
      <c r="E17" s="26"/>
      <c r="F17" s="23"/>
      <c r="G17" s="23"/>
      <c r="H17" s="23"/>
      <c r="I17" s="23"/>
      <c r="J17" s="23"/>
      <c r="K17" s="23"/>
      <c r="L17" s="23"/>
      <c r="M17" s="23"/>
      <c r="N17" s="23"/>
      <c r="O17" s="23"/>
      <c r="P17" s="23"/>
      <c r="Q17" s="23"/>
      <c r="R17" s="23"/>
      <c r="S17" s="23"/>
      <c r="T17" s="23"/>
      <c r="U17" s="23"/>
      <c r="V17" s="23"/>
      <c r="W17" s="23"/>
      <c r="X17" s="23"/>
      <c r="Y17" s="23"/>
    </row>
    <row r="18" spans="1:25" ht="19.5" customHeight="1" x14ac:dyDescent="0.25">
      <c r="A18" s="19">
        <f>DATE(2023,1,8)</f>
        <v>44934</v>
      </c>
      <c r="B18" s="24" t="s">
        <v>9</v>
      </c>
      <c r="C18" s="25">
        <v>101</v>
      </c>
      <c r="D18" s="26">
        <v>7500000</v>
      </c>
      <c r="E18" s="26"/>
      <c r="F18" s="23"/>
      <c r="G18" s="23"/>
      <c r="H18" s="23"/>
      <c r="I18" s="23"/>
      <c r="J18" s="23"/>
      <c r="K18" s="23"/>
      <c r="L18" s="23"/>
      <c r="M18" s="23"/>
      <c r="N18" s="23"/>
      <c r="O18" s="23"/>
      <c r="P18" s="23"/>
      <c r="Q18" s="23"/>
      <c r="R18" s="23"/>
      <c r="S18" s="23"/>
      <c r="T18" s="23"/>
      <c r="U18" s="23"/>
      <c r="V18" s="23"/>
      <c r="W18" s="23"/>
      <c r="X18" s="23"/>
      <c r="Y18" s="23"/>
    </row>
    <row r="19" spans="1:25" ht="19.5" customHeight="1" x14ac:dyDescent="0.2">
      <c r="A19" s="19"/>
      <c r="B19" s="24" t="s">
        <v>25</v>
      </c>
      <c r="C19" s="25">
        <v>401</v>
      </c>
      <c r="D19" s="26"/>
      <c r="E19" s="26">
        <v>7500000</v>
      </c>
      <c r="F19" s="23"/>
      <c r="G19" s="23"/>
      <c r="H19" s="23"/>
      <c r="I19" s="23"/>
      <c r="J19" s="23"/>
      <c r="K19" s="23"/>
      <c r="L19" s="23"/>
      <c r="M19" s="23"/>
      <c r="N19" s="23"/>
      <c r="O19" s="23"/>
      <c r="P19" s="23"/>
      <c r="Q19" s="23"/>
      <c r="R19" s="23"/>
      <c r="S19" s="23"/>
      <c r="T19" s="23"/>
      <c r="U19" s="23"/>
      <c r="V19" s="23"/>
      <c r="W19" s="23"/>
      <c r="X19" s="23"/>
      <c r="Y19" s="23"/>
    </row>
    <row r="20" spans="1:25" ht="19.5" customHeight="1" x14ac:dyDescent="0.2">
      <c r="A20" s="19"/>
      <c r="B20" s="24"/>
      <c r="C20" s="25"/>
      <c r="D20" s="26"/>
      <c r="E20" s="26"/>
      <c r="F20" s="23"/>
      <c r="G20" s="23"/>
      <c r="H20" s="23"/>
      <c r="I20" s="23"/>
      <c r="J20" s="23"/>
      <c r="K20" s="23"/>
      <c r="L20" s="23"/>
      <c r="M20" s="23"/>
      <c r="N20" s="23"/>
      <c r="O20" s="23"/>
      <c r="P20" s="23"/>
      <c r="Q20" s="23"/>
      <c r="R20" s="23"/>
      <c r="S20" s="23"/>
      <c r="T20" s="23"/>
      <c r="U20" s="23"/>
      <c r="V20" s="23"/>
      <c r="W20" s="23"/>
      <c r="X20" s="23"/>
      <c r="Y20" s="23"/>
    </row>
    <row r="21" spans="1:25" ht="19.5" customHeight="1" x14ac:dyDescent="0.25">
      <c r="A21" s="19">
        <f>DATE(2023,1,10)</f>
        <v>44936</v>
      </c>
      <c r="B21" s="24" t="s">
        <v>23</v>
      </c>
      <c r="C21" s="25">
        <v>302</v>
      </c>
      <c r="D21" s="26">
        <v>2000000</v>
      </c>
      <c r="E21" s="26"/>
      <c r="F21" s="23"/>
      <c r="G21" s="23"/>
      <c r="H21" s="23"/>
      <c r="I21" s="23"/>
      <c r="J21" s="23"/>
      <c r="K21" s="23"/>
      <c r="L21" s="23"/>
      <c r="M21" s="23"/>
      <c r="N21" s="23"/>
      <c r="O21" s="23"/>
      <c r="P21" s="23"/>
      <c r="Q21" s="23"/>
      <c r="R21" s="23"/>
      <c r="S21" s="23"/>
      <c r="T21" s="23"/>
      <c r="U21" s="23"/>
      <c r="V21" s="23"/>
      <c r="W21" s="23"/>
      <c r="X21" s="23"/>
      <c r="Y21" s="23"/>
    </row>
    <row r="22" spans="1:25" ht="19.5" customHeight="1" x14ac:dyDescent="0.2">
      <c r="A22" s="19"/>
      <c r="B22" s="24" t="s">
        <v>9</v>
      </c>
      <c r="C22" s="25">
        <v>101</v>
      </c>
      <c r="D22" s="26"/>
      <c r="E22" s="26">
        <v>2000000</v>
      </c>
      <c r="F22" s="23"/>
      <c r="G22" s="23"/>
      <c r="H22" s="23"/>
      <c r="I22" s="23"/>
      <c r="J22" s="23"/>
      <c r="K22" s="23"/>
      <c r="L22" s="23"/>
      <c r="M22" s="23"/>
      <c r="N22" s="23"/>
      <c r="O22" s="23"/>
      <c r="P22" s="23"/>
      <c r="Q22" s="23"/>
      <c r="R22" s="23"/>
      <c r="S22" s="23"/>
      <c r="T22" s="23"/>
      <c r="U22" s="23"/>
      <c r="V22" s="23"/>
      <c r="W22" s="23"/>
      <c r="X22" s="23"/>
      <c r="Y22" s="23"/>
    </row>
    <row r="23" spans="1:25" ht="19.5" customHeight="1" x14ac:dyDescent="0.2">
      <c r="A23" s="19"/>
      <c r="B23" s="24"/>
      <c r="C23" s="25"/>
      <c r="D23" s="26"/>
      <c r="E23" s="26"/>
      <c r="F23" s="23"/>
      <c r="G23" s="23"/>
      <c r="H23" s="23"/>
      <c r="I23" s="23"/>
      <c r="J23" s="23"/>
      <c r="K23" s="23"/>
      <c r="L23" s="23"/>
      <c r="M23" s="23"/>
      <c r="N23" s="23"/>
      <c r="O23" s="23"/>
      <c r="P23" s="23"/>
      <c r="Q23" s="23"/>
      <c r="R23" s="23"/>
      <c r="S23" s="23"/>
      <c r="T23" s="23"/>
      <c r="U23" s="23"/>
      <c r="V23" s="23"/>
      <c r="W23" s="23"/>
      <c r="X23" s="23"/>
      <c r="Y23" s="23"/>
    </row>
    <row r="24" spans="1:25" ht="19.5" customHeight="1" x14ac:dyDescent="0.25">
      <c r="A24" s="19">
        <f>DATE(2023,1,14)</f>
        <v>44940</v>
      </c>
      <c r="B24" s="24" t="s">
        <v>11</v>
      </c>
      <c r="C24" s="25">
        <v>102</v>
      </c>
      <c r="D24" s="26">
        <v>5000000</v>
      </c>
      <c r="E24" s="26"/>
      <c r="F24" s="23"/>
      <c r="G24" s="23"/>
      <c r="H24" s="23"/>
      <c r="I24" s="23"/>
      <c r="J24" s="23"/>
      <c r="K24" s="23"/>
      <c r="L24" s="23"/>
      <c r="M24" s="23"/>
      <c r="N24" s="23"/>
      <c r="O24" s="23"/>
      <c r="P24" s="23"/>
      <c r="Q24" s="23"/>
      <c r="R24" s="23"/>
      <c r="S24" s="23"/>
      <c r="T24" s="23"/>
      <c r="U24" s="23"/>
      <c r="V24" s="23"/>
      <c r="W24" s="23"/>
      <c r="X24" s="23"/>
      <c r="Y24" s="23"/>
    </row>
    <row r="25" spans="1:25" ht="19.5" customHeight="1" x14ac:dyDescent="0.2">
      <c r="A25" s="19"/>
      <c r="B25" s="24" t="s">
        <v>25</v>
      </c>
      <c r="C25" s="25">
        <v>401</v>
      </c>
      <c r="D25" s="26"/>
      <c r="E25" s="26">
        <v>5000000</v>
      </c>
      <c r="F25" s="23"/>
      <c r="G25" s="23"/>
      <c r="H25" s="23"/>
      <c r="I25" s="23"/>
      <c r="J25" s="23"/>
      <c r="K25" s="23"/>
      <c r="L25" s="23"/>
      <c r="M25" s="23"/>
      <c r="N25" s="23"/>
      <c r="O25" s="23"/>
      <c r="P25" s="23"/>
      <c r="Q25" s="23"/>
      <c r="R25" s="23"/>
      <c r="S25" s="23"/>
      <c r="T25" s="23"/>
      <c r="U25" s="23"/>
      <c r="V25" s="23"/>
      <c r="W25" s="23"/>
      <c r="X25" s="23"/>
      <c r="Y25" s="23"/>
    </row>
    <row r="26" spans="1:25" ht="19.5" customHeight="1" x14ac:dyDescent="0.2">
      <c r="A26" s="19"/>
      <c r="B26" s="24"/>
      <c r="C26" s="25"/>
      <c r="D26" s="26"/>
      <c r="E26" s="26"/>
      <c r="F26" s="23"/>
      <c r="G26" s="23"/>
      <c r="H26" s="23"/>
      <c r="I26" s="23"/>
      <c r="J26" s="23"/>
      <c r="K26" s="23"/>
      <c r="L26" s="23"/>
      <c r="M26" s="23"/>
      <c r="N26" s="23"/>
      <c r="O26" s="23"/>
      <c r="P26" s="23"/>
      <c r="Q26" s="23"/>
      <c r="R26" s="23"/>
      <c r="S26" s="23"/>
      <c r="T26" s="23"/>
      <c r="U26" s="23"/>
      <c r="V26" s="23"/>
      <c r="W26" s="23"/>
      <c r="X26" s="23"/>
      <c r="Y26" s="23"/>
    </row>
    <row r="27" spans="1:25" ht="19.5" customHeight="1" x14ac:dyDescent="0.25">
      <c r="A27" s="19">
        <f>DATE(2023,1,17)</f>
        <v>44943</v>
      </c>
      <c r="B27" s="24" t="s">
        <v>19</v>
      </c>
      <c r="C27" s="25">
        <v>201</v>
      </c>
      <c r="D27" s="26">
        <v>3000000</v>
      </c>
      <c r="E27" s="26"/>
      <c r="F27" s="23"/>
      <c r="G27" s="23"/>
      <c r="H27" s="23"/>
      <c r="I27" s="23"/>
      <c r="J27" s="23"/>
      <c r="K27" s="23"/>
      <c r="L27" s="23"/>
      <c r="M27" s="23"/>
      <c r="N27" s="23"/>
      <c r="O27" s="23"/>
      <c r="P27" s="23"/>
      <c r="Q27" s="23"/>
      <c r="R27" s="23"/>
      <c r="S27" s="23"/>
      <c r="T27" s="23"/>
      <c r="U27" s="23"/>
      <c r="V27" s="23"/>
      <c r="W27" s="23"/>
      <c r="X27" s="23"/>
      <c r="Y27" s="23"/>
    </row>
    <row r="28" spans="1:25" ht="19.5" customHeight="1" x14ac:dyDescent="0.2">
      <c r="A28" s="19"/>
      <c r="B28" s="24" t="s">
        <v>9</v>
      </c>
      <c r="C28" s="25">
        <v>101</v>
      </c>
      <c r="D28" s="26"/>
      <c r="E28" s="26">
        <v>3000000</v>
      </c>
      <c r="F28" s="23"/>
      <c r="G28" s="23"/>
      <c r="H28" s="23"/>
      <c r="I28" s="23"/>
      <c r="J28" s="23"/>
      <c r="K28" s="23"/>
      <c r="L28" s="23"/>
      <c r="M28" s="23"/>
      <c r="N28" s="23"/>
      <c r="O28" s="23"/>
      <c r="P28" s="23"/>
      <c r="Q28" s="23"/>
      <c r="R28" s="23"/>
      <c r="S28" s="23"/>
      <c r="T28" s="23"/>
      <c r="U28" s="23"/>
      <c r="V28" s="23"/>
      <c r="W28" s="23"/>
      <c r="X28" s="23"/>
      <c r="Y28" s="23"/>
    </row>
    <row r="29" spans="1:25" ht="19.5" customHeight="1" x14ac:dyDescent="0.2">
      <c r="A29" s="19"/>
      <c r="B29" s="24"/>
      <c r="C29" s="25"/>
      <c r="D29" s="26"/>
      <c r="E29" s="26"/>
      <c r="F29" s="23"/>
      <c r="G29" s="23"/>
      <c r="H29" s="23"/>
      <c r="I29" s="23"/>
      <c r="J29" s="23"/>
      <c r="K29" s="23"/>
      <c r="L29" s="23"/>
      <c r="M29" s="23"/>
      <c r="N29" s="23"/>
      <c r="O29" s="23"/>
      <c r="P29" s="23"/>
      <c r="Q29" s="23"/>
      <c r="R29" s="23"/>
      <c r="S29" s="23"/>
      <c r="T29" s="23"/>
      <c r="U29" s="23"/>
      <c r="V29" s="23"/>
      <c r="W29" s="23"/>
      <c r="X29" s="23"/>
      <c r="Y29" s="23"/>
    </row>
    <row r="30" spans="1:25" ht="19.5" customHeight="1" x14ac:dyDescent="0.25">
      <c r="A30" s="19">
        <f>DATE(2023,1,25)</f>
        <v>44951</v>
      </c>
      <c r="B30" s="24" t="s">
        <v>27</v>
      </c>
      <c r="C30" s="25">
        <v>501</v>
      </c>
      <c r="D30" s="26">
        <v>4500000</v>
      </c>
      <c r="E30" s="26"/>
      <c r="F30" s="23"/>
      <c r="G30" s="23"/>
      <c r="H30" s="23"/>
      <c r="I30" s="23"/>
      <c r="J30" s="23"/>
      <c r="K30" s="23"/>
      <c r="L30" s="23"/>
      <c r="M30" s="23"/>
      <c r="N30" s="23"/>
      <c r="O30" s="23"/>
      <c r="P30" s="23"/>
      <c r="Q30" s="23"/>
      <c r="R30" s="23"/>
      <c r="S30" s="23"/>
      <c r="T30" s="23"/>
      <c r="U30" s="23"/>
      <c r="V30" s="23"/>
      <c r="W30" s="23"/>
      <c r="X30" s="23"/>
      <c r="Y30" s="23"/>
    </row>
    <row r="31" spans="1:25" ht="19.5" customHeight="1" x14ac:dyDescent="0.2">
      <c r="A31" s="19"/>
      <c r="B31" s="24" t="s">
        <v>9</v>
      </c>
      <c r="C31" s="25">
        <v>101</v>
      </c>
      <c r="D31" s="26"/>
      <c r="E31" s="26">
        <v>4500000</v>
      </c>
      <c r="F31" s="23"/>
      <c r="G31" s="23"/>
      <c r="H31" s="23"/>
      <c r="I31" s="23"/>
      <c r="J31" s="23"/>
      <c r="K31" s="23"/>
      <c r="L31" s="23"/>
      <c r="M31" s="23"/>
      <c r="N31" s="23"/>
      <c r="O31" s="23"/>
      <c r="P31" s="23"/>
      <c r="Q31" s="23"/>
      <c r="R31" s="23"/>
      <c r="S31" s="23"/>
      <c r="T31" s="23"/>
      <c r="U31" s="23"/>
      <c r="V31" s="23"/>
      <c r="W31" s="23"/>
      <c r="X31" s="23"/>
      <c r="Y31" s="23"/>
    </row>
    <row r="32" spans="1:25" ht="19.5" customHeight="1" x14ac:dyDescent="0.2">
      <c r="A32" s="19"/>
      <c r="B32" s="24"/>
      <c r="C32" s="25"/>
      <c r="D32" s="26"/>
      <c r="E32" s="26"/>
      <c r="F32" s="23"/>
      <c r="G32" s="23"/>
      <c r="H32" s="23"/>
      <c r="I32" s="23"/>
      <c r="J32" s="23"/>
      <c r="K32" s="23"/>
      <c r="L32" s="23"/>
      <c r="M32" s="23"/>
      <c r="N32" s="23"/>
      <c r="O32" s="23"/>
      <c r="P32" s="23"/>
      <c r="Q32" s="23"/>
      <c r="R32" s="23"/>
      <c r="S32" s="23"/>
      <c r="T32" s="23"/>
      <c r="U32" s="23"/>
      <c r="V32" s="23"/>
      <c r="W32" s="23"/>
      <c r="X32" s="23"/>
      <c r="Y32" s="23"/>
    </row>
    <row r="33" spans="1:25" ht="19.5" customHeight="1" x14ac:dyDescent="0.25">
      <c r="A33" s="19">
        <f>DATE(2023,1,27)</f>
        <v>44953</v>
      </c>
      <c r="B33" s="24" t="s">
        <v>9</v>
      </c>
      <c r="C33" s="25">
        <v>101</v>
      </c>
      <c r="D33" s="26">
        <v>5000000</v>
      </c>
      <c r="E33" s="26"/>
      <c r="F33" s="23"/>
      <c r="G33" s="23"/>
      <c r="H33" s="23"/>
      <c r="I33" s="23"/>
      <c r="J33" s="23"/>
      <c r="K33" s="23"/>
      <c r="L33" s="23"/>
      <c r="M33" s="23"/>
      <c r="N33" s="23"/>
      <c r="O33" s="23"/>
      <c r="P33" s="23"/>
      <c r="Q33" s="23"/>
      <c r="R33" s="23"/>
      <c r="S33" s="23"/>
      <c r="T33" s="23"/>
      <c r="U33" s="23"/>
      <c r="V33" s="23"/>
      <c r="W33" s="23"/>
      <c r="X33" s="23"/>
      <c r="Y33" s="23"/>
    </row>
    <row r="34" spans="1:25" ht="19.5" customHeight="1" x14ac:dyDescent="0.2">
      <c r="A34" s="19"/>
      <c r="B34" s="24" t="s">
        <v>11</v>
      </c>
      <c r="C34" s="25">
        <v>102</v>
      </c>
      <c r="D34" s="26"/>
      <c r="E34" s="26">
        <v>5000000</v>
      </c>
      <c r="F34" s="23"/>
      <c r="G34" s="23"/>
      <c r="H34" s="23"/>
      <c r="I34" s="23"/>
      <c r="J34" s="23"/>
      <c r="K34" s="23"/>
      <c r="L34" s="23"/>
      <c r="M34" s="23"/>
      <c r="N34" s="23"/>
      <c r="O34" s="23"/>
      <c r="P34" s="23"/>
      <c r="Q34" s="23"/>
      <c r="R34" s="23"/>
      <c r="S34" s="23"/>
      <c r="T34" s="23"/>
      <c r="U34" s="23"/>
      <c r="V34" s="23"/>
      <c r="W34" s="23"/>
      <c r="X34" s="23"/>
      <c r="Y34" s="23"/>
    </row>
    <row r="35" spans="1:25" ht="19.5" customHeight="1" x14ac:dyDescent="0.2">
      <c r="A35" s="19"/>
      <c r="B35" s="24"/>
      <c r="C35" s="25"/>
      <c r="D35" s="26"/>
      <c r="E35" s="26"/>
      <c r="F35" s="23"/>
      <c r="G35" s="23"/>
      <c r="H35" s="23"/>
      <c r="I35" s="23"/>
      <c r="J35" s="23"/>
      <c r="K35" s="23"/>
      <c r="L35" s="23"/>
      <c r="M35" s="23"/>
      <c r="N35" s="23"/>
      <c r="O35" s="23"/>
      <c r="P35" s="23"/>
      <c r="Q35" s="23"/>
      <c r="R35" s="23"/>
      <c r="S35" s="23"/>
      <c r="T35" s="23"/>
      <c r="U35" s="23"/>
      <c r="V35" s="23"/>
      <c r="W35" s="23"/>
      <c r="X35" s="23"/>
      <c r="Y35" s="23"/>
    </row>
    <row r="36" spans="1:25" ht="19.5" customHeight="1" x14ac:dyDescent="0.2">
      <c r="A36" s="19"/>
      <c r="B36" s="24"/>
      <c r="C36" s="25"/>
      <c r="D36" s="26"/>
      <c r="E36" s="26"/>
      <c r="F36" s="23"/>
      <c r="G36" s="23"/>
      <c r="H36" s="23"/>
      <c r="I36" s="23"/>
      <c r="J36" s="23"/>
      <c r="K36" s="23"/>
      <c r="L36" s="23"/>
      <c r="M36" s="23"/>
      <c r="N36" s="23"/>
      <c r="O36" s="23"/>
      <c r="P36" s="23"/>
      <c r="Q36" s="23"/>
      <c r="R36" s="23"/>
      <c r="S36" s="23"/>
      <c r="T36" s="23"/>
      <c r="U36" s="23"/>
      <c r="V36" s="23"/>
      <c r="W36" s="23"/>
      <c r="X36" s="23"/>
      <c r="Y36" s="23"/>
    </row>
    <row r="37" spans="1:25" ht="14.25" customHeight="1" x14ac:dyDescent="0.25">
      <c r="A37" s="433" t="s">
        <v>38</v>
      </c>
      <c r="B37" s="434"/>
      <c r="C37" s="435"/>
      <c r="D37" s="29">
        <f t="shared" ref="D37:E37" si="0">SUM(D7:D36)</f>
        <v>72000000</v>
      </c>
      <c r="E37" s="29">
        <f t="shared" si="0"/>
        <v>72000000</v>
      </c>
    </row>
    <row r="38" spans="1:25" ht="14.25" customHeight="1" x14ac:dyDescent="0.25">
      <c r="C38" s="15"/>
      <c r="D38" s="30"/>
      <c r="E38" s="30"/>
    </row>
    <row r="39" spans="1:25" ht="14.25" customHeight="1" x14ac:dyDescent="0.2">
      <c r="C39" s="15"/>
      <c r="D39" s="16"/>
      <c r="E39" s="16"/>
    </row>
    <row r="40" spans="1:25" ht="14.25" customHeight="1" x14ac:dyDescent="0.2">
      <c r="C40" s="15"/>
      <c r="D40" s="16"/>
      <c r="E40" s="16"/>
    </row>
    <row r="41" spans="1:25" ht="14.25" customHeight="1" x14ac:dyDescent="0.2">
      <c r="C41" s="15"/>
      <c r="D41" s="16"/>
      <c r="E41" s="16"/>
    </row>
    <row r="42" spans="1:25" ht="14.25" customHeight="1" x14ac:dyDescent="0.2">
      <c r="C42" s="15"/>
      <c r="D42" s="16"/>
      <c r="E42" s="16"/>
    </row>
    <row r="43" spans="1:25" ht="14.25" customHeight="1" x14ac:dyDescent="0.2">
      <c r="C43" s="15"/>
      <c r="D43" s="16"/>
      <c r="E43" s="16"/>
    </row>
    <row r="44" spans="1:25" ht="14.25" customHeight="1" x14ac:dyDescent="0.2">
      <c r="C44" s="15"/>
      <c r="D44" s="16"/>
      <c r="E44" s="16"/>
    </row>
    <row r="45" spans="1:25" ht="14.25" customHeight="1" x14ac:dyDescent="0.2">
      <c r="C45" s="15"/>
      <c r="D45" s="16"/>
      <c r="E45" s="16"/>
    </row>
    <row r="46" spans="1:25" ht="14.25" customHeight="1" x14ac:dyDescent="0.2">
      <c r="C46" s="15"/>
      <c r="D46" s="16"/>
      <c r="E46" s="16"/>
    </row>
    <row r="47" spans="1:25" ht="14.25" customHeight="1" x14ac:dyDescent="0.2">
      <c r="C47" s="15"/>
      <c r="D47" s="16"/>
      <c r="E47" s="16"/>
    </row>
    <row r="48" spans="1:25" ht="14.25" customHeight="1" x14ac:dyDescent="0.2">
      <c r="C48" s="15"/>
      <c r="D48" s="16"/>
      <c r="E48" s="16"/>
    </row>
    <row r="49" spans="3:5" ht="14.25" customHeight="1" x14ac:dyDescent="0.2">
      <c r="C49" s="15"/>
      <c r="D49" s="16"/>
      <c r="E49" s="16"/>
    </row>
    <row r="50" spans="3:5" ht="14.25" customHeight="1" x14ac:dyDescent="0.2">
      <c r="C50" s="15"/>
      <c r="D50" s="16"/>
      <c r="E50" s="16"/>
    </row>
    <row r="51" spans="3:5" ht="14.25" customHeight="1" x14ac:dyDescent="0.2">
      <c r="C51" s="15"/>
      <c r="D51" s="16"/>
      <c r="E51" s="16"/>
    </row>
    <row r="52" spans="3:5" ht="14.25" customHeight="1" x14ac:dyDescent="0.2">
      <c r="C52" s="15"/>
      <c r="D52" s="16"/>
      <c r="E52" s="16"/>
    </row>
    <row r="53" spans="3:5" ht="14.25" customHeight="1" x14ac:dyDescent="0.2">
      <c r="C53" s="15"/>
      <c r="D53" s="16"/>
      <c r="E53" s="16"/>
    </row>
    <row r="54" spans="3:5" ht="14.25" customHeight="1" x14ac:dyDescent="0.2">
      <c r="C54" s="15"/>
      <c r="D54" s="16"/>
      <c r="E54" s="16"/>
    </row>
    <row r="55" spans="3:5" ht="14.25" customHeight="1" x14ac:dyDescent="0.2">
      <c r="C55" s="15"/>
      <c r="D55" s="16"/>
      <c r="E55" s="16"/>
    </row>
    <row r="56" spans="3:5" ht="14.25" customHeight="1" x14ac:dyDescent="0.2">
      <c r="C56" s="15"/>
      <c r="D56" s="16"/>
      <c r="E56" s="16"/>
    </row>
    <row r="57" spans="3:5" ht="14.25" customHeight="1" x14ac:dyDescent="0.2">
      <c r="C57" s="15"/>
      <c r="D57" s="16"/>
      <c r="E57" s="16"/>
    </row>
    <row r="58" spans="3:5" ht="14.25" customHeight="1" x14ac:dyDescent="0.2">
      <c r="C58" s="15"/>
      <c r="D58" s="16"/>
      <c r="E58" s="16"/>
    </row>
    <row r="59" spans="3:5" ht="14.25" customHeight="1" x14ac:dyDescent="0.2">
      <c r="C59" s="15"/>
      <c r="D59" s="16"/>
      <c r="E59" s="16"/>
    </row>
    <row r="60" spans="3:5" ht="14.25" customHeight="1" x14ac:dyDescent="0.2">
      <c r="C60" s="15"/>
      <c r="D60" s="16"/>
      <c r="E60" s="16"/>
    </row>
    <row r="61" spans="3:5" ht="14.25" customHeight="1" x14ac:dyDescent="0.2">
      <c r="C61" s="15"/>
      <c r="D61" s="16"/>
      <c r="E61" s="16"/>
    </row>
    <row r="62" spans="3:5" ht="14.25" customHeight="1" x14ac:dyDescent="0.2">
      <c r="C62" s="15"/>
      <c r="D62" s="16"/>
      <c r="E62" s="16"/>
    </row>
    <row r="63" spans="3:5" ht="14.25" customHeight="1" x14ac:dyDescent="0.2">
      <c r="C63" s="15"/>
      <c r="D63" s="16"/>
      <c r="E63" s="16"/>
    </row>
    <row r="64" spans="3:5" ht="14.25" customHeight="1" x14ac:dyDescent="0.2">
      <c r="C64" s="15"/>
      <c r="D64" s="16"/>
      <c r="E64" s="16"/>
    </row>
    <row r="65" spans="3:5" ht="14.25" customHeight="1" x14ac:dyDescent="0.2">
      <c r="C65" s="15"/>
      <c r="D65" s="16"/>
      <c r="E65" s="16"/>
    </row>
    <row r="66" spans="3:5" ht="14.25" customHeight="1" x14ac:dyDescent="0.2">
      <c r="C66" s="15"/>
      <c r="D66" s="16"/>
      <c r="E66" s="16"/>
    </row>
    <row r="67" spans="3:5" ht="14.25" customHeight="1" x14ac:dyDescent="0.2">
      <c r="C67" s="15"/>
      <c r="D67" s="16"/>
      <c r="E67" s="16"/>
    </row>
    <row r="68" spans="3:5" ht="14.25" customHeight="1" x14ac:dyDescent="0.2">
      <c r="C68" s="15"/>
      <c r="D68" s="16"/>
      <c r="E68" s="16"/>
    </row>
    <row r="69" spans="3:5" ht="14.25" customHeight="1" x14ac:dyDescent="0.2">
      <c r="C69" s="15"/>
      <c r="D69" s="16"/>
      <c r="E69" s="16"/>
    </row>
    <row r="70" spans="3:5" ht="14.25" customHeight="1" x14ac:dyDescent="0.2">
      <c r="C70" s="15"/>
      <c r="D70" s="16"/>
      <c r="E70" s="16"/>
    </row>
    <row r="71" spans="3:5" ht="14.25" customHeight="1" x14ac:dyDescent="0.2">
      <c r="C71" s="15"/>
      <c r="D71" s="16"/>
      <c r="E71" s="16"/>
    </row>
    <row r="72" spans="3:5" ht="14.25" customHeight="1" x14ac:dyDescent="0.2">
      <c r="C72" s="15"/>
      <c r="D72" s="16"/>
      <c r="E72" s="16"/>
    </row>
    <row r="73" spans="3:5" ht="14.25" customHeight="1" x14ac:dyDescent="0.2">
      <c r="C73" s="15"/>
      <c r="D73" s="16"/>
      <c r="E73" s="16"/>
    </row>
    <row r="74" spans="3:5" ht="14.25" customHeight="1" x14ac:dyDescent="0.2">
      <c r="C74" s="15"/>
      <c r="D74" s="16"/>
      <c r="E74" s="16"/>
    </row>
    <row r="75" spans="3:5" ht="14.25" customHeight="1" x14ac:dyDescent="0.2">
      <c r="C75" s="15"/>
      <c r="D75" s="16"/>
      <c r="E75" s="16"/>
    </row>
    <row r="76" spans="3:5" ht="14.25" customHeight="1" x14ac:dyDescent="0.2">
      <c r="C76" s="15"/>
      <c r="D76" s="16"/>
      <c r="E76" s="16"/>
    </row>
    <row r="77" spans="3:5" ht="14.25" customHeight="1" x14ac:dyDescent="0.2">
      <c r="C77" s="15"/>
      <c r="D77" s="16"/>
      <c r="E77" s="16"/>
    </row>
    <row r="78" spans="3:5" ht="14.25" customHeight="1" x14ac:dyDescent="0.2">
      <c r="C78" s="15"/>
      <c r="D78" s="16"/>
      <c r="E78" s="16"/>
    </row>
    <row r="79" spans="3:5" ht="14.25" customHeight="1" x14ac:dyDescent="0.2">
      <c r="C79" s="15"/>
      <c r="D79" s="16"/>
      <c r="E79" s="16"/>
    </row>
    <row r="80" spans="3:5" ht="14.25" customHeight="1" x14ac:dyDescent="0.2">
      <c r="C80" s="15"/>
      <c r="D80" s="16"/>
      <c r="E80" s="16"/>
    </row>
    <row r="81" spans="3:5" ht="14.25" customHeight="1" x14ac:dyDescent="0.2">
      <c r="C81" s="15"/>
      <c r="D81" s="16"/>
      <c r="E81" s="16"/>
    </row>
    <row r="82" spans="3:5" ht="14.25" customHeight="1" x14ac:dyDescent="0.2">
      <c r="C82" s="15"/>
      <c r="D82" s="16"/>
      <c r="E82" s="16"/>
    </row>
    <row r="83" spans="3:5" ht="14.25" customHeight="1" x14ac:dyDescent="0.2">
      <c r="C83" s="15"/>
      <c r="D83" s="16"/>
      <c r="E83" s="16"/>
    </row>
    <row r="84" spans="3:5" ht="14.25" customHeight="1" x14ac:dyDescent="0.2">
      <c r="C84" s="15"/>
      <c r="D84" s="16"/>
      <c r="E84" s="16"/>
    </row>
    <row r="85" spans="3:5" ht="14.25" customHeight="1" x14ac:dyDescent="0.2">
      <c r="C85" s="15"/>
      <c r="D85" s="16"/>
      <c r="E85" s="16"/>
    </row>
    <row r="86" spans="3:5" ht="14.25" customHeight="1" x14ac:dyDescent="0.2">
      <c r="C86" s="15"/>
      <c r="D86" s="16"/>
      <c r="E86" s="16"/>
    </row>
    <row r="87" spans="3:5" ht="14.25" customHeight="1" x14ac:dyDescent="0.2">
      <c r="C87" s="15"/>
      <c r="D87" s="16"/>
      <c r="E87" s="16"/>
    </row>
    <row r="88" spans="3:5" ht="14.25" customHeight="1" x14ac:dyDescent="0.2">
      <c r="C88" s="15"/>
      <c r="D88" s="16"/>
      <c r="E88" s="16"/>
    </row>
    <row r="89" spans="3:5" ht="14.25" customHeight="1" x14ac:dyDescent="0.2">
      <c r="C89" s="15"/>
      <c r="D89" s="16"/>
      <c r="E89" s="16"/>
    </row>
    <row r="90" spans="3:5" ht="14.25" customHeight="1" x14ac:dyDescent="0.2">
      <c r="C90" s="15"/>
      <c r="D90" s="16"/>
      <c r="E90" s="16"/>
    </row>
    <row r="91" spans="3:5" ht="14.25" customHeight="1" x14ac:dyDescent="0.2">
      <c r="C91" s="15"/>
      <c r="D91" s="16"/>
      <c r="E91" s="16"/>
    </row>
    <row r="92" spans="3:5" ht="14.25" customHeight="1" x14ac:dyDescent="0.2">
      <c r="C92" s="15"/>
      <c r="D92" s="16"/>
      <c r="E92" s="16"/>
    </row>
    <row r="93" spans="3:5" ht="14.25" customHeight="1" x14ac:dyDescent="0.2">
      <c r="C93" s="15"/>
      <c r="D93" s="16"/>
      <c r="E93" s="16"/>
    </row>
    <row r="94" spans="3:5" ht="14.25" customHeight="1" x14ac:dyDescent="0.2">
      <c r="C94" s="15"/>
      <c r="D94" s="16"/>
      <c r="E94" s="16"/>
    </row>
    <row r="95" spans="3:5" ht="14.25" customHeight="1" x14ac:dyDescent="0.2">
      <c r="C95" s="15"/>
      <c r="D95" s="16"/>
      <c r="E95" s="16"/>
    </row>
    <row r="96" spans="3:5" ht="14.25" customHeight="1" x14ac:dyDescent="0.2">
      <c r="C96" s="15"/>
      <c r="D96" s="16"/>
      <c r="E96" s="16"/>
    </row>
    <row r="97" spans="3:5" ht="14.25" customHeight="1" x14ac:dyDescent="0.2">
      <c r="C97" s="15"/>
      <c r="D97" s="16"/>
      <c r="E97" s="16"/>
    </row>
    <row r="98" spans="3:5" ht="14.25" customHeight="1" x14ac:dyDescent="0.2">
      <c r="C98" s="15"/>
      <c r="D98" s="16"/>
      <c r="E98" s="16"/>
    </row>
    <row r="99" spans="3:5" ht="14.25" customHeight="1" x14ac:dyDescent="0.2">
      <c r="C99" s="15"/>
      <c r="D99" s="16"/>
      <c r="E99" s="16"/>
    </row>
    <row r="100" spans="3:5" ht="14.25" customHeight="1" x14ac:dyDescent="0.2">
      <c r="C100" s="15"/>
      <c r="D100" s="16"/>
      <c r="E100" s="16"/>
    </row>
    <row r="101" spans="3:5" ht="14.25" customHeight="1" x14ac:dyDescent="0.2">
      <c r="C101" s="15"/>
      <c r="D101" s="16"/>
      <c r="E101" s="16"/>
    </row>
    <row r="102" spans="3:5" ht="14.25" customHeight="1" x14ac:dyDescent="0.2">
      <c r="C102" s="15"/>
      <c r="D102" s="16"/>
      <c r="E102" s="16"/>
    </row>
    <row r="103" spans="3:5" ht="14.25" customHeight="1" x14ac:dyDescent="0.2">
      <c r="C103" s="15"/>
      <c r="D103" s="16"/>
      <c r="E103" s="16"/>
    </row>
    <row r="104" spans="3:5" ht="14.25" customHeight="1" x14ac:dyDescent="0.2">
      <c r="C104" s="15"/>
      <c r="D104" s="16"/>
      <c r="E104" s="16"/>
    </row>
    <row r="105" spans="3:5" ht="14.25" customHeight="1" x14ac:dyDescent="0.2">
      <c r="C105" s="15"/>
      <c r="D105" s="16"/>
      <c r="E105" s="16"/>
    </row>
    <row r="106" spans="3:5" ht="14.25" customHeight="1" x14ac:dyDescent="0.2">
      <c r="C106" s="15"/>
      <c r="D106" s="16"/>
      <c r="E106" s="16"/>
    </row>
    <row r="107" spans="3:5" ht="14.25" customHeight="1" x14ac:dyDescent="0.2">
      <c r="C107" s="15"/>
      <c r="D107" s="16"/>
      <c r="E107" s="16"/>
    </row>
    <row r="108" spans="3:5" ht="14.25" customHeight="1" x14ac:dyDescent="0.2">
      <c r="C108" s="15"/>
      <c r="D108" s="16"/>
      <c r="E108" s="16"/>
    </row>
    <row r="109" spans="3:5" ht="14.25" customHeight="1" x14ac:dyDescent="0.2">
      <c r="C109" s="15"/>
      <c r="D109" s="16"/>
      <c r="E109" s="16"/>
    </row>
    <row r="110" spans="3:5" ht="14.25" customHeight="1" x14ac:dyDescent="0.2">
      <c r="C110" s="15"/>
      <c r="D110" s="16"/>
      <c r="E110" s="16"/>
    </row>
    <row r="111" spans="3:5" ht="14.25" customHeight="1" x14ac:dyDescent="0.2">
      <c r="C111" s="15"/>
      <c r="D111" s="16"/>
      <c r="E111" s="16"/>
    </row>
    <row r="112" spans="3:5" ht="14.25" customHeight="1" x14ac:dyDescent="0.2">
      <c r="C112" s="15"/>
      <c r="D112" s="16"/>
      <c r="E112" s="16"/>
    </row>
    <row r="113" spans="3:5" ht="14.25" customHeight="1" x14ac:dyDescent="0.2">
      <c r="C113" s="15"/>
      <c r="D113" s="16"/>
      <c r="E113" s="16"/>
    </row>
    <row r="114" spans="3:5" ht="14.25" customHeight="1" x14ac:dyDescent="0.2">
      <c r="C114" s="15"/>
      <c r="D114" s="16"/>
      <c r="E114" s="16"/>
    </row>
    <row r="115" spans="3:5" ht="14.25" customHeight="1" x14ac:dyDescent="0.2">
      <c r="C115" s="15"/>
      <c r="D115" s="16"/>
      <c r="E115" s="16"/>
    </row>
    <row r="116" spans="3:5" ht="14.25" customHeight="1" x14ac:dyDescent="0.2">
      <c r="C116" s="15"/>
      <c r="D116" s="16"/>
      <c r="E116" s="16"/>
    </row>
    <row r="117" spans="3:5" ht="14.25" customHeight="1" x14ac:dyDescent="0.2">
      <c r="C117" s="15"/>
      <c r="D117" s="16"/>
      <c r="E117" s="16"/>
    </row>
    <row r="118" spans="3:5" ht="14.25" customHeight="1" x14ac:dyDescent="0.2">
      <c r="C118" s="15"/>
      <c r="D118" s="16"/>
      <c r="E118" s="16"/>
    </row>
    <row r="119" spans="3:5" ht="14.25" customHeight="1" x14ac:dyDescent="0.2">
      <c r="C119" s="15"/>
      <c r="D119" s="16"/>
      <c r="E119" s="16"/>
    </row>
    <row r="120" spans="3:5" ht="14.25" customHeight="1" x14ac:dyDescent="0.2">
      <c r="C120" s="15"/>
      <c r="D120" s="16"/>
      <c r="E120" s="16"/>
    </row>
    <row r="121" spans="3:5" ht="14.25" customHeight="1" x14ac:dyDescent="0.2">
      <c r="C121" s="15"/>
      <c r="D121" s="16"/>
      <c r="E121" s="16"/>
    </row>
    <row r="122" spans="3:5" ht="14.25" customHeight="1" x14ac:dyDescent="0.2">
      <c r="C122" s="15"/>
      <c r="D122" s="16"/>
      <c r="E122" s="16"/>
    </row>
    <row r="123" spans="3:5" ht="14.25" customHeight="1" x14ac:dyDescent="0.2">
      <c r="C123" s="15"/>
      <c r="D123" s="16"/>
      <c r="E123" s="16"/>
    </row>
    <row r="124" spans="3:5" ht="14.25" customHeight="1" x14ac:dyDescent="0.2">
      <c r="C124" s="15"/>
      <c r="D124" s="16"/>
      <c r="E124" s="16"/>
    </row>
    <row r="125" spans="3:5" ht="14.25" customHeight="1" x14ac:dyDescent="0.2">
      <c r="C125" s="15"/>
      <c r="D125" s="16"/>
      <c r="E125" s="16"/>
    </row>
    <row r="126" spans="3:5" ht="14.25" customHeight="1" x14ac:dyDescent="0.2">
      <c r="C126" s="15"/>
      <c r="D126" s="16"/>
      <c r="E126" s="16"/>
    </row>
    <row r="127" spans="3:5" ht="14.25" customHeight="1" x14ac:dyDescent="0.2">
      <c r="C127" s="15"/>
      <c r="D127" s="16"/>
      <c r="E127" s="16"/>
    </row>
    <row r="128" spans="3:5" ht="14.25" customHeight="1" x14ac:dyDescent="0.2">
      <c r="C128" s="15"/>
      <c r="D128" s="16"/>
      <c r="E128" s="16"/>
    </row>
    <row r="129" spans="3:5" ht="14.25" customHeight="1" x14ac:dyDescent="0.2">
      <c r="C129" s="15"/>
      <c r="D129" s="16"/>
      <c r="E129" s="16"/>
    </row>
    <row r="130" spans="3:5" ht="14.25" customHeight="1" x14ac:dyDescent="0.2">
      <c r="C130" s="15"/>
      <c r="D130" s="16"/>
      <c r="E130" s="16"/>
    </row>
    <row r="131" spans="3:5" ht="14.25" customHeight="1" x14ac:dyDescent="0.2">
      <c r="C131" s="15"/>
      <c r="D131" s="16"/>
      <c r="E131" s="16"/>
    </row>
    <row r="132" spans="3:5" ht="14.25" customHeight="1" x14ac:dyDescent="0.2">
      <c r="C132" s="15"/>
      <c r="D132" s="16"/>
      <c r="E132" s="16"/>
    </row>
    <row r="133" spans="3:5" ht="14.25" customHeight="1" x14ac:dyDescent="0.2">
      <c r="C133" s="15"/>
      <c r="D133" s="16"/>
      <c r="E133" s="16"/>
    </row>
    <row r="134" spans="3:5" ht="14.25" customHeight="1" x14ac:dyDescent="0.2">
      <c r="C134" s="15"/>
      <c r="D134" s="16"/>
      <c r="E134" s="16"/>
    </row>
    <row r="135" spans="3:5" ht="14.25" customHeight="1" x14ac:dyDescent="0.2">
      <c r="C135" s="15"/>
      <c r="D135" s="16"/>
      <c r="E135" s="16"/>
    </row>
    <row r="136" spans="3:5" ht="14.25" customHeight="1" x14ac:dyDescent="0.2">
      <c r="C136" s="15"/>
      <c r="D136" s="16"/>
      <c r="E136" s="16"/>
    </row>
    <row r="137" spans="3:5" ht="14.25" customHeight="1" x14ac:dyDescent="0.2">
      <c r="C137" s="15"/>
      <c r="D137" s="16"/>
      <c r="E137" s="16"/>
    </row>
    <row r="138" spans="3:5" ht="14.25" customHeight="1" x14ac:dyDescent="0.2">
      <c r="C138" s="15"/>
      <c r="D138" s="16"/>
      <c r="E138" s="16"/>
    </row>
    <row r="139" spans="3:5" ht="14.25" customHeight="1" x14ac:dyDescent="0.2">
      <c r="C139" s="15"/>
      <c r="D139" s="16"/>
      <c r="E139" s="16"/>
    </row>
    <row r="140" spans="3:5" ht="14.25" customHeight="1" x14ac:dyDescent="0.2">
      <c r="C140" s="15"/>
      <c r="D140" s="16"/>
      <c r="E140" s="16"/>
    </row>
    <row r="141" spans="3:5" ht="14.25" customHeight="1" x14ac:dyDescent="0.2">
      <c r="C141" s="15"/>
      <c r="D141" s="16"/>
      <c r="E141" s="16"/>
    </row>
    <row r="142" spans="3:5" ht="14.25" customHeight="1" x14ac:dyDescent="0.2">
      <c r="C142" s="15"/>
      <c r="D142" s="16"/>
      <c r="E142" s="16"/>
    </row>
    <row r="143" spans="3:5" ht="14.25" customHeight="1" x14ac:dyDescent="0.2">
      <c r="C143" s="15"/>
      <c r="D143" s="16"/>
      <c r="E143" s="16"/>
    </row>
    <row r="144" spans="3:5" ht="14.25" customHeight="1" x14ac:dyDescent="0.2">
      <c r="C144" s="15"/>
      <c r="D144" s="16"/>
      <c r="E144" s="16"/>
    </row>
    <row r="145" spans="3:5" ht="14.25" customHeight="1" x14ac:dyDescent="0.2">
      <c r="C145" s="15"/>
      <c r="D145" s="16"/>
      <c r="E145" s="16"/>
    </row>
    <row r="146" spans="3:5" ht="14.25" customHeight="1" x14ac:dyDescent="0.2">
      <c r="C146" s="15"/>
      <c r="D146" s="16"/>
      <c r="E146" s="16"/>
    </row>
    <row r="147" spans="3:5" ht="14.25" customHeight="1" x14ac:dyDescent="0.2">
      <c r="C147" s="15"/>
      <c r="D147" s="16"/>
      <c r="E147" s="16"/>
    </row>
    <row r="148" spans="3:5" ht="14.25" customHeight="1" x14ac:dyDescent="0.2">
      <c r="C148" s="15"/>
      <c r="D148" s="16"/>
      <c r="E148" s="16"/>
    </row>
    <row r="149" spans="3:5" ht="14.25" customHeight="1" x14ac:dyDescent="0.2">
      <c r="C149" s="15"/>
      <c r="D149" s="16"/>
      <c r="E149" s="16"/>
    </row>
    <row r="150" spans="3:5" ht="14.25" customHeight="1" x14ac:dyDescent="0.2">
      <c r="C150" s="15"/>
      <c r="D150" s="16"/>
      <c r="E150" s="16"/>
    </row>
    <row r="151" spans="3:5" ht="14.25" customHeight="1" x14ac:dyDescent="0.2">
      <c r="C151" s="15"/>
      <c r="D151" s="16"/>
      <c r="E151" s="16"/>
    </row>
    <row r="152" spans="3:5" ht="14.25" customHeight="1" x14ac:dyDescent="0.2">
      <c r="C152" s="15"/>
      <c r="D152" s="16"/>
      <c r="E152" s="16"/>
    </row>
    <row r="153" spans="3:5" ht="14.25" customHeight="1" x14ac:dyDescent="0.2">
      <c r="C153" s="15"/>
      <c r="D153" s="16"/>
      <c r="E153" s="16"/>
    </row>
    <row r="154" spans="3:5" ht="14.25" customHeight="1" x14ac:dyDescent="0.2">
      <c r="C154" s="15"/>
      <c r="D154" s="16"/>
      <c r="E154" s="16"/>
    </row>
    <row r="155" spans="3:5" ht="14.25" customHeight="1" x14ac:dyDescent="0.2">
      <c r="C155" s="15"/>
      <c r="D155" s="16"/>
      <c r="E155" s="16"/>
    </row>
    <row r="156" spans="3:5" ht="14.25" customHeight="1" x14ac:dyDescent="0.2">
      <c r="C156" s="15"/>
      <c r="D156" s="16"/>
      <c r="E156" s="16"/>
    </row>
    <row r="157" spans="3:5" ht="14.25" customHeight="1" x14ac:dyDescent="0.2">
      <c r="C157" s="15"/>
      <c r="D157" s="16"/>
      <c r="E157" s="16"/>
    </row>
    <row r="158" spans="3:5" ht="14.25" customHeight="1" x14ac:dyDescent="0.2">
      <c r="C158" s="15"/>
      <c r="D158" s="16"/>
      <c r="E158" s="16"/>
    </row>
    <row r="159" spans="3:5" ht="14.25" customHeight="1" x14ac:dyDescent="0.2">
      <c r="C159" s="15"/>
      <c r="D159" s="16"/>
      <c r="E159" s="16"/>
    </row>
    <row r="160" spans="3:5" ht="14.25" customHeight="1" x14ac:dyDescent="0.2">
      <c r="C160" s="15"/>
      <c r="D160" s="16"/>
      <c r="E160" s="16"/>
    </row>
    <row r="161" spans="3:5" ht="14.25" customHeight="1" x14ac:dyDescent="0.2">
      <c r="C161" s="15"/>
      <c r="D161" s="16"/>
      <c r="E161" s="16"/>
    </row>
    <row r="162" spans="3:5" ht="14.25" customHeight="1" x14ac:dyDescent="0.2">
      <c r="C162" s="15"/>
      <c r="D162" s="16"/>
      <c r="E162" s="16"/>
    </row>
    <row r="163" spans="3:5" ht="14.25" customHeight="1" x14ac:dyDescent="0.2">
      <c r="C163" s="15"/>
      <c r="D163" s="16"/>
      <c r="E163" s="16"/>
    </row>
    <row r="164" spans="3:5" ht="14.25" customHeight="1" x14ac:dyDescent="0.2">
      <c r="C164" s="15"/>
      <c r="D164" s="16"/>
      <c r="E164" s="16"/>
    </row>
    <row r="165" spans="3:5" ht="14.25" customHeight="1" x14ac:dyDescent="0.2">
      <c r="C165" s="15"/>
      <c r="D165" s="16"/>
      <c r="E165" s="16"/>
    </row>
    <row r="166" spans="3:5" ht="14.25" customHeight="1" x14ac:dyDescent="0.2">
      <c r="C166" s="15"/>
      <c r="D166" s="16"/>
      <c r="E166" s="16"/>
    </row>
    <row r="167" spans="3:5" ht="14.25" customHeight="1" x14ac:dyDescent="0.2">
      <c r="C167" s="15"/>
      <c r="D167" s="16"/>
      <c r="E167" s="16"/>
    </row>
    <row r="168" spans="3:5" ht="14.25" customHeight="1" x14ac:dyDescent="0.2">
      <c r="C168" s="15"/>
      <c r="D168" s="16"/>
      <c r="E168" s="16"/>
    </row>
    <row r="169" spans="3:5" ht="14.25" customHeight="1" x14ac:dyDescent="0.2">
      <c r="C169" s="15"/>
      <c r="D169" s="16"/>
      <c r="E169" s="16"/>
    </row>
    <row r="170" spans="3:5" ht="14.25" customHeight="1" x14ac:dyDescent="0.2">
      <c r="C170" s="15"/>
      <c r="D170" s="16"/>
      <c r="E170" s="16"/>
    </row>
    <row r="171" spans="3:5" ht="14.25" customHeight="1" x14ac:dyDescent="0.2">
      <c r="C171" s="15"/>
      <c r="D171" s="16"/>
      <c r="E171" s="16"/>
    </row>
    <row r="172" spans="3:5" ht="14.25" customHeight="1" x14ac:dyDescent="0.2">
      <c r="C172" s="15"/>
      <c r="D172" s="16"/>
      <c r="E172" s="16"/>
    </row>
    <row r="173" spans="3:5" ht="14.25" customHeight="1" x14ac:dyDescent="0.2">
      <c r="C173" s="15"/>
      <c r="D173" s="16"/>
      <c r="E173" s="16"/>
    </row>
    <row r="174" spans="3:5" ht="14.25" customHeight="1" x14ac:dyDescent="0.2">
      <c r="C174" s="15"/>
      <c r="D174" s="16"/>
      <c r="E174" s="16"/>
    </row>
    <row r="175" spans="3:5" ht="14.25" customHeight="1" x14ac:dyDescent="0.2">
      <c r="C175" s="15"/>
      <c r="D175" s="16"/>
      <c r="E175" s="16"/>
    </row>
    <row r="176" spans="3:5" ht="14.25" customHeight="1" x14ac:dyDescent="0.2">
      <c r="C176" s="15"/>
      <c r="D176" s="16"/>
      <c r="E176" s="16"/>
    </row>
    <row r="177" spans="3:5" ht="14.25" customHeight="1" x14ac:dyDescent="0.2">
      <c r="C177" s="15"/>
      <c r="D177" s="16"/>
      <c r="E177" s="16"/>
    </row>
    <row r="178" spans="3:5" ht="14.25" customHeight="1" x14ac:dyDescent="0.2">
      <c r="C178" s="15"/>
      <c r="D178" s="16"/>
      <c r="E178" s="16"/>
    </row>
    <row r="179" spans="3:5" ht="14.25" customHeight="1" x14ac:dyDescent="0.2">
      <c r="C179" s="15"/>
      <c r="D179" s="16"/>
      <c r="E179" s="16"/>
    </row>
    <row r="180" spans="3:5" ht="14.25" customHeight="1" x14ac:dyDescent="0.2">
      <c r="C180" s="15"/>
      <c r="D180" s="16"/>
      <c r="E180" s="16"/>
    </row>
    <row r="181" spans="3:5" ht="14.25" customHeight="1" x14ac:dyDescent="0.2">
      <c r="C181" s="15"/>
      <c r="D181" s="16"/>
      <c r="E181" s="16"/>
    </row>
    <row r="182" spans="3:5" ht="14.25" customHeight="1" x14ac:dyDescent="0.2">
      <c r="C182" s="15"/>
      <c r="D182" s="16"/>
      <c r="E182" s="16"/>
    </row>
    <row r="183" spans="3:5" ht="14.25" customHeight="1" x14ac:dyDescent="0.2">
      <c r="C183" s="15"/>
      <c r="D183" s="16"/>
      <c r="E183" s="16"/>
    </row>
    <row r="184" spans="3:5" ht="14.25" customHeight="1" x14ac:dyDescent="0.2">
      <c r="C184" s="15"/>
      <c r="D184" s="16"/>
      <c r="E184" s="16"/>
    </row>
    <row r="185" spans="3:5" ht="14.25" customHeight="1" x14ac:dyDescent="0.2">
      <c r="C185" s="15"/>
      <c r="D185" s="16"/>
      <c r="E185" s="16"/>
    </row>
    <row r="186" spans="3:5" ht="14.25" customHeight="1" x14ac:dyDescent="0.2">
      <c r="C186" s="15"/>
      <c r="D186" s="16"/>
      <c r="E186" s="16"/>
    </row>
    <row r="187" spans="3:5" ht="14.25" customHeight="1" x14ac:dyDescent="0.2">
      <c r="C187" s="15"/>
      <c r="D187" s="16"/>
      <c r="E187" s="16"/>
    </row>
    <row r="188" spans="3:5" ht="14.25" customHeight="1" x14ac:dyDescent="0.2">
      <c r="C188" s="15"/>
      <c r="D188" s="16"/>
      <c r="E188" s="16"/>
    </row>
    <row r="189" spans="3:5" ht="14.25" customHeight="1" x14ac:dyDescent="0.2">
      <c r="C189" s="15"/>
      <c r="D189" s="16"/>
      <c r="E189" s="16"/>
    </row>
    <row r="190" spans="3:5" ht="14.25" customHeight="1" x14ac:dyDescent="0.2">
      <c r="C190" s="15"/>
      <c r="D190" s="16"/>
      <c r="E190" s="16"/>
    </row>
    <row r="191" spans="3:5" ht="14.25" customHeight="1" x14ac:dyDescent="0.2">
      <c r="C191" s="15"/>
      <c r="D191" s="16"/>
      <c r="E191" s="16"/>
    </row>
    <row r="192" spans="3:5" ht="14.25" customHeight="1" x14ac:dyDescent="0.2">
      <c r="C192" s="15"/>
      <c r="D192" s="16"/>
      <c r="E192" s="16"/>
    </row>
    <row r="193" spans="3:5" ht="14.25" customHeight="1" x14ac:dyDescent="0.2">
      <c r="C193" s="15"/>
      <c r="D193" s="16"/>
      <c r="E193" s="16"/>
    </row>
    <row r="194" spans="3:5" ht="14.25" customHeight="1" x14ac:dyDescent="0.2">
      <c r="C194" s="15"/>
      <c r="D194" s="16"/>
      <c r="E194" s="16"/>
    </row>
    <row r="195" spans="3:5" ht="14.25" customHeight="1" x14ac:dyDescent="0.2">
      <c r="C195" s="15"/>
      <c r="D195" s="16"/>
      <c r="E195" s="16"/>
    </row>
    <row r="196" spans="3:5" ht="14.25" customHeight="1" x14ac:dyDescent="0.2">
      <c r="C196" s="15"/>
      <c r="D196" s="16"/>
      <c r="E196" s="16"/>
    </row>
    <row r="197" spans="3:5" ht="14.25" customHeight="1" x14ac:dyDescent="0.2">
      <c r="C197" s="15"/>
      <c r="D197" s="16"/>
      <c r="E197" s="16"/>
    </row>
    <row r="198" spans="3:5" ht="14.25" customHeight="1" x14ac:dyDescent="0.2">
      <c r="C198" s="15"/>
      <c r="D198" s="16"/>
      <c r="E198" s="16"/>
    </row>
    <row r="199" spans="3:5" ht="14.25" customHeight="1" x14ac:dyDescent="0.2">
      <c r="C199" s="15"/>
      <c r="D199" s="16"/>
      <c r="E199" s="16"/>
    </row>
    <row r="200" spans="3:5" ht="14.25" customHeight="1" x14ac:dyDescent="0.2">
      <c r="C200" s="15"/>
      <c r="D200" s="16"/>
      <c r="E200" s="16"/>
    </row>
    <row r="201" spans="3:5" ht="14.25" customHeight="1" x14ac:dyDescent="0.2">
      <c r="C201" s="15"/>
      <c r="D201" s="16"/>
      <c r="E201" s="16"/>
    </row>
    <row r="202" spans="3:5" ht="14.25" customHeight="1" x14ac:dyDescent="0.2">
      <c r="C202" s="15"/>
      <c r="D202" s="16"/>
      <c r="E202" s="16"/>
    </row>
    <row r="203" spans="3:5" ht="14.25" customHeight="1" x14ac:dyDescent="0.2">
      <c r="C203" s="15"/>
      <c r="D203" s="16"/>
      <c r="E203" s="16"/>
    </row>
    <row r="204" spans="3:5" ht="14.25" customHeight="1" x14ac:dyDescent="0.2">
      <c r="C204" s="15"/>
      <c r="D204" s="16"/>
      <c r="E204" s="16"/>
    </row>
    <row r="205" spans="3:5" ht="14.25" customHeight="1" x14ac:dyDescent="0.2">
      <c r="C205" s="15"/>
      <c r="D205" s="16"/>
      <c r="E205" s="16"/>
    </row>
    <row r="206" spans="3:5" ht="14.25" customHeight="1" x14ac:dyDescent="0.2">
      <c r="C206" s="15"/>
      <c r="D206" s="16"/>
      <c r="E206" s="16"/>
    </row>
    <row r="207" spans="3:5" ht="14.25" customHeight="1" x14ac:dyDescent="0.2">
      <c r="C207" s="15"/>
      <c r="D207" s="16"/>
      <c r="E207" s="16"/>
    </row>
    <row r="208" spans="3:5" ht="14.25" customHeight="1" x14ac:dyDescent="0.2">
      <c r="C208" s="15"/>
      <c r="D208" s="16"/>
      <c r="E208" s="16"/>
    </row>
    <row r="209" spans="3:5" ht="14.25" customHeight="1" x14ac:dyDescent="0.2">
      <c r="C209" s="15"/>
      <c r="D209" s="16"/>
      <c r="E209" s="16"/>
    </row>
    <row r="210" spans="3:5" ht="14.25" customHeight="1" x14ac:dyDescent="0.2">
      <c r="C210" s="15"/>
      <c r="D210" s="16"/>
      <c r="E210" s="16"/>
    </row>
    <row r="211" spans="3:5" ht="14.25" customHeight="1" x14ac:dyDescent="0.2">
      <c r="C211" s="15"/>
      <c r="D211" s="16"/>
      <c r="E211" s="16"/>
    </row>
    <row r="212" spans="3:5" ht="14.25" customHeight="1" x14ac:dyDescent="0.2">
      <c r="C212" s="15"/>
      <c r="D212" s="16"/>
      <c r="E212" s="16"/>
    </row>
    <row r="213" spans="3:5" ht="14.25" customHeight="1" x14ac:dyDescent="0.2">
      <c r="C213" s="15"/>
      <c r="D213" s="16"/>
      <c r="E213" s="16"/>
    </row>
    <row r="214" spans="3:5" ht="14.25" customHeight="1" x14ac:dyDescent="0.2">
      <c r="C214" s="15"/>
      <c r="D214" s="16"/>
      <c r="E214" s="16"/>
    </row>
    <row r="215" spans="3:5" ht="14.25" customHeight="1" x14ac:dyDescent="0.2">
      <c r="C215" s="15"/>
      <c r="D215" s="16"/>
      <c r="E215" s="16"/>
    </row>
    <row r="216" spans="3:5" ht="14.25" customHeight="1" x14ac:dyDescent="0.2">
      <c r="C216" s="15"/>
      <c r="D216" s="16"/>
      <c r="E216" s="16"/>
    </row>
    <row r="217" spans="3:5" ht="14.25" customHeight="1" x14ac:dyDescent="0.2">
      <c r="C217" s="15"/>
      <c r="D217" s="16"/>
      <c r="E217" s="16"/>
    </row>
    <row r="218" spans="3:5" ht="14.25" customHeight="1" x14ac:dyDescent="0.2">
      <c r="C218" s="15"/>
      <c r="D218" s="16"/>
      <c r="E218" s="16"/>
    </row>
    <row r="219" spans="3:5" ht="14.25" customHeight="1" x14ac:dyDescent="0.2">
      <c r="C219" s="15"/>
      <c r="D219" s="16"/>
      <c r="E219" s="16"/>
    </row>
    <row r="220" spans="3:5" ht="14.25" customHeight="1" x14ac:dyDescent="0.2">
      <c r="C220" s="15"/>
      <c r="D220" s="16"/>
      <c r="E220" s="16"/>
    </row>
    <row r="221" spans="3:5" ht="14.25" customHeight="1" x14ac:dyDescent="0.2">
      <c r="C221" s="15"/>
      <c r="D221" s="16"/>
      <c r="E221" s="16"/>
    </row>
    <row r="222" spans="3:5" ht="14.25" customHeight="1" x14ac:dyDescent="0.2">
      <c r="C222" s="15"/>
      <c r="D222" s="16"/>
      <c r="E222" s="16"/>
    </row>
    <row r="223" spans="3:5" ht="14.25" customHeight="1" x14ac:dyDescent="0.2">
      <c r="C223" s="15"/>
      <c r="D223" s="16"/>
      <c r="E223" s="16"/>
    </row>
    <row r="224" spans="3:5" ht="14.25" customHeight="1" x14ac:dyDescent="0.2">
      <c r="C224" s="15"/>
      <c r="D224" s="16"/>
      <c r="E224" s="16"/>
    </row>
    <row r="225" spans="3:5" ht="14.25" customHeight="1" x14ac:dyDescent="0.2">
      <c r="C225" s="15"/>
      <c r="D225" s="16"/>
      <c r="E225" s="16"/>
    </row>
    <row r="226" spans="3:5" ht="14.25" customHeight="1" x14ac:dyDescent="0.2">
      <c r="C226" s="15"/>
      <c r="D226" s="16"/>
      <c r="E226" s="16"/>
    </row>
    <row r="227" spans="3:5" ht="14.25" customHeight="1" x14ac:dyDescent="0.2">
      <c r="C227" s="15"/>
      <c r="D227" s="16"/>
      <c r="E227" s="16"/>
    </row>
    <row r="228" spans="3:5" ht="14.25" customHeight="1" x14ac:dyDescent="0.2">
      <c r="C228" s="15"/>
      <c r="D228" s="16"/>
      <c r="E228" s="16"/>
    </row>
    <row r="229" spans="3:5" ht="14.25" customHeight="1" x14ac:dyDescent="0.2">
      <c r="C229" s="15"/>
      <c r="D229" s="16"/>
      <c r="E229" s="16"/>
    </row>
    <row r="230" spans="3:5" ht="14.25" customHeight="1" x14ac:dyDescent="0.2">
      <c r="C230" s="15"/>
      <c r="D230" s="16"/>
      <c r="E230" s="16"/>
    </row>
    <row r="231" spans="3:5" ht="14.25" customHeight="1" x14ac:dyDescent="0.2">
      <c r="C231" s="15"/>
      <c r="D231" s="16"/>
      <c r="E231" s="16"/>
    </row>
    <row r="232" spans="3:5" ht="14.25" customHeight="1" x14ac:dyDescent="0.2">
      <c r="C232" s="15"/>
      <c r="D232" s="16"/>
      <c r="E232" s="16"/>
    </row>
    <row r="233" spans="3:5" ht="14.25" customHeight="1" x14ac:dyDescent="0.2">
      <c r="C233" s="15"/>
      <c r="D233" s="16"/>
      <c r="E233" s="16"/>
    </row>
    <row r="234" spans="3:5" ht="14.25" customHeight="1" x14ac:dyDescent="0.2">
      <c r="C234" s="15"/>
      <c r="D234" s="16"/>
      <c r="E234" s="16"/>
    </row>
    <row r="235" spans="3:5" ht="14.25" customHeight="1" x14ac:dyDescent="0.2">
      <c r="C235" s="15"/>
      <c r="D235" s="16"/>
      <c r="E235" s="16"/>
    </row>
    <row r="236" spans="3:5" ht="14.25" customHeight="1" x14ac:dyDescent="0.2">
      <c r="C236" s="15"/>
      <c r="D236" s="16"/>
      <c r="E236" s="16"/>
    </row>
    <row r="237" spans="3:5" ht="14.25" customHeight="1" x14ac:dyDescent="0.2">
      <c r="C237" s="15"/>
      <c r="D237" s="16"/>
      <c r="E237" s="16"/>
    </row>
  </sheetData>
  <autoFilter ref="A6:E37" xr:uid="{00000000-0009-0000-0000-000001000000}"/>
  <mergeCells count="4">
    <mergeCell ref="A2:E2"/>
    <mergeCell ref="A3:E3"/>
    <mergeCell ref="A4:E4"/>
    <mergeCell ref="A37:C3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9933"/>
  </sheetPr>
  <dimension ref="A1:N322"/>
  <sheetViews>
    <sheetView workbookViewId="0">
      <pane ySplit="3" topLeftCell="A4" activePane="bottomLeft" state="frozen"/>
      <selection pane="bottomLeft" activeCell="B5" sqref="B5"/>
    </sheetView>
  </sheetViews>
  <sheetFormatPr defaultColWidth="14.390625" defaultRowHeight="15" customHeight="1" x14ac:dyDescent="0.2"/>
  <cols>
    <col min="1" max="1" width="14.125" customWidth="1"/>
    <col min="2" max="2" width="32.8203125" customWidth="1"/>
    <col min="3" max="3" width="13.85546875" customWidth="1"/>
    <col min="4" max="4" width="17.484375" customWidth="1"/>
    <col min="5" max="5" width="23.26953125" customWidth="1"/>
    <col min="6" max="6" width="25.9609375" customWidth="1"/>
    <col min="7" max="7" width="20.71484375" customWidth="1"/>
    <col min="8" max="10" width="8.7421875" customWidth="1"/>
    <col min="11" max="11" width="13.98828125" customWidth="1"/>
    <col min="12" max="12" width="16.54296875" customWidth="1"/>
    <col min="13" max="14" width="8.7421875" customWidth="1"/>
  </cols>
  <sheetData>
    <row r="1" spans="1:11" ht="9" customHeight="1" x14ac:dyDescent="0.3">
      <c r="A1" s="446" t="s">
        <v>39</v>
      </c>
      <c r="B1" s="426"/>
      <c r="C1" s="426"/>
      <c r="D1" s="426"/>
      <c r="E1" s="426"/>
      <c r="F1" s="426"/>
      <c r="G1" s="426"/>
    </row>
    <row r="2" spans="1:11" ht="30" customHeight="1" x14ac:dyDescent="0.2">
      <c r="A2" s="447" t="s">
        <v>40</v>
      </c>
      <c r="B2" s="426"/>
      <c r="C2" s="426"/>
      <c r="D2" s="426"/>
      <c r="E2" s="426"/>
      <c r="F2" s="426"/>
      <c r="G2" s="426"/>
    </row>
    <row r="3" spans="1:11" ht="14.25" customHeight="1" x14ac:dyDescent="0.2">
      <c r="D3" s="31"/>
      <c r="E3" s="31"/>
    </row>
    <row r="4" spans="1:11" ht="14.25" customHeight="1" x14ac:dyDescent="0.2">
      <c r="A4" s="6" t="s">
        <v>41</v>
      </c>
      <c r="B4" s="442" t="str">
        <f>'Day 1.1 Informasi'!F5</f>
        <v>Kas</v>
      </c>
      <c r="C4" s="443"/>
      <c r="D4" s="428"/>
      <c r="E4" s="32" t="s">
        <v>2</v>
      </c>
      <c r="F4" s="427">
        <f>'Day 1.1 Informasi'!E5</f>
        <v>101</v>
      </c>
      <c r="G4" s="428"/>
      <c r="K4" s="31"/>
    </row>
    <row r="5" spans="1:11" ht="14.25" customHeight="1" x14ac:dyDescent="0.2">
      <c r="A5" s="436" t="s">
        <v>3</v>
      </c>
      <c r="B5" s="436" t="s">
        <v>4</v>
      </c>
      <c r="C5" s="436" t="s">
        <v>32</v>
      </c>
      <c r="D5" s="444" t="s">
        <v>33</v>
      </c>
      <c r="E5" s="444" t="s">
        <v>34</v>
      </c>
      <c r="F5" s="427" t="s">
        <v>42</v>
      </c>
      <c r="G5" s="428"/>
    </row>
    <row r="6" spans="1:11" ht="14.25" customHeight="1" x14ac:dyDescent="0.2">
      <c r="A6" s="430"/>
      <c r="B6" s="430"/>
      <c r="C6" s="430"/>
      <c r="D6" s="430"/>
      <c r="E6" s="430"/>
      <c r="F6" s="33" t="s">
        <v>43</v>
      </c>
      <c r="G6" s="33" t="s">
        <v>34</v>
      </c>
    </row>
    <row r="7" spans="1:11" ht="14.25" customHeight="1" x14ac:dyDescent="0.2">
      <c r="A7" s="34">
        <f>DATE(2023,1,1)</f>
        <v>44927</v>
      </c>
      <c r="B7" s="445" t="s">
        <v>44</v>
      </c>
      <c r="C7" s="35" t="s">
        <v>45</v>
      </c>
      <c r="D7" s="36" t="e">
        <f t="array" aca="1" ref="D7" ca="1">_xlws.FILTER('Day 1.2 Jurnal Umum'!$D$7:$E$34,'Day 1.2 Jurnal Umum'!$B$7:$B$34="Kas")</f>
        <v>#NAME?</v>
      </c>
      <c r="E7" s="37"/>
      <c r="F7" s="38" t="e">
        <f ca="1">D7-E7</f>
        <v>#NAME?</v>
      </c>
      <c r="G7" s="39"/>
    </row>
    <row r="8" spans="1:11" ht="14.25" customHeight="1" x14ac:dyDescent="0.25">
      <c r="A8" s="40"/>
      <c r="B8" s="438"/>
      <c r="C8" s="35" t="str">
        <f t="shared" ref="C8:C14" si="0">$C$7</f>
        <v>JU -1</v>
      </c>
      <c r="D8" s="41"/>
      <c r="E8" s="42"/>
      <c r="F8" s="42" t="str">
        <f t="shared" ref="F8:F18" si="1">IF(AND(D8="",E8=""),"",(F7+D8)-E8)</f>
        <v/>
      </c>
      <c r="G8" s="43"/>
    </row>
    <row r="9" spans="1:11" ht="14.25" customHeight="1" x14ac:dyDescent="0.25">
      <c r="A9" s="44">
        <f>DATE(2023,1,5)</f>
        <v>44931</v>
      </c>
      <c r="B9" s="438"/>
      <c r="C9" s="35" t="str">
        <f t="shared" si="0"/>
        <v>JU -1</v>
      </c>
      <c r="D9" s="36"/>
      <c r="E9" s="45"/>
      <c r="F9" s="42" t="str">
        <f t="shared" si="1"/>
        <v/>
      </c>
      <c r="G9" s="46"/>
      <c r="K9" s="16"/>
    </row>
    <row r="10" spans="1:11" ht="14.25" customHeight="1" x14ac:dyDescent="0.25">
      <c r="A10" s="44">
        <f>DATE(2023,1,8)</f>
        <v>44934</v>
      </c>
      <c r="B10" s="438"/>
      <c r="C10" s="35" t="str">
        <f t="shared" si="0"/>
        <v>JU -1</v>
      </c>
      <c r="D10" s="36"/>
      <c r="E10" s="42"/>
      <c r="F10" s="42" t="str">
        <f t="shared" si="1"/>
        <v/>
      </c>
      <c r="G10" s="46"/>
    </row>
    <row r="11" spans="1:11" ht="14.25" customHeight="1" x14ac:dyDescent="0.25">
      <c r="A11" s="44">
        <f>DATE(2023,1,10)</f>
        <v>44936</v>
      </c>
      <c r="B11" s="438"/>
      <c r="C11" s="35" t="str">
        <f t="shared" si="0"/>
        <v>JU -1</v>
      </c>
      <c r="D11" s="36"/>
      <c r="E11" s="42"/>
      <c r="F11" s="42" t="str">
        <f t="shared" si="1"/>
        <v/>
      </c>
      <c r="G11" s="46"/>
    </row>
    <row r="12" spans="1:11" ht="14.25" customHeight="1" x14ac:dyDescent="0.25">
      <c r="A12" s="44">
        <f>DATE(2023,1,17)</f>
        <v>44943</v>
      </c>
      <c r="B12" s="438"/>
      <c r="C12" s="35" t="str">
        <f t="shared" si="0"/>
        <v>JU -1</v>
      </c>
      <c r="D12" s="41"/>
      <c r="E12" s="42"/>
      <c r="F12" s="42" t="str">
        <f t="shared" si="1"/>
        <v/>
      </c>
      <c r="G12" s="46"/>
    </row>
    <row r="13" spans="1:11" ht="14.25" customHeight="1" x14ac:dyDescent="0.25">
      <c r="A13" s="44">
        <f>DATE(2023,1,25)</f>
        <v>44951</v>
      </c>
      <c r="B13" s="438"/>
      <c r="C13" s="35" t="str">
        <f t="shared" si="0"/>
        <v>JU -1</v>
      </c>
      <c r="D13" s="36"/>
      <c r="E13" s="42"/>
      <c r="F13" s="42" t="str">
        <f t="shared" si="1"/>
        <v/>
      </c>
      <c r="G13" s="46"/>
    </row>
    <row r="14" spans="1:11" ht="14.25" customHeight="1" x14ac:dyDescent="0.25">
      <c r="A14" s="44">
        <f>DATE(2023,1,27)</f>
        <v>44953</v>
      </c>
      <c r="B14" s="438"/>
      <c r="C14" s="35" t="str">
        <f t="shared" si="0"/>
        <v>JU -1</v>
      </c>
      <c r="D14" s="36"/>
      <c r="E14" s="42"/>
      <c r="F14" s="42" t="str">
        <f t="shared" si="1"/>
        <v/>
      </c>
      <c r="G14" s="46"/>
    </row>
    <row r="15" spans="1:11" ht="14.25" customHeight="1" x14ac:dyDescent="0.25">
      <c r="A15" s="44"/>
      <c r="B15" s="438"/>
      <c r="C15" s="35"/>
      <c r="D15" s="36"/>
      <c r="E15" s="42"/>
      <c r="F15" s="42" t="str">
        <f t="shared" si="1"/>
        <v/>
      </c>
      <c r="G15" s="46"/>
    </row>
    <row r="16" spans="1:11" ht="14.25" customHeight="1" x14ac:dyDescent="0.25">
      <c r="A16" s="44"/>
      <c r="B16" s="438"/>
      <c r="C16" s="35"/>
      <c r="D16" s="36"/>
      <c r="E16" s="42"/>
      <c r="F16" s="42" t="str">
        <f t="shared" si="1"/>
        <v/>
      </c>
      <c r="G16" s="46"/>
    </row>
    <row r="17" spans="1:7" ht="14.25" customHeight="1" x14ac:dyDescent="0.25">
      <c r="A17" s="44"/>
      <c r="B17" s="438"/>
      <c r="C17" s="35"/>
      <c r="D17" s="36"/>
      <c r="E17" s="42"/>
      <c r="F17" s="42" t="str">
        <f t="shared" si="1"/>
        <v/>
      </c>
      <c r="G17" s="46"/>
    </row>
    <row r="18" spans="1:7" ht="14.25" customHeight="1" x14ac:dyDescent="0.25">
      <c r="A18" s="47"/>
      <c r="B18" s="439"/>
      <c r="C18" s="47"/>
      <c r="D18" s="48"/>
      <c r="E18" s="48"/>
      <c r="F18" s="42" t="str">
        <f t="shared" si="1"/>
        <v/>
      </c>
      <c r="G18" s="49"/>
    </row>
    <row r="19" spans="1:7" ht="14.25" customHeight="1" x14ac:dyDescent="0.2">
      <c r="B19" s="50"/>
      <c r="C19" s="50"/>
      <c r="D19" s="51"/>
      <c r="E19" s="51"/>
    </row>
    <row r="20" spans="1:7" ht="14.25" customHeight="1" x14ac:dyDescent="0.2">
      <c r="B20" s="50"/>
      <c r="C20" s="50"/>
      <c r="D20" s="51"/>
      <c r="E20" s="51"/>
    </row>
    <row r="21" spans="1:7" ht="14.25" customHeight="1" x14ac:dyDescent="0.2">
      <c r="A21" s="6" t="s">
        <v>41</v>
      </c>
      <c r="B21" s="442" t="str">
        <f>'Day 1.1 Informasi'!F6</f>
        <v>Piutang Usaha</v>
      </c>
      <c r="C21" s="443"/>
      <c r="D21" s="428"/>
      <c r="E21" s="32" t="s">
        <v>2</v>
      </c>
      <c r="F21" s="427">
        <f>'Day 1.1 Informasi'!E6</f>
        <v>102</v>
      </c>
      <c r="G21" s="428"/>
    </row>
    <row r="22" spans="1:7" ht="14.25" customHeight="1" x14ac:dyDescent="0.2">
      <c r="A22" s="436" t="s">
        <v>3</v>
      </c>
      <c r="B22" s="436" t="s">
        <v>4</v>
      </c>
      <c r="C22" s="436" t="s">
        <v>32</v>
      </c>
      <c r="D22" s="444" t="s">
        <v>33</v>
      </c>
      <c r="E22" s="444" t="s">
        <v>34</v>
      </c>
      <c r="F22" s="427" t="s">
        <v>42</v>
      </c>
      <c r="G22" s="428"/>
    </row>
    <row r="23" spans="1:7" ht="14.25" customHeight="1" x14ac:dyDescent="0.2">
      <c r="A23" s="430"/>
      <c r="B23" s="430"/>
      <c r="C23" s="430"/>
      <c r="D23" s="430"/>
      <c r="E23" s="430"/>
      <c r="F23" s="33" t="s">
        <v>43</v>
      </c>
      <c r="G23" s="33" t="s">
        <v>34</v>
      </c>
    </row>
    <row r="24" spans="1:7" ht="14.25" customHeight="1" x14ac:dyDescent="0.2">
      <c r="A24" s="44">
        <f>DATE(2023,1,14)</f>
        <v>44940</v>
      </c>
      <c r="B24" s="437" t="s">
        <v>46</v>
      </c>
      <c r="C24" s="35" t="str">
        <f t="shared" ref="C24:C25" si="2">$C$7</f>
        <v>JU -1</v>
      </c>
      <c r="D24" s="52" t="e">
        <f t="array" aca="1" ref="D24" ca="1">_xlws.FILTER('Day 1.2 Jurnal Umum'!$D$7:$E$34,'Day 1.2 Jurnal Umum'!$B$7:$B$34="Piutang Usaha")</f>
        <v>#NAME?</v>
      </c>
      <c r="E24" s="52"/>
      <c r="F24" s="52" t="e">
        <f ca="1">D24-E24</f>
        <v>#NAME?</v>
      </c>
      <c r="G24" s="53"/>
    </row>
    <row r="25" spans="1:7" ht="14.25" customHeight="1" x14ac:dyDescent="0.2">
      <c r="A25" s="44">
        <f>DATE(2023,1,27)</f>
        <v>44953</v>
      </c>
      <c r="B25" s="438"/>
      <c r="C25" s="35" t="str">
        <f t="shared" si="2"/>
        <v>JU -1</v>
      </c>
      <c r="D25" s="54"/>
      <c r="E25" s="52"/>
      <c r="F25" s="52" t="str">
        <f t="shared" ref="F25:F28" si="3">IF(AND(D25="",E25=""),"",(F24+D25)-E25)</f>
        <v/>
      </c>
      <c r="G25" s="53"/>
    </row>
    <row r="26" spans="1:7" ht="14.25" customHeight="1" x14ac:dyDescent="0.2">
      <c r="A26" s="55"/>
      <c r="B26" s="438"/>
      <c r="C26" s="35"/>
      <c r="D26" s="56"/>
      <c r="E26" s="57"/>
      <c r="F26" s="52" t="str">
        <f t="shared" si="3"/>
        <v/>
      </c>
      <c r="G26" s="53"/>
    </row>
    <row r="27" spans="1:7" ht="14.25" customHeight="1" x14ac:dyDescent="0.2">
      <c r="A27" s="58"/>
      <c r="B27" s="438"/>
      <c r="C27" s="35"/>
      <c r="D27" s="59"/>
      <c r="E27" s="57"/>
      <c r="F27" s="52" t="str">
        <f t="shared" si="3"/>
        <v/>
      </c>
      <c r="G27" s="60"/>
    </row>
    <row r="28" spans="1:7" ht="14.25" customHeight="1" x14ac:dyDescent="0.2">
      <c r="A28" s="61"/>
      <c r="B28" s="439"/>
      <c r="C28" s="35"/>
      <c r="D28" s="59"/>
      <c r="E28" s="57"/>
      <c r="F28" s="52" t="str">
        <f t="shared" si="3"/>
        <v/>
      </c>
      <c r="G28" s="60"/>
    </row>
    <row r="29" spans="1:7" ht="14.25" customHeight="1" x14ac:dyDescent="0.2">
      <c r="A29" s="62"/>
      <c r="B29" s="63"/>
      <c r="C29" s="64"/>
      <c r="D29" s="65"/>
      <c r="E29" s="66"/>
      <c r="F29" s="67"/>
      <c r="G29" s="68"/>
    </row>
    <row r="30" spans="1:7" ht="14.25" customHeight="1" x14ac:dyDescent="0.2">
      <c r="A30" s="62"/>
      <c r="B30" s="63"/>
      <c r="C30" s="64"/>
      <c r="D30" s="65"/>
      <c r="E30" s="66"/>
      <c r="F30" s="67"/>
      <c r="G30" s="68"/>
    </row>
    <row r="31" spans="1:7" ht="14.25" customHeight="1" x14ac:dyDescent="0.2">
      <c r="A31" s="50"/>
      <c r="B31" s="50"/>
      <c r="C31" s="50"/>
      <c r="D31" s="51"/>
      <c r="E31" s="51"/>
      <c r="F31" s="67"/>
      <c r="G31" s="50"/>
    </row>
    <row r="32" spans="1:7" ht="14.25" customHeight="1" x14ac:dyDescent="0.2">
      <c r="A32" s="6" t="s">
        <v>41</v>
      </c>
      <c r="B32" s="442" t="str">
        <f>'Day 1.1 Informasi'!F7</f>
        <v>Perlengkapan</v>
      </c>
      <c r="C32" s="443"/>
      <c r="D32" s="428"/>
      <c r="E32" s="32" t="s">
        <v>2</v>
      </c>
      <c r="F32" s="427">
        <f>'Day 1.1 Informasi'!E7</f>
        <v>103</v>
      </c>
      <c r="G32" s="428"/>
    </row>
    <row r="33" spans="1:14" ht="14.25" customHeight="1" x14ac:dyDescent="0.2">
      <c r="A33" s="436" t="s">
        <v>3</v>
      </c>
      <c r="B33" s="436" t="s">
        <v>4</v>
      </c>
      <c r="C33" s="436" t="s">
        <v>32</v>
      </c>
      <c r="D33" s="444" t="s">
        <v>33</v>
      </c>
      <c r="E33" s="444" t="s">
        <v>34</v>
      </c>
      <c r="F33" s="427" t="s">
        <v>42</v>
      </c>
      <c r="G33" s="428"/>
    </row>
    <row r="34" spans="1:14" ht="14.25" customHeight="1" x14ac:dyDescent="0.2">
      <c r="A34" s="430"/>
      <c r="B34" s="430"/>
      <c r="C34" s="430"/>
      <c r="D34" s="430"/>
      <c r="E34" s="430"/>
      <c r="F34" s="33" t="s">
        <v>43</v>
      </c>
      <c r="G34" s="33" t="s">
        <v>34</v>
      </c>
    </row>
    <row r="35" spans="1:14" ht="14.25" customHeight="1" x14ac:dyDescent="0.2">
      <c r="A35" s="44">
        <f>DATE(2023,1,5)</f>
        <v>44931</v>
      </c>
      <c r="B35" s="440" t="str">
        <f>B24</f>
        <v>Postinng</v>
      </c>
      <c r="C35" s="35" t="str">
        <f>$C$7</f>
        <v>JU -1</v>
      </c>
      <c r="D35" s="52">
        <f>'Day 1.2 Jurnal Umum'!D15</f>
        <v>1000000</v>
      </c>
      <c r="E35" s="54"/>
      <c r="F35" s="52">
        <f>D35-E35</f>
        <v>1000000</v>
      </c>
      <c r="G35" s="69"/>
    </row>
    <row r="36" spans="1:14" ht="14.25" customHeight="1" x14ac:dyDescent="0.2">
      <c r="A36" s="55"/>
      <c r="B36" s="426"/>
      <c r="C36" s="35"/>
      <c r="D36" s="54"/>
      <c r="E36" s="52"/>
      <c r="F36" s="52" t="str">
        <f t="shared" ref="F36:F39" si="4">IF(AND(D36="",E36=""),"",(F35+D36)-E36)</f>
        <v/>
      </c>
      <c r="G36" s="69"/>
    </row>
    <row r="37" spans="1:14" ht="14.25" customHeight="1" x14ac:dyDescent="0.2">
      <c r="A37" s="55"/>
      <c r="B37" s="426"/>
      <c r="C37" s="35"/>
      <c r="D37" s="52"/>
      <c r="E37" s="54"/>
      <c r="F37" s="52" t="str">
        <f t="shared" si="4"/>
        <v/>
      </c>
      <c r="G37" s="69"/>
    </row>
    <row r="38" spans="1:14" ht="14.25" customHeight="1" x14ac:dyDescent="0.2">
      <c r="A38" s="70"/>
      <c r="B38" s="426"/>
      <c r="C38" s="71"/>
      <c r="D38" s="72"/>
      <c r="E38" s="73"/>
      <c r="F38" s="52" t="str">
        <f t="shared" si="4"/>
        <v/>
      </c>
      <c r="G38" s="74"/>
    </row>
    <row r="39" spans="1:14" ht="14.25" customHeight="1" x14ac:dyDescent="0.2">
      <c r="A39" s="61"/>
      <c r="B39" s="441"/>
      <c r="C39" s="35"/>
      <c r="D39" s="75"/>
      <c r="E39" s="54"/>
      <c r="F39" s="52" t="str">
        <f t="shared" si="4"/>
        <v/>
      </c>
      <c r="G39" s="76"/>
    </row>
    <row r="40" spans="1:14" ht="14.25" customHeight="1" x14ac:dyDescent="0.2">
      <c r="A40" s="63"/>
      <c r="B40" s="63"/>
      <c r="C40" s="64"/>
      <c r="D40" s="77"/>
      <c r="E40" s="78"/>
      <c r="F40" s="67"/>
      <c r="G40" s="68"/>
    </row>
    <row r="41" spans="1:14" ht="14.25" customHeight="1" x14ac:dyDescent="0.2">
      <c r="A41" s="62"/>
      <c r="B41" s="63"/>
      <c r="C41" s="64"/>
      <c r="D41" s="77"/>
      <c r="E41" s="78"/>
      <c r="F41" s="67"/>
      <c r="G41" s="68"/>
    </row>
    <row r="42" spans="1:14" ht="14.25" customHeight="1" x14ac:dyDescent="0.2">
      <c r="D42" s="31"/>
      <c r="E42" s="31"/>
    </row>
    <row r="43" spans="1:14" ht="14.25" customHeight="1" x14ac:dyDescent="0.2">
      <c r="A43" s="6" t="s">
        <v>41</v>
      </c>
      <c r="B43" s="442" t="str">
        <f>'Day 1.1 Informasi'!F8</f>
        <v>Sewa Dibayar Dimuka</v>
      </c>
      <c r="C43" s="443"/>
      <c r="D43" s="428"/>
      <c r="E43" s="32" t="s">
        <v>2</v>
      </c>
      <c r="F43" s="427">
        <f>'Day 1.1 Informasi'!E8</f>
        <v>104</v>
      </c>
      <c r="G43" s="428"/>
    </row>
    <row r="44" spans="1:14" ht="14.25" customHeight="1" x14ac:dyDescent="0.2">
      <c r="A44" s="436" t="s">
        <v>3</v>
      </c>
      <c r="B44" s="436" t="s">
        <v>4</v>
      </c>
      <c r="C44" s="436" t="s">
        <v>32</v>
      </c>
      <c r="D44" s="444" t="s">
        <v>33</v>
      </c>
      <c r="E44" s="444" t="s">
        <v>34</v>
      </c>
      <c r="F44" s="427" t="s">
        <v>42</v>
      </c>
      <c r="G44" s="428"/>
    </row>
    <row r="45" spans="1:14" ht="14.25" customHeight="1" x14ac:dyDescent="0.2">
      <c r="A45" s="430"/>
      <c r="B45" s="430"/>
      <c r="C45" s="430"/>
      <c r="D45" s="430"/>
      <c r="E45" s="430"/>
      <c r="F45" s="33" t="s">
        <v>43</v>
      </c>
      <c r="G45" s="33" t="s">
        <v>34</v>
      </c>
    </row>
    <row r="46" spans="1:14" ht="14.25" customHeight="1" x14ac:dyDescent="0.2">
      <c r="A46" s="79">
        <f>DATE(2023,1,1)</f>
        <v>44927</v>
      </c>
      <c r="B46" s="437" t="str">
        <f t="shared" ref="B46:C46" si="5">B35</f>
        <v>Postinng</v>
      </c>
      <c r="C46" s="80" t="str">
        <f t="shared" si="5"/>
        <v>JU -1</v>
      </c>
      <c r="D46" s="52">
        <f>'Day 1.2 Jurnal Umum'!D9</f>
        <v>12000000</v>
      </c>
      <c r="E46" s="54"/>
      <c r="F46" s="52">
        <f>D46-E46</f>
        <v>12000000</v>
      </c>
      <c r="G46" s="69"/>
    </row>
    <row r="47" spans="1:14" ht="14.25" customHeight="1" x14ac:dyDescent="0.2">
      <c r="A47" s="55"/>
      <c r="B47" s="438"/>
      <c r="C47" s="81"/>
      <c r="D47" s="54"/>
      <c r="E47" s="52"/>
      <c r="F47" s="52" t="str">
        <f t="shared" ref="F47:F50" si="6">IF(AND(D47="",E47=""),"",(F46+D47)-E47)</f>
        <v/>
      </c>
      <c r="G47" s="69"/>
      <c r="N47" s="82"/>
    </row>
    <row r="48" spans="1:14" ht="14.25" customHeight="1" x14ac:dyDescent="0.2">
      <c r="A48" s="55"/>
      <c r="B48" s="438"/>
      <c r="C48" s="81"/>
      <c r="D48" s="52"/>
      <c r="E48" s="54"/>
      <c r="F48" s="52" t="str">
        <f t="shared" si="6"/>
        <v/>
      </c>
      <c r="G48" s="69"/>
    </row>
    <row r="49" spans="1:7" ht="14.25" customHeight="1" x14ac:dyDescent="0.2">
      <c r="A49" s="58"/>
      <c r="B49" s="438"/>
      <c r="C49" s="83"/>
      <c r="D49" s="75"/>
      <c r="E49" s="54"/>
      <c r="F49" s="52" t="str">
        <f t="shared" si="6"/>
        <v/>
      </c>
      <c r="G49" s="76"/>
    </row>
    <row r="50" spans="1:7" ht="14.25" customHeight="1" x14ac:dyDescent="0.2">
      <c r="A50" s="61"/>
      <c r="B50" s="439"/>
      <c r="C50" s="61"/>
      <c r="D50" s="61"/>
      <c r="E50" s="61"/>
      <c r="F50" s="52" t="str">
        <f t="shared" si="6"/>
        <v/>
      </c>
      <c r="G50" s="61"/>
    </row>
    <row r="51" spans="1:7" ht="14.25" customHeight="1" x14ac:dyDescent="0.2">
      <c r="A51" s="63"/>
      <c r="B51" s="63"/>
      <c r="C51" s="63"/>
      <c r="D51" s="63"/>
      <c r="E51" s="63"/>
      <c r="F51" s="63"/>
      <c r="G51" s="63"/>
    </row>
    <row r="52" spans="1:7" ht="14.25" customHeight="1" x14ac:dyDescent="0.2">
      <c r="A52" s="62"/>
      <c r="B52" s="63"/>
      <c r="C52" s="84"/>
      <c r="D52" s="77"/>
      <c r="E52" s="78"/>
      <c r="F52" s="67"/>
      <c r="G52" s="68"/>
    </row>
    <row r="53" spans="1:7" ht="14.25" customHeight="1" x14ac:dyDescent="0.2">
      <c r="D53" s="31"/>
      <c r="E53" s="31"/>
    </row>
    <row r="54" spans="1:7" ht="14.25" customHeight="1" x14ac:dyDescent="0.2">
      <c r="A54" s="6" t="s">
        <v>41</v>
      </c>
      <c r="B54" s="442" t="str">
        <f>'Day 1.1 Informasi'!F9</f>
        <v>Peralatan Jaringan</v>
      </c>
      <c r="C54" s="443"/>
      <c r="D54" s="428"/>
      <c r="E54" s="32" t="s">
        <v>2</v>
      </c>
      <c r="F54" s="427">
        <f>'Day 1.1 Informasi'!E9</f>
        <v>121</v>
      </c>
      <c r="G54" s="428"/>
    </row>
    <row r="55" spans="1:7" ht="14.25" customHeight="1" x14ac:dyDescent="0.2">
      <c r="A55" s="436" t="s">
        <v>3</v>
      </c>
      <c r="B55" s="436" t="s">
        <v>4</v>
      </c>
      <c r="C55" s="436" t="s">
        <v>32</v>
      </c>
      <c r="D55" s="444" t="s">
        <v>33</v>
      </c>
      <c r="E55" s="444" t="s">
        <v>34</v>
      </c>
      <c r="F55" s="427" t="s">
        <v>42</v>
      </c>
      <c r="G55" s="428"/>
    </row>
    <row r="56" spans="1:7" ht="14.25" customHeight="1" x14ac:dyDescent="0.2">
      <c r="A56" s="430"/>
      <c r="B56" s="430"/>
      <c r="C56" s="430"/>
      <c r="D56" s="430"/>
      <c r="E56" s="430"/>
      <c r="F56" s="33" t="s">
        <v>43</v>
      </c>
      <c r="G56" s="33" t="s">
        <v>34</v>
      </c>
    </row>
    <row r="57" spans="1:7" ht="14.25" customHeight="1" x14ac:dyDescent="0.2">
      <c r="A57" s="85">
        <f>DATE(2023,1,3)</f>
        <v>44929</v>
      </c>
      <c r="B57" s="429" t="str">
        <f t="shared" ref="B57:C57" si="7">B46</f>
        <v>Postinng</v>
      </c>
      <c r="C57" s="86" t="str">
        <f t="shared" si="7"/>
        <v>JU -1</v>
      </c>
      <c r="D57" s="82">
        <f>'Day 1.2 Jurnal Umum'!D12</f>
        <v>7000000</v>
      </c>
      <c r="E57" s="87"/>
      <c r="F57" s="82">
        <f>D57</f>
        <v>7000000</v>
      </c>
      <c r="G57" s="88"/>
    </row>
    <row r="58" spans="1:7" ht="14.25" customHeight="1" x14ac:dyDescent="0.2">
      <c r="A58" s="89"/>
      <c r="B58" s="430"/>
      <c r="C58" s="90"/>
      <c r="D58" s="87"/>
      <c r="E58" s="82"/>
      <c r="F58" s="52" t="str">
        <f t="shared" ref="F58:F60" si="8">IF(AND(D58="",E58=""),"",(F57+D58)-E58)</f>
        <v/>
      </c>
      <c r="G58" s="88"/>
    </row>
    <row r="59" spans="1:7" ht="14.25" customHeight="1" x14ac:dyDescent="0.2">
      <c r="A59" s="89"/>
      <c r="B59" s="430"/>
      <c r="C59" s="90"/>
      <c r="D59" s="82"/>
      <c r="E59" s="87"/>
      <c r="F59" s="52" t="str">
        <f t="shared" si="8"/>
        <v/>
      </c>
      <c r="G59" s="88"/>
    </row>
    <row r="60" spans="1:7" ht="14.25" customHeight="1" x14ac:dyDescent="0.2">
      <c r="A60" s="91"/>
      <c r="B60" s="431"/>
      <c r="C60" s="92"/>
      <c r="D60" s="93"/>
      <c r="E60" s="87"/>
      <c r="F60" s="52" t="str">
        <f t="shared" si="8"/>
        <v/>
      </c>
      <c r="G60" s="94"/>
    </row>
    <row r="61" spans="1:7" ht="14.25" customHeight="1" x14ac:dyDescent="0.2">
      <c r="A61" s="62"/>
      <c r="B61" s="63"/>
      <c r="C61" s="84"/>
      <c r="D61" s="77"/>
      <c r="E61" s="78"/>
      <c r="F61" s="67"/>
      <c r="G61" s="68"/>
    </row>
    <row r="62" spans="1:7" ht="14.25" customHeight="1" x14ac:dyDescent="0.2">
      <c r="A62" s="62"/>
      <c r="B62" s="63"/>
      <c r="C62" s="84"/>
      <c r="D62" s="77"/>
      <c r="E62" s="78"/>
      <c r="F62" s="67"/>
      <c r="G62" s="68"/>
    </row>
    <row r="63" spans="1:7" ht="14.25" customHeight="1" x14ac:dyDescent="0.2">
      <c r="A63" s="62"/>
      <c r="B63" s="63"/>
      <c r="C63" s="84"/>
      <c r="D63" s="77"/>
      <c r="E63" s="78"/>
      <c r="F63" s="67"/>
      <c r="G63" s="68"/>
    </row>
    <row r="64" spans="1:7" ht="14.25" customHeight="1" x14ac:dyDescent="0.2">
      <c r="D64" s="31"/>
      <c r="E64" s="31"/>
    </row>
    <row r="65" spans="1:11" ht="14.25" customHeight="1" x14ac:dyDescent="0.2">
      <c r="A65" s="6" t="s">
        <v>41</v>
      </c>
      <c r="B65" s="442" t="str">
        <f>'Day 1.1 Informasi'!F10</f>
        <v>Utang Usaha</v>
      </c>
      <c r="C65" s="443"/>
      <c r="D65" s="428"/>
      <c r="E65" s="32" t="s">
        <v>2</v>
      </c>
      <c r="F65" s="427">
        <f>'Day 1.1 Informasi'!E10</f>
        <v>201</v>
      </c>
      <c r="G65" s="428"/>
      <c r="K65" s="31"/>
    </row>
    <row r="66" spans="1:11" ht="14.25" customHeight="1" x14ac:dyDescent="0.2">
      <c r="A66" s="436" t="s">
        <v>3</v>
      </c>
      <c r="B66" s="436" t="s">
        <v>4</v>
      </c>
      <c r="C66" s="436" t="s">
        <v>32</v>
      </c>
      <c r="D66" s="444" t="s">
        <v>33</v>
      </c>
      <c r="E66" s="444" t="s">
        <v>34</v>
      </c>
      <c r="F66" s="427" t="s">
        <v>42</v>
      </c>
      <c r="G66" s="428"/>
    </row>
    <row r="67" spans="1:11" ht="14.25" customHeight="1" x14ac:dyDescent="0.2">
      <c r="A67" s="430"/>
      <c r="B67" s="430"/>
      <c r="C67" s="430"/>
      <c r="D67" s="430"/>
      <c r="E67" s="430"/>
      <c r="F67" s="33" t="s">
        <v>43</v>
      </c>
      <c r="G67" s="33" t="s">
        <v>34</v>
      </c>
    </row>
    <row r="68" spans="1:11" ht="14.25" customHeight="1" x14ac:dyDescent="0.2">
      <c r="A68" s="85">
        <f>DATE(2023,1,3)</f>
        <v>44929</v>
      </c>
      <c r="B68" s="429" t="str">
        <f t="shared" ref="B68:C68" si="9">B57</f>
        <v>Postinng</v>
      </c>
      <c r="C68" s="86" t="str">
        <f t="shared" si="9"/>
        <v>JU -1</v>
      </c>
      <c r="D68" s="82"/>
      <c r="E68" s="82">
        <f>'Day 1.2 Jurnal Umum'!E13</f>
        <v>7000000</v>
      </c>
      <c r="F68" s="95"/>
      <c r="G68" s="96">
        <f>E68-D68</f>
        <v>7000000</v>
      </c>
    </row>
    <row r="69" spans="1:11" ht="14.25" customHeight="1" x14ac:dyDescent="0.2">
      <c r="A69" s="85">
        <f>DATE(2023,1,17)</f>
        <v>44943</v>
      </c>
      <c r="B69" s="430"/>
      <c r="C69" s="86" t="str">
        <f>C57</f>
        <v>JU -1</v>
      </c>
      <c r="D69" s="87">
        <f>'Day 1.2 Jurnal Umum'!D27</f>
        <v>3000000</v>
      </c>
      <c r="E69" s="82"/>
      <c r="F69" s="97">
        <v>4000000</v>
      </c>
      <c r="G69" s="96">
        <f t="shared" ref="G69:G71" si="10">IF(AND(D69="",E69=""),"",(G68+E69)-D69)</f>
        <v>4000000</v>
      </c>
    </row>
    <row r="70" spans="1:11" ht="14.25" customHeight="1" x14ac:dyDescent="0.2">
      <c r="A70" s="85"/>
      <c r="B70" s="430"/>
      <c r="C70" s="90"/>
      <c r="D70" s="82"/>
      <c r="E70" s="87"/>
      <c r="F70" s="95"/>
      <c r="G70" s="96" t="str">
        <f t="shared" si="10"/>
        <v/>
      </c>
    </row>
    <row r="71" spans="1:11" ht="14.25" customHeight="1" x14ac:dyDescent="0.2">
      <c r="A71" s="91"/>
      <c r="B71" s="431"/>
      <c r="C71" s="92"/>
      <c r="D71" s="93"/>
      <c r="E71" s="87"/>
      <c r="F71" s="94"/>
      <c r="G71" s="96" t="str">
        <f t="shared" si="10"/>
        <v/>
      </c>
    </row>
    <row r="72" spans="1:11" ht="14.25" customHeight="1" x14ac:dyDescent="0.2">
      <c r="A72" s="62"/>
      <c r="B72" s="63"/>
      <c r="C72" s="84"/>
      <c r="D72" s="77"/>
      <c r="E72" s="78"/>
      <c r="F72" s="68"/>
      <c r="G72" s="98"/>
    </row>
    <row r="73" spans="1:11" ht="14.25" customHeight="1" x14ac:dyDescent="0.2">
      <c r="A73" s="62"/>
      <c r="B73" s="63"/>
      <c r="C73" s="84"/>
      <c r="D73" s="77"/>
      <c r="E73" s="78"/>
      <c r="F73" s="68"/>
      <c r="G73" s="98"/>
    </row>
    <row r="74" spans="1:11" ht="14.25" customHeight="1" x14ac:dyDescent="0.2">
      <c r="A74" s="62"/>
      <c r="B74" s="63"/>
      <c r="C74" s="84"/>
      <c r="D74" s="77"/>
      <c r="E74" s="78"/>
      <c r="F74" s="68"/>
      <c r="G74" s="98"/>
    </row>
    <row r="75" spans="1:11" ht="14.25" customHeight="1" x14ac:dyDescent="0.2">
      <c r="A75" s="50"/>
      <c r="B75" s="50"/>
      <c r="C75" s="50"/>
      <c r="D75" s="51"/>
      <c r="E75" s="51"/>
      <c r="F75" s="50"/>
      <c r="G75" s="50"/>
    </row>
    <row r="76" spans="1:11" ht="14.25" customHeight="1" x14ac:dyDescent="0.2">
      <c r="A76" s="6" t="s">
        <v>41</v>
      </c>
      <c r="B76" s="442" t="str">
        <f>'Day 1.1 Informasi'!F11</f>
        <v>Modal Usaha</v>
      </c>
      <c r="C76" s="443"/>
      <c r="D76" s="428"/>
      <c r="E76" s="32" t="s">
        <v>2</v>
      </c>
      <c r="F76" s="427">
        <f>'Day 1.1 Informasi'!E11</f>
        <v>301</v>
      </c>
      <c r="G76" s="428"/>
    </row>
    <row r="77" spans="1:11" ht="14.25" customHeight="1" x14ac:dyDescent="0.2">
      <c r="A77" s="436" t="s">
        <v>3</v>
      </c>
      <c r="B77" s="436" t="s">
        <v>4</v>
      </c>
      <c r="C77" s="436" t="s">
        <v>32</v>
      </c>
      <c r="D77" s="444" t="s">
        <v>33</v>
      </c>
      <c r="E77" s="444" t="s">
        <v>34</v>
      </c>
      <c r="F77" s="427" t="s">
        <v>42</v>
      </c>
      <c r="G77" s="428"/>
    </row>
    <row r="78" spans="1:11" ht="14.25" customHeight="1" x14ac:dyDescent="0.2">
      <c r="A78" s="430"/>
      <c r="B78" s="430"/>
      <c r="C78" s="430"/>
      <c r="D78" s="430"/>
      <c r="E78" s="430"/>
      <c r="F78" s="33" t="s">
        <v>43</v>
      </c>
      <c r="G78" s="33" t="s">
        <v>34</v>
      </c>
    </row>
    <row r="79" spans="1:11" ht="14.25" customHeight="1" x14ac:dyDescent="0.2">
      <c r="A79" s="85">
        <f>DATE(2023,1,1)</f>
        <v>44927</v>
      </c>
      <c r="B79" s="429" t="str">
        <f>B68</f>
        <v>Postinng</v>
      </c>
      <c r="C79" s="86" t="str">
        <f>C69</f>
        <v>JU -1</v>
      </c>
      <c r="D79" s="82"/>
      <c r="E79" s="87">
        <f>'Day 1.2 Jurnal Umum'!E8</f>
        <v>25000000</v>
      </c>
      <c r="F79" s="82"/>
      <c r="G79" s="96">
        <f>E79-D79</f>
        <v>25000000</v>
      </c>
    </row>
    <row r="80" spans="1:11" ht="14.25" customHeight="1" x14ac:dyDescent="0.2">
      <c r="A80" s="89"/>
      <c r="B80" s="430"/>
      <c r="C80" s="90"/>
      <c r="D80" s="99"/>
      <c r="E80" s="82"/>
      <c r="F80" s="82"/>
      <c r="G80" s="96" t="str">
        <f t="shared" ref="G80:G82" si="11">IF(AND(D80="",E80=""),"",(G79+E80)-D80)</f>
        <v/>
      </c>
    </row>
    <row r="81" spans="1:12" ht="14.25" customHeight="1" x14ac:dyDescent="0.2">
      <c r="A81" s="89"/>
      <c r="B81" s="430"/>
      <c r="C81" s="90"/>
      <c r="D81" s="100"/>
      <c r="E81" s="87"/>
      <c r="F81" s="82"/>
      <c r="G81" s="96" t="str">
        <f t="shared" si="11"/>
        <v/>
      </c>
    </row>
    <row r="82" spans="1:12" ht="14.25" customHeight="1" x14ac:dyDescent="0.2">
      <c r="A82" s="91"/>
      <c r="B82" s="431"/>
      <c r="C82" s="92"/>
      <c r="D82" s="101"/>
      <c r="E82" s="87"/>
      <c r="F82" s="102"/>
      <c r="G82" s="96" t="str">
        <f t="shared" si="11"/>
        <v/>
      </c>
      <c r="J82" s="96"/>
    </row>
    <row r="83" spans="1:12" ht="14.25" customHeight="1" x14ac:dyDescent="0.2">
      <c r="A83" s="62"/>
      <c r="B83" s="63"/>
      <c r="C83" s="84"/>
      <c r="D83" s="65"/>
      <c r="E83" s="78"/>
      <c r="F83" s="103"/>
      <c r="G83" s="98"/>
      <c r="J83" s="98"/>
    </row>
    <row r="84" spans="1:12" ht="14.25" customHeight="1" x14ac:dyDescent="0.2">
      <c r="A84" s="62"/>
      <c r="B84" s="63"/>
      <c r="C84" s="84"/>
      <c r="D84" s="65"/>
      <c r="E84" s="78"/>
      <c r="F84" s="103"/>
      <c r="G84" s="98"/>
      <c r="J84" s="98"/>
    </row>
    <row r="85" spans="1:12" ht="14.25" customHeight="1" x14ac:dyDescent="0.2">
      <c r="A85" s="62"/>
      <c r="B85" s="63"/>
      <c r="C85" s="84"/>
      <c r="D85" s="65"/>
      <c r="E85" s="78"/>
      <c r="F85" s="103"/>
      <c r="G85" s="98"/>
      <c r="J85" s="98"/>
    </row>
    <row r="86" spans="1:12" ht="14.25" customHeight="1" x14ac:dyDescent="0.2">
      <c r="A86" s="50"/>
      <c r="B86" s="50"/>
      <c r="C86" s="50"/>
      <c r="D86" s="51"/>
      <c r="E86" s="51"/>
      <c r="F86" s="50"/>
      <c r="G86" s="50"/>
    </row>
    <row r="87" spans="1:12" ht="14.25" customHeight="1" x14ac:dyDescent="0.2">
      <c r="A87" s="6" t="s">
        <v>41</v>
      </c>
      <c r="B87" s="442" t="str">
        <f>'Day 1.1 Informasi'!F12</f>
        <v>Prive Bapak Andika</v>
      </c>
      <c r="C87" s="443"/>
      <c r="D87" s="428"/>
      <c r="E87" s="32" t="s">
        <v>2</v>
      </c>
      <c r="F87" s="427">
        <f>'Day 1.1 Informasi'!E12</f>
        <v>302</v>
      </c>
      <c r="G87" s="428"/>
    </row>
    <row r="88" spans="1:12" ht="14.25" customHeight="1" x14ac:dyDescent="0.2">
      <c r="A88" s="436" t="s">
        <v>3</v>
      </c>
      <c r="B88" s="436" t="s">
        <v>4</v>
      </c>
      <c r="C88" s="436" t="s">
        <v>32</v>
      </c>
      <c r="D88" s="444" t="s">
        <v>33</v>
      </c>
      <c r="E88" s="444" t="s">
        <v>34</v>
      </c>
      <c r="F88" s="427" t="s">
        <v>42</v>
      </c>
      <c r="G88" s="428"/>
    </row>
    <row r="89" spans="1:12" ht="14.25" customHeight="1" x14ac:dyDescent="0.2">
      <c r="A89" s="430"/>
      <c r="B89" s="430"/>
      <c r="C89" s="430"/>
      <c r="D89" s="430"/>
      <c r="E89" s="430"/>
      <c r="F89" s="33" t="s">
        <v>43</v>
      </c>
      <c r="G89" s="33" t="s">
        <v>34</v>
      </c>
    </row>
    <row r="90" spans="1:12" ht="14.25" customHeight="1" x14ac:dyDescent="0.2">
      <c r="A90" s="85">
        <f>DATE(2023,1,10)</f>
        <v>44936</v>
      </c>
      <c r="B90" s="429" t="str">
        <f t="shared" ref="B90:C90" si="12">B79</f>
        <v>Postinng</v>
      </c>
      <c r="C90" s="86" t="str">
        <f t="shared" si="12"/>
        <v>JU -1</v>
      </c>
      <c r="D90" s="82">
        <f>'Day 1.2 Jurnal Umum'!D21</f>
        <v>2000000</v>
      </c>
      <c r="E90" s="87"/>
      <c r="F90" s="100">
        <f>D90-E90</f>
        <v>2000000</v>
      </c>
      <c r="G90" s="104"/>
    </row>
    <row r="91" spans="1:12" ht="14.25" customHeight="1" x14ac:dyDescent="0.2">
      <c r="A91" s="89"/>
      <c r="B91" s="430"/>
      <c r="C91" s="90"/>
      <c r="D91" s="87"/>
      <c r="E91" s="100"/>
      <c r="F91" s="82" t="str">
        <f t="shared" ref="F91:F93" si="13">IF(AND(D91="",E91=""),"",(F90+D91)-E91)</f>
        <v/>
      </c>
      <c r="G91" s="88"/>
      <c r="L91" s="96"/>
    </row>
    <row r="92" spans="1:12" ht="14.25" customHeight="1" x14ac:dyDescent="0.2">
      <c r="A92" s="89"/>
      <c r="B92" s="430"/>
      <c r="C92" s="90"/>
      <c r="D92" s="82"/>
      <c r="E92" s="99"/>
      <c r="F92" s="82" t="str">
        <f t="shared" si="13"/>
        <v/>
      </c>
      <c r="G92" s="88"/>
    </row>
    <row r="93" spans="1:12" ht="14.25" customHeight="1" x14ac:dyDescent="0.2">
      <c r="A93" s="91"/>
      <c r="B93" s="431"/>
      <c r="C93" s="92"/>
      <c r="D93" s="93"/>
      <c r="E93" s="99"/>
      <c r="F93" s="82" t="str">
        <f t="shared" si="13"/>
        <v/>
      </c>
      <c r="G93" s="94"/>
    </row>
    <row r="94" spans="1:12" ht="14.25" customHeight="1" x14ac:dyDescent="0.2">
      <c r="A94" s="62"/>
      <c r="B94" s="63"/>
      <c r="C94" s="84"/>
      <c r="D94" s="77"/>
      <c r="E94" s="66"/>
      <c r="F94" s="67"/>
      <c r="G94" s="68"/>
    </row>
    <row r="95" spans="1:12" ht="14.25" customHeight="1" x14ac:dyDescent="0.2">
      <c r="A95" s="62"/>
      <c r="B95" s="63"/>
      <c r="C95" s="84"/>
      <c r="D95" s="77"/>
      <c r="E95" s="66"/>
      <c r="F95" s="67"/>
      <c r="G95" s="68"/>
    </row>
    <row r="96" spans="1:12" ht="14.25" customHeight="1" x14ac:dyDescent="0.2">
      <c r="A96" s="62"/>
      <c r="B96" s="63"/>
      <c r="C96" s="84"/>
      <c r="D96" s="77"/>
      <c r="E96" s="66"/>
      <c r="F96" s="67"/>
      <c r="G96" s="68"/>
    </row>
    <row r="97" spans="1:7" ht="14.25" customHeight="1" x14ac:dyDescent="0.2">
      <c r="D97" s="31"/>
      <c r="E97" s="31"/>
    </row>
    <row r="98" spans="1:7" ht="14.25" customHeight="1" x14ac:dyDescent="0.2">
      <c r="A98" s="6" t="s">
        <v>41</v>
      </c>
      <c r="B98" s="442" t="str">
        <f>'Day 1.1 Informasi'!F13</f>
        <v>Pendapatan Usaha</v>
      </c>
      <c r="C98" s="443"/>
      <c r="D98" s="428"/>
      <c r="E98" s="32" t="s">
        <v>2</v>
      </c>
      <c r="F98" s="427">
        <f>'Day 1.1 Informasi'!E13</f>
        <v>401</v>
      </c>
      <c r="G98" s="428"/>
    </row>
    <row r="99" spans="1:7" ht="14.25" customHeight="1" x14ac:dyDescent="0.2">
      <c r="A99" s="436" t="s">
        <v>3</v>
      </c>
      <c r="B99" s="436" t="s">
        <v>4</v>
      </c>
      <c r="C99" s="436" t="s">
        <v>32</v>
      </c>
      <c r="D99" s="444" t="s">
        <v>33</v>
      </c>
      <c r="E99" s="444" t="s">
        <v>34</v>
      </c>
      <c r="F99" s="427" t="s">
        <v>42</v>
      </c>
      <c r="G99" s="428"/>
    </row>
    <row r="100" spans="1:7" ht="14.25" customHeight="1" x14ac:dyDescent="0.2">
      <c r="A100" s="430"/>
      <c r="B100" s="430"/>
      <c r="C100" s="430"/>
      <c r="D100" s="430"/>
      <c r="E100" s="430"/>
      <c r="F100" s="33" t="s">
        <v>43</v>
      </c>
      <c r="G100" s="33" t="s">
        <v>34</v>
      </c>
    </row>
    <row r="101" spans="1:7" ht="14.25" customHeight="1" x14ac:dyDescent="0.2">
      <c r="A101" s="85">
        <f>DATE(2023,1,8)</f>
        <v>44934</v>
      </c>
      <c r="B101" s="429" t="str">
        <f t="shared" ref="B101:C101" si="14">B90</f>
        <v>Postinng</v>
      </c>
      <c r="C101" s="86" t="str">
        <f t="shared" si="14"/>
        <v>JU -1</v>
      </c>
      <c r="D101" s="82"/>
      <c r="E101" s="82">
        <f>'Day 1.2 Jurnal Umum'!E19</f>
        <v>7500000</v>
      </c>
      <c r="F101" s="100"/>
      <c r="G101" s="82">
        <f>E101-D101</f>
        <v>7500000</v>
      </c>
    </row>
    <row r="102" spans="1:7" ht="14.25" customHeight="1" x14ac:dyDescent="0.2">
      <c r="A102" s="85">
        <f>DATE(2023,1,14)</f>
        <v>44940</v>
      </c>
      <c r="B102" s="430"/>
      <c r="C102" s="86" t="str">
        <f>C101</f>
        <v>JU -1</v>
      </c>
      <c r="D102" s="102"/>
      <c r="E102" s="102">
        <f>'Day 1.2 Jurnal Umum'!E25</f>
        <v>5000000</v>
      </c>
      <c r="F102" s="100"/>
      <c r="G102" s="102">
        <f t="shared" ref="G102:G104" si="15">IF(AND(D102="",E102=""),"",(G101+E102)-D102)</f>
        <v>12500000</v>
      </c>
    </row>
    <row r="103" spans="1:7" ht="14.25" customHeight="1" x14ac:dyDescent="0.2">
      <c r="A103" s="89"/>
      <c r="B103" s="430"/>
      <c r="C103" s="90"/>
      <c r="D103" s="100"/>
      <c r="E103" s="99"/>
      <c r="F103" s="95"/>
      <c r="G103" s="102" t="str">
        <f t="shared" si="15"/>
        <v/>
      </c>
    </row>
    <row r="104" spans="1:7" ht="14.25" customHeight="1" x14ac:dyDescent="0.2">
      <c r="A104" s="91"/>
      <c r="B104" s="431"/>
      <c r="C104" s="92"/>
      <c r="D104" s="101"/>
      <c r="E104" s="99"/>
      <c r="F104" s="94"/>
      <c r="G104" s="102" t="str">
        <f t="shared" si="15"/>
        <v/>
      </c>
    </row>
    <row r="105" spans="1:7" ht="14.25" customHeight="1" x14ac:dyDescent="0.2">
      <c r="A105" s="62"/>
      <c r="B105" s="63"/>
      <c r="C105" s="84"/>
      <c r="D105" s="65"/>
      <c r="E105" s="66"/>
      <c r="F105" s="68"/>
      <c r="G105" s="103"/>
    </row>
    <row r="106" spans="1:7" ht="14.25" customHeight="1" x14ac:dyDescent="0.2">
      <c r="A106" s="62"/>
      <c r="B106" s="63"/>
      <c r="C106" s="84"/>
      <c r="D106" s="65"/>
      <c r="E106" s="66"/>
      <c r="F106" s="68"/>
      <c r="G106" s="103"/>
    </row>
    <row r="107" spans="1:7" ht="14.25" customHeight="1" x14ac:dyDescent="0.2">
      <c r="A107" s="62"/>
      <c r="B107" s="63"/>
      <c r="C107" s="84"/>
      <c r="D107" s="65"/>
      <c r="E107" s="66"/>
      <c r="F107" s="68"/>
      <c r="G107" s="103"/>
    </row>
    <row r="108" spans="1:7" ht="14.25" customHeight="1" x14ac:dyDescent="0.2">
      <c r="D108" s="31"/>
      <c r="E108" s="31"/>
      <c r="G108" s="16"/>
    </row>
    <row r="109" spans="1:7" ht="14.25" customHeight="1" x14ac:dyDescent="0.2">
      <c r="A109" s="6" t="s">
        <v>41</v>
      </c>
      <c r="B109" s="442" t="str">
        <f>'Day 1.1 Informasi'!F14</f>
        <v>Beban Gaji</v>
      </c>
      <c r="C109" s="443"/>
      <c r="D109" s="428"/>
      <c r="E109" s="32" t="s">
        <v>2</v>
      </c>
      <c r="F109" s="427">
        <f>'Day 1.1 Informasi'!E14</f>
        <v>501</v>
      </c>
      <c r="G109" s="428"/>
    </row>
    <row r="110" spans="1:7" ht="14.25" customHeight="1" x14ac:dyDescent="0.2">
      <c r="A110" s="436" t="s">
        <v>3</v>
      </c>
      <c r="B110" s="436" t="s">
        <v>4</v>
      </c>
      <c r="C110" s="436" t="s">
        <v>32</v>
      </c>
      <c r="D110" s="444" t="s">
        <v>33</v>
      </c>
      <c r="E110" s="444" t="s">
        <v>34</v>
      </c>
      <c r="F110" s="427" t="s">
        <v>42</v>
      </c>
      <c r="G110" s="428"/>
    </row>
    <row r="111" spans="1:7" ht="14.25" customHeight="1" x14ac:dyDescent="0.2">
      <c r="A111" s="430"/>
      <c r="B111" s="430"/>
      <c r="C111" s="430"/>
      <c r="D111" s="430"/>
      <c r="E111" s="430"/>
      <c r="F111" s="33" t="s">
        <v>43</v>
      </c>
      <c r="G111" s="33" t="s">
        <v>34</v>
      </c>
    </row>
    <row r="112" spans="1:7" ht="14.25" customHeight="1" x14ac:dyDescent="0.2">
      <c r="A112" s="85">
        <f>DATE(2023,1,27)</f>
        <v>44953</v>
      </c>
      <c r="B112" s="429" t="str">
        <f>B101</f>
        <v>Postinng</v>
      </c>
      <c r="C112" s="86" t="str">
        <f>C102</f>
        <v>JU -1</v>
      </c>
      <c r="D112" s="82">
        <f>'Day 1.2 Jurnal Umum'!D30</f>
        <v>4500000</v>
      </c>
      <c r="E112" s="87"/>
      <c r="F112" s="82">
        <f>D112-E112</f>
        <v>4500000</v>
      </c>
      <c r="G112" s="88"/>
    </row>
    <row r="113" spans="1:7" ht="14.25" customHeight="1" x14ac:dyDescent="0.2">
      <c r="A113" s="89"/>
      <c r="B113" s="430"/>
      <c r="C113" s="90"/>
      <c r="D113" s="87"/>
      <c r="E113" s="82"/>
      <c r="F113" s="82" t="str">
        <f t="shared" ref="F113:F115" si="16">IF(AND(D113="",E113=""),"",(F112+D113)-E113)</f>
        <v/>
      </c>
      <c r="G113" s="88"/>
    </row>
    <row r="114" spans="1:7" ht="14.25" customHeight="1" x14ac:dyDescent="0.2">
      <c r="A114" s="89"/>
      <c r="B114" s="430"/>
      <c r="C114" s="90"/>
      <c r="D114" s="82"/>
      <c r="E114" s="87"/>
      <c r="F114" s="82" t="str">
        <f t="shared" si="16"/>
        <v/>
      </c>
      <c r="G114" s="88"/>
    </row>
    <row r="115" spans="1:7" ht="14.25" customHeight="1" x14ac:dyDescent="0.2">
      <c r="A115" s="91"/>
      <c r="B115" s="431"/>
      <c r="C115" s="92"/>
      <c r="D115" s="93"/>
      <c r="E115" s="87"/>
      <c r="F115" s="82" t="str">
        <f t="shared" si="16"/>
        <v/>
      </c>
      <c r="G115" s="94"/>
    </row>
    <row r="116" spans="1:7" ht="14.25" customHeight="1" x14ac:dyDescent="0.2">
      <c r="A116" s="62"/>
      <c r="B116" s="63"/>
      <c r="C116" s="84"/>
      <c r="D116" s="77"/>
      <c r="E116" s="78"/>
      <c r="F116" s="67"/>
      <c r="G116" s="68"/>
    </row>
    <row r="117" spans="1:7" ht="14.25" customHeight="1" x14ac:dyDescent="0.2">
      <c r="A117" s="62"/>
      <c r="B117" s="63"/>
      <c r="C117" s="84"/>
      <c r="D117" s="77"/>
      <c r="E117" s="78"/>
      <c r="F117" s="67"/>
      <c r="G117" s="68"/>
    </row>
    <row r="118" spans="1:7" ht="14.25" customHeight="1" x14ac:dyDescent="0.2">
      <c r="A118" s="62"/>
      <c r="B118" s="63"/>
      <c r="C118" s="84"/>
      <c r="D118" s="77"/>
      <c r="E118" s="78"/>
      <c r="F118" s="67"/>
      <c r="G118" s="68"/>
    </row>
    <row r="119" spans="1:7" ht="14.25" customHeight="1" x14ac:dyDescent="0.2">
      <c r="D119" s="31"/>
      <c r="E119" s="31"/>
    </row>
    <row r="120" spans="1:7" ht="14.25" customHeight="1" x14ac:dyDescent="0.2">
      <c r="A120" s="6" t="s">
        <v>41</v>
      </c>
      <c r="B120" s="442" t="str">
        <f>'Day 1.1 Informasi'!F15</f>
        <v>Beban Sewa</v>
      </c>
      <c r="C120" s="443"/>
      <c r="D120" s="428"/>
      <c r="E120" s="32" t="s">
        <v>2</v>
      </c>
      <c r="F120" s="427">
        <f>'Day 1.1 Informasi'!E15</f>
        <v>502</v>
      </c>
      <c r="G120" s="428"/>
    </row>
    <row r="121" spans="1:7" ht="14.25" customHeight="1" x14ac:dyDescent="0.2">
      <c r="A121" s="436" t="s">
        <v>3</v>
      </c>
      <c r="B121" s="436" t="s">
        <v>4</v>
      </c>
      <c r="C121" s="436" t="s">
        <v>32</v>
      </c>
      <c r="D121" s="444" t="s">
        <v>33</v>
      </c>
      <c r="E121" s="444" t="s">
        <v>34</v>
      </c>
      <c r="F121" s="427" t="s">
        <v>42</v>
      </c>
      <c r="G121" s="428"/>
    </row>
    <row r="122" spans="1:7" ht="14.25" customHeight="1" x14ac:dyDescent="0.2">
      <c r="A122" s="430"/>
      <c r="B122" s="430"/>
      <c r="C122" s="430"/>
      <c r="D122" s="430"/>
      <c r="E122" s="430"/>
      <c r="F122" s="33" t="s">
        <v>43</v>
      </c>
      <c r="G122" s="33" t="s">
        <v>34</v>
      </c>
    </row>
    <row r="123" spans="1:7" ht="14.25" customHeight="1" x14ac:dyDescent="0.2">
      <c r="A123" s="105"/>
      <c r="B123" s="9"/>
      <c r="C123" s="7"/>
      <c r="D123" s="106"/>
      <c r="E123" s="107"/>
      <c r="F123" s="108"/>
      <c r="G123" s="109"/>
    </row>
    <row r="124" spans="1:7" ht="14.25" customHeight="1" x14ac:dyDescent="0.2">
      <c r="A124" s="105"/>
      <c r="B124" s="9"/>
      <c r="C124" s="7"/>
      <c r="D124" s="107"/>
      <c r="E124" s="106"/>
      <c r="F124" s="108"/>
      <c r="G124" s="109"/>
    </row>
    <row r="125" spans="1:7" ht="14.25" customHeight="1" x14ac:dyDescent="0.2">
      <c r="D125" s="31"/>
      <c r="E125" s="31"/>
    </row>
    <row r="126" spans="1:7" ht="14.25" customHeight="1" x14ac:dyDescent="0.2">
      <c r="D126" s="31"/>
      <c r="E126" s="31"/>
    </row>
    <row r="127" spans="1:7" ht="14.25" customHeight="1" x14ac:dyDescent="0.2">
      <c r="D127" s="31"/>
      <c r="E127" s="31"/>
    </row>
    <row r="128" spans="1:7" ht="14.25" customHeight="1" x14ac:dyDescent="0.2">
      <c r="D128" s="31"/>
      <c r="E128" s="31"/>
    </row>
    <row r="129" spans="4:5" ht="14.25" customHeight="1" x14ac:dyDescent="0.2">
      <c r="D129" s="31"/>
      <c r="E129" s="31"/>
    </row>
    <row r="130" spans="4:5" ht="14.25" customHeight="1" x14ac:dyDescent="0.2">
      <c r="D130" s="31"/>
      <c r="E130" s="31"/>
    </row>
    <row r="131" spans="4:5" ht="14.25" customHeight="1" x14ac:dyDescent="0.2">
      <c r="D131" s="31"/>
      <c r="E131" s="31"/>
    </row>
    <row r="132" spans="4:5" ht="14.25" customHeight="1" x14ac:dyDescent="0.2">
      <c r="D132" s="31"/>
      <c r="E132" s="31"/>
    </row>
    <row r="133" spans="4:5" ht="14.25" customHeight="1" x14ac:dyDescent="0.2">
      <c r="D133" s="31"/>
      <c r="E133" s="31"/>
    </row>
    <row r="134" spans="4:5" ht="14.25" customHeight="1" x14ac:dyDescent="0.2">
      <c r="D134" s="31"/>
      <c r="E134" s="31"/>
    </row>
    <row r="135" spans="4:5" ht="14.25" customHeight="1" x14ac:dyDescent="0.2">
      <c r="D135" s="31"/>
      <c r="E135" s="31"/>
    </row>
    <row r="136" spans="4:5" ht="14.25" customHeight="1" x14ac:dyDescent="0.2">
      <c r="D136" s="31"/>
      <c r="E136" s="31"/>
    </row>
    <row r="137" spans="4:5" ht="14.25" customHeight="1" x14ac:dyDescent="0.2">
      <c r="D137" s="31"/>
      <c r="E137" s="31"/>
    </row>
    <row r="138" spans="4:5" ht="14.25" customHeight="1" x14ac:dyDescent="0.2">
      <c r="D138" s="31"/>
      <c r="E138" s="31"/>
    </row>
    <row r="139" spans="4:5" ht="14.25" customHeight="1" x14ac:dyDescent="0.2">
      <c r="D139" s="31"/>
      <c r="E139" s="31"/>
    </row>
    <row r="140" spans="4:5" ht="14.25" customHeight="1" x14ac:dyDescent="0.2">
      <c r="D140" s="31"/>
      <c r="E140" s="31"/>
    </row>
    <row r="141" spans="4:5" ht="14.25" customHeight="1" x14ac:dyDescent="0.2">
      <c r="D141" s="31"/>
      <c r="E141" s="31"/>
    </row>
    <row r="142" spans="4:5" ht="14.25" customHeight="1" x14ac:dyDescent="0.2">
      <c r="D142" s="31"/>
      <c r="E142" s="31"/>
    </row>
    <row r="143" spans="4:5" ht="14.25" customHeight="1" x14ac:dyDescent="0.2">
      <c r="D143" s="31"/>
      <c r="E143" s="31"/>
    </row>
    <row r="144" spans="4:5" ht="14.25" customHeight="1" x14ac:dyDescent="0.2">
      <c r="D144" s="31"/>
      <c r="E144" s="31"/>
    </row>
    <row r="145" spans="4:5" ht="14.25" customHeight="1" x14ac:dyDescent="0.2">
      <c r="D145" s="31"/>
      <c r="E145" s="31"/>
    </row>
    <row r="146" spans="4:5" ht="14.25" customHeight="1" x14ac:dyDescent="0.2">
      <c r="D146" s="31"/>
      <c r="E146" s="31"/>
    </row>
    <row r="147" spans="4:5" ht="14.25" customHeight="1" x14ac:dyDescent="0.2">
      <c r="D147" s="31"/>
      <c r="E147" s="31"/>
    </row>
    <row r="148" spans="4:5" ht="14.25" customHeight="1" x14ac:dyDescent="0.2">
      <c r="D148" s="31"/>
      <c r="E148" s="31"/>
    </row>
    <row r="149" spans="4:5" ht="14.25" customHeight="1" x14ac:dyDescent="0.2">
      <c r="D149" s="31"/>
      <c r="E149" s="31"/>
    </row>
    <row r="150" spans="4:5" ht="14.25" customHeight="1" x14ac:dyDescent="0.2">
      <c r="D150" s="31"/>
      <c r="E150" s="31"/>
    </row>
    <row r="151" spans="4:5" ht="14.25" customHeight="1" x14ac:dyDescent="0.2">
      <c r="D151" s="31"/>
      <c r="E151" s="31"/>
    </row>
    <row r="152" spans="4:5" ht="14.25" customHeight="1" x14ac:dyDescent="0.2">
      <c r="D152" s="31"/>
      <c r="E152" s="31"/>
    </row>
    <row r="153" spans="4:5" ht="14.25" customHeight="1" x14ac:dyDescent="0.2">
      <c r="D153" s="31"/>
      <c r="E153" s="31"/>
    </row>
    <row r="154" spans="4:5" ht="14.25" customHeight="1" x14ac:dyDescent="0.2">
      <c r="D154" s="31"/>
      <c r="E154" s="31"/>
    </row>
    <row r="155" spans="4:5" ht="14.25" customHeight="1" x14ac:dyDescent="0.2">
      <c r="D155" s="31"/>
      <c r="E155" s="31"/>
    </row>
    <row r="156" spans="4:5" ht="14.25" customHeight="1" x14ac:dyDescent="0.2">
      <c r="D156" s="31"/>
      <c r="E156" s="31"/>
    </row>
    <row r="157" spans="4:5" ht="14.25" customHeight="1" x14ac:dyDescent="0.2">
      <c r="D157" s="31"/>
      <c r="E157" s="31"/>
    </row>
    <row r="158" spans="4:5" ht="14.25" customHeight="1" x14ac:dyDescent="0.2">
      <c r="D158" s="31"/>
      <c r="E158" s="31"/>
    </row>
    <row r="159" spans="4:5" ht="14.25" customHeight="1" x14ac:dyDescent="0.2">
      <c r="D159" s="31"/>
      <c r="E159" s="31"/>
    </row>
    <row r="160" spans="4:5" ht="14.25" customHeight="1" x14ac:dyDescent="0.2">
      <c r="D160" s="31"/>
      <c r="E160" s="31"/>
    </row>
    <row r="161" spans="4:5" ht="14.25" customHeight="1" x14ac:dyDescent="0.2">
      <c r="D161" s="31"/>
      <c r="E161" s="31"/>
    </row>
    <row r="162" spans="4:5" ht="14.25" customHeight="1" x14ac:dyDescent="0.2">
      <c r="D162" s="31"/>
      <c r="E162" s="31"/>
    </row>
    <row r="163" spans="4:5" ht="14.25" customHeight="1" x14ac:dyDescent="0.2">
      <c r="D163" s="31"/>
      <c r="E163" s="31"/>
    </row>
    <row r="164" spans="4:5" ht="14.25" customHeight="1" x14ac:dyDescent="0.2">
      <c r="D164" s="31"/>
      <c r="E164" s="31"/>
    </row>
    <row r="165" spans="4:5" ht="14.25" customHeight="1" x14ac:dyDescent="0.2">
      <c r="D165" s="31"/>
      <c r="E165" s="31"/>
    </row>
    <row r="166" spans="4:5" ht="14.25" customHeight="1" x14ac:dyDescent="0.2">
      <c r="D166" s="31"/>
      <c r="E166" s="31"/>
    </row>
    <row r="167" spans="4:5" ht="14.25" customHeight="1" x14ac:dyDescent="0.2">
      <c r="D167" s="31"/>
      <c r="E167" s="31"/>
    </row>
    <row r="168" spans="4:5" ht="14.25" customHeight="1" x14ac:dyDescent="0.2">
      <c r="D168" s="31"/>
      <c r="E168" s="31"/>
    </row>
    <row r="169" spans="4:5" ht="14.25" customHeight="1" x14ac:dyDescent="0.2">
      <c r="D169" s="31"/>
      <c r="E169" s="31"/>
    </row>
    <row r="170" spans="4:5" ht="14.25" customHeight="1" x14ac:dyDescent="0.2">
      <c r="D170" s="31"/>
      <c r="E170" s="31"/>
    </row>
    <row r="171" spans="4:5" ht="14.25" customHeight="1" x14ac:dyDescent="0.2">
      <c r="D171" s="31"/>
      <c r="E171" s="31"/>
    </row>
    <row r="172" spans="4:5" ht="14.25" customHeight="1" x14ac:dyDescent="0.2">
      <c r="D172" s="31"/>
      <c r="E172" s="31"/>
    </row>
    <row r="173" spans="4:5" ht="14.25" customHeight="1" x14ac:dyDescent="0.2">
      <c r="D173" s="31"/>
      <c r="E173" s="31"/>
    </row>
    <row r="174" spans="4:5" ht="14.25" customHeight="1" x14ac:dyDescent="0.2">
      <c r="D174" s="31"/>
      <c r="E174" s="31"/>
    </row>
    <row r="175" spans="4:5" ht="14.25" customHeight="1" x14ac:dyDescent="0.2">
      <c r="D175" s="31"/>
      <c r="E175" s="31"/>
    </row>
    <row r="176" spans="4:5" ht="14.25" customHeight="1" x14ac:dyDescent="0.2">
      <c r="D176" s="31"/>
      <c r="E176" s="31"/>
    </row>
    <row r="177" spans="4:5" ht="14.25" customHeight="1" x14ac:dyDescent="0.2">
      <c r="D177" s="31"/>
      <c r="E177" s="31"/>
    </row>
    <row r="178" spans="4:5" ht="14.25" customHeight="1" x14ac:dyDescent="0.2">
      <c r="D178" s="31"/>
      <c r="E178" s="31"/>
    </row>
    <row r="179" spans="4:5" ht="14.25" customHeight="1" x14ac:dyDescent="0.2">
      <c r="D179" s="31"/>
      <c r="E179" s="31"/>
    </row>
    <row r="180" spans="4:5" ht="14.25" customHeight="1" x14ac:dyDescent="0.2">
      <c r="D180" s="31"/>
      <c r="E180" s="31"/>
    </row>
    <row r="181" spans="4:5" ht="14.25" customHeight="1" x14ac:dyDescent="0.2">
      <c r="D181" s="31"/>
      <c r="E181" s="31"/>
    </row>
    <row r="182" spans="4:5" ht="14.25" customHeight="1" x14ac:dyDescent="0.2">
      <c r="D182" s="31"/>
      <c r="E182" s="31"/>
    </row>
    <row r="183" spans="4:5" ht="14.25" customHeight="1" x14ac:dyDescent="0.2">
      <c r="D183" s="31"/>
      <c r="E183" s="31"/>
    </row>
    <row r="184" spans="4:5" ht="14.25" customHeight="1" x14ac:dyDescent="0.2">
      <c r="D184" s="31"/>
      <c r="E184" s="31"/>
    </row>
    <row r="185" spans="4:5" ht="14.25" customHeight="1" x14ac:dyDescent="0.2">
      <c r="D185" s="31"/>
      <c r="E185" s="31"/>
    </row>
    <row r="186" spans="4:5" ht="14.25" customHeight="1" x14ac:dyDescent="0.2">
      <c r="D186" s="31"/>
      <c r="E186" s="31"/>
    </row>
    <row r="187" spans="4:5" ht="14.25" customHeight="1" x14ac:dyDescent="0.2">
      <c r="D187" s="31"/>
      <c r="E187" s="31"/>
    </row>
    <row r="188" spans="4:5" ht="14.25" customHeight="1" x14ac:dyDescent="0.2">
      <c r="D188" s="31"/>
      <c r="E188" s="31"/>
    </row>
    <row r="189" spans="4:5" ht="14.25" customHeight="1" x14ac:dyDescent="0.2">
      <c r="D189" s="31"/>
      <c r="E189" s="31"/>
    </row>
    <row r="190" spans="4:5" ht="14.25" customHeight="1" x14ac:dyDescent="0.2">
      <c r="D190" s="31"/>
      <c r="E190" s="31"/>
    </row>
    <row r="191" spans="4:5" ht="14.25" customHeight="1" x14ac:dyDescent="0.2">
      <c r="D191" s="31"/>
      <c r="E191" s="31"/>
    </row>
    <row r="192" spans="4:5" ht="14.25" customHeight="1" x14ac:dyDescent="0.2">
      <c r="D192" s="31"/>
      <c r="E192" s="31"/>
    </row>
    <row r="193" spans="4:5" ht="14.25" customHeight="1" x14ac:dyDescent="0.2">
      <c r="D193" s="31"/>
      <c r="E193" s="31"/>
    </row>
    <row r="194" spans="4:5" ht="14.25" customHeight="1" x14ac:dyDescent="0.2">
      <c r="D194" s="31"/>
      <c r="E194" s="31"/>
    </row>
    <row r="195" spans="4:5" ht="14.25" customHeight="1" x14ac:dyDescent="0.2">
      <c r="D195" s="31"/>
      <c r="E195" s="31"/>
    </row>
    <row r="196" spans="4:5" ht="14.25" customHeight="1" x14ac:dyDescent="0.2">
      <c r="D196" s="31"/>
      <c r="E196" s="31"/>
    </row>
    <row r="197" spans="4:5" ht="14.25" customHeight="1" x14ac:dyDescent="0.2">
      <c r="D197" s="31"/>
      <c r="E197" s="31"/>
    </row>
    <row r="198" spans="4:5" ht="14.25" customHeight="1" x14ac:dyDescent="0.2">
      <c r="D198" s="31"/>
      <c r="E198" s="31"/>
    </row>
    <row r="199" spans="4:5" ht="14.25" customHeight="1" x14ac:dyDescent="0.2">
      <c r="D199" s="31"/>
      <c r="E199" s="31"/>
    </row>
    <row r="200" spans="4:5" ht="14.25" customHeight="1" x14ac:dyDescent="0.2">
      <c r="D200" s="31"/>
      <c r="E200" s="31"/>
    </row>
    <row r="201" spans="4:5" ht="14.25" customHeight="1" x14ac:dyDescent="0.2">
      <c r="D201" s="31"/>
      <c r="E201" s="31"/>
    </row>
    <row r="202" spans="4:5" ht="14.25" customHeight="1" x14ac:dyDescent="0.2">
      <c r="D202" s="31"/>
      <c r="E202" s="31"/>
    </row>
    <row r="203" spans="4:5" ht="14.25" customHeight="1" x14ac:dyDescent="0.2">
      <c r="D203" s="31"/>
      <c r="E203" s="31"/>
    </row>
    <row r="204" spans="4:5" ht="14.25" customHeight="1" x14ac:dyDescent="0.2">
      <c r="D204" s="31"/>
      <c r="E204" s="31"/>
    </row>
    <row r="205" spans="4:5" ht="14.25" customHeight="1" x14ac:dyDescent="0.2">
      <c r="D205" s="31"/>
      <c r="E205" s="31"/>
    </row>
    <row r="206" spans="4:5" ht="14.25" customHeight="1" x14ac:dyDescent="0.2">
      <c r="D206" s="31"/>
      <c r="E206" s="31"/>
    </row>
    <row r="207" spans="4:5" ht="14.25" customHeight="1" x14ac:dyDescent="0.2">
      <c r="D207" s="31"/>
      <c r="E207" s="31"/>
    </row>
    <row r="208" spans="4:5" ht="14.25" customHeight="1" x14ac:dyDescent="0.2">
      <c r="D208" s="31"/>
      <c r="E208" s="31"/>
    </row>
    <row r="209" spans="4:5" ht="14.25" customHeight="1" x14ac:dyDescent="0.2">
      <c r="D209" s="31"/>
      <c r="E209" s="31"/>
    </row>
    <row r="210" spans="4:5" ht="14.25" customHeight="1" x14ac:dyDescent="0.2">
      <c r="D210" s="31"/>
      <c r="E210" s="31"/>
    </row>
    <row r="211" spans="4:5" ht="14.25" customHeight="1" x14ac:dyDescent="0.2">
      <c r="D211" s="31"/>
      <c r="E211" s="31"/>
    </row>
    <row r="212" spans="4:5" ht="14.25" customHeight="1" x14ac:dyDescent="0.2">
      <c r="D212" s="31"/>
      <c r="E212" s="31"/>
    </row>
    <row r="213" spans="4:5" ht="14.25" customHeight="1" x14ac:dyDescent="0.2">
      <c r="D213" s="31"/>
      <c r="E213" s="31"/>
    </row>
    <row r="214" spans="4:5" ht="14.25" customHeight="1" x14ac:dyDescent="0.2">
      <c r="D214" s="31"/>
      <c r="E214" s="31"/>
    </row>
    <row r="215" spans="4:5" ht="14.25" customHeight="1" x14ac:dyDescent="0.2">
      <c r="D215" s="31"/>
      <c r="E215" s="31"/>
    </row>
    <row r="216" spans="4:5" ht="14.25" customHeight="1" x14ac:dyDescent="0.2">
      <c r="D216" s="31"/>
      <c r="E216" s="31"/>
    </row>
    <row r="217" spans="4:5" ht="14.25" customHeight="1" x14ac:dyDescent="0.2">
      <c r="D217" s="31"/>
      <c r="E217" s="31"/>
    </row>
    <row r="218" spans="4:5" ht="14.25" customHeight="1" x14ac:dyDescent="0.2">
      <c r="D218" s="31"/>
      <c r="E218" s="31"/>
    </row>
    <row r="219" spans="4:5" ht="14.25" customHeight="1" x14ac:dyDescent="0.2">
      <c r="D219" s="31"/>
      <c r="E219" s="31"/>
    </row>
    <row r="220" spans="4:5" ht="14.25" customHeight="1" x14ac:dyDescent="0.2">
      <c r="D220" s="31"/>
      <c r="E220" s="31"/>
    </row>
    <row r="221" spans="4:5" ht="14.25" customHeight="1" x14ac:dyDescent="0.2">
      <c r="D221" s="31"/>
      <c r="E221" s="31"/>
    </row>
    <row r="222" spans="4:5" ht="14.25" customHeight="1" x14ac:dyDescent="0.2">
      <c r="D222" s="31"/>
      <c r="E222" s="31"/>
    </row>
    <row r="223" spans="4:5" ht="14.25" customHeight="1" x14ac:dyDescent="0.2">
      <c r="D223" s="31"/>
      <c r="E223" s="31"/>
    </row>
    <row r="224" spans="4:5" ht="14.25" customHeight="1" x14ac:dyDescent="0.2">
      <c r="D224" s="31"/>
      <c r="E224" s="31"/>
    </row>
    <row r="225" spans="4:5" ht="14.25" customHeight="1" x14ac:dyDescent="0.2">
      <c r="D225" s="31"/>
      <c r="E225" s="31"/>
    </row>
    <row r="226" spans="4:5" ht="14.25" customHeight="1" x14ac:dyDescent="0.2">
      <c r="D226" s="31"/>
      <c r="E226" s="31"/>
    </row>
    <row r="227" spans="4:5" ht="14.25" customHeight="1" x14ac:dyDescent="0.2">
      <c r="D227" s="31"/>
      <c r="E227" s="31"/>
    </row>
    <row r="228" spans="4:5" ht="14.25" customHeight="1" x14ac:dyDescent="0.2">
      <c r="D228" s="31"/>
      <c r="E228" s="31"/>
    </row>
    <row r="229" spans="4:5" ht="14.25" customHeight="1" x14ac:dyDescent="0.2">
      <c r="D229" s="31"/>
      <c r="E229" s="31"/>
    </row>
    <row r="230" spans="4:5" ht="14.25" customHeight="1" x14ac:dyDescent="0.2">
      <c r="D230" s="31"/>
      <c r="E230" s="31"/>
    </row>
    <row r="231" spans="4:5" ht="14.25" customHeight="1" x14ac:dyDescent="0.2">
      <c r="D231" s="31"/>
      <c r="E231" s="31"/>
    </row>
    <row r="232" spans="4:5" ht="14.25" customHeight="1" x14ac:dyDescent="0.2">
      <c r="D232" s="31"/>
      <c r="E232" s="31"/>
    </row>
    <row r="233" spans="4:5" ht="14.25" customHeight="1" x14ac:dyDescent="0.2">
      <c r="D233" s="31"/>
      <c r="E233" s="31"/>
    </row>
    <row r="234" spans="4:5" ht="14.25" customHeight="1" x14ac:dyDescent="0.2">
      <c r="D234" s="31"/>
      <c r="E234" s="31"/>
    </row>
    <row r="235" spans="4:5" ht="14.25" customHeight="1" x14ac:dyDescent="0.2">
      <c r="D235" s="31"/>
      <c r="E235" s="31"/>
    </row>
    <row r="236" spans="4:5" ht="14.25" customHeight="1" x14ac:dyDescent="0.2">
      <c r="D236" s="31"/>
      <c r="E236" s="31"/>
    </row>
    <row r="237" spans="4:5" ht="14.25" customHeight="1" x14ac:dyDescent="0.2">
      <c r="D237" s="31"/>
      <c r="E237" s="31"/>
    </row>
    <row r="238" spans="4:5" ht="14.25" customHeight="1" x14ac:dyDescent="0.2">
      <c r="D238" s="31"/>
      <c r="E238" s="31"/>
    </row>
    <row r="239" spans="4:5" ht="14.25" customHeight="1" x14ac:dyDescent="0.2">
      <c r="D239" s="31"/>
      <c r="E239" s="31"/>
    </row>
    <row r="240" spans="4:5" ht="14.25" customHeight="1" x14ac:dyDescent="0.2">
      <c r="D240" s="31"/>
      <c r="E240" s="31"/>
    </row>
    <row r="241" spans="4:5" ht="14.25" customHeight="1" x14ac:dyDescent="0.2">
      <c r="D241" s="31"/>
      <c r="E241" s="31"/>
    </row>
    <row r="242" spans="4:5" ht="14.25" customHeight="1" x14ac:dyDescent="0.2">
      <c r="D242" s="31"/>
      <c r="E242" s="31"/>
    </row>
    <row r="243" spans="4:5" ht="14.25" customHeight="1" x14ac:dyDescent="0.2">
      <c r="D243" s="31"/>
      <c r="E243" s="31"/>
    </row>
    <row r="244" spans="4:5" ht="14.25" customHeight="1" x14ac:dyDescent="0.2">
      <c r="D244" s="31"/>
      <c r="E244" s="31"/>
    </row>
    <row r="245" spans="4:5" ht="14.25" customHeight="1" x14ac:dyDescent="0.2">
      <c r="D245" s="31"/>
      <c r="E245" s="31"/>
    </row>
    <row r="246" spans="4:5" ht="14.25" customHeight="1" x14ac:dyDescent="0.2">
      <c r="D246" s="31"/>
      <c r="E246" s="31"/>
    </row>
    <row r="247" spans="4:5" ht="14.25" customHeight="1" x14ac:dyDescent="0.2">
      <c r="D247" s="31"/>
      <c r="E247" s="31"/>
    </row>
    <row r="248" spans="4:5" ht="14.25" customHeight="1" x14ac:dyDescent="0.2">
      <c r="D248" s="31"/>
      <c r="E248" s="31"/>
    </row>
    <row r="249" spans="4:5" ht="14.25" customHeight="1" x14ac:dyDescent="0.2">
      <c r="D249" s="31"/>
      <c r="E249" s="31"/>
    </row>
    <row r="250" spans="4:5" ht="14.25" customHeight="1" x14ac:dyDescent="0.2">
      <c r="D250" s="31"/>
      <c r="E250" s="31"/>
    </row>
    <row r="251" spans="4:5" ht="14.25" customHeight="1" x14ac:dyDescent="0.2">
      <c r="D251" s="31"/>
      <c r="E251" s="31"/>
    </row>
    <row r="252" spans="4:5" ht="14.25" customHeight="1" x14ac:dyDescent="0.2">
      <c r="D252" s="31"/>
      <c r="E252" s="31"/>
    </row>
    <row r="253" spans="4:5" ht="14.25" customHeight="1" x14ac:dyDescent="0.2">
      <c r="D253" s="31"/>
      <c r="E253" s="31"/>
    </row>
    <row r="254" spans="4:5" ht="14.25" customHeight="1" x14ac:dyDescent="0.2">
      <c r="D254" s="31"/>
      <c r="E254" s="31"/>
    </row>
    <row r="255" spans="4:5" ht="14.25" customHeight="1" x14ac:dyDescent="0.2">
      <c r="D255" s="31"/>
      <c r="E255" s="31"/>
    </row>
    <row r="256" spans="4:5" ht="14.25" customHeight="1" x14ac:dyDescent="0.2">
      <c r="D256" s="31"/>
      <c r="E256" s="31"/>
    </row>
    <row r="257" spans="4:5" ht="14.25" customHeight="1" x14ac:dyDescent="0.2">
      <c r="D257" s="31"/>
      <c r="E257" s="31"/>
    </row>
    <row r="258" spans="4:5" ht="14.25" customHeight="1" x14ac:dyDescent="0.2">
      <c r="D258" s="31"/>
      <c r="E258" s="31"/>
    </row>
    <row r="259" spans="4:5" ht="14.25" customHeight="1" x14ac:dyDescent="0.2">
      <c r="D259" s="31"/>
      <c r="E259" s="31"/>
    </row>
    <row r="260" spans="4:5" ht="14.25" customHeight="1" x14ac:dyDescent="0.2">
      <c r="D260" s="31"/>
      <c r="E260" s="31"/>
    </row>
    <row r="261" spans="4:5" ht="14.25" customHeight="1" x14ac:dyDescent="0.2">
      <c r="D261" s="31"/>
      <c r="E261" s="31"/>
    </row>
    <row r="262" spans="4:5" ht="14.25" customHeight="1" x14ac:dyDescent="0.2">
      <c r="D262" s="31"/>
      <c r="E262" s="31"/>
    </row>
    <row r="263" spans="4:5" ht="14.25" customHeight="1" x14ac:dyDescent="0.2">
      <c r="D263" s="31"/>
      <c r="E263" s="31"/>
    </row>
    <row r="264" spans="4:5" ht="14.25" customHeight="1" x14ac:dyDescent="0.2">
      <c r="D264" s="31"/>
      <c r="E264" s="31"/>
    </row>
    <row r="265" spans="4:5" ht="14.25" customHeight="1" x14ac:dyDescent="0.2">
      <c r="D265" s="31"/>
      <c r="E265" s="31"/>
    </row>
    <row r="266" spans="4:5" ht="14.25" customHeight="1" x14ac:dyDescent="0.2">
      <c r="D266" s="31"/>
      <c r="E266" s="31"/>
    </row>
    <row r="267" spans="4:5" ht="14.25" customHeight="1" x14ac:dyDescent="0.2">
      <c r="D267" s="31"/>
      <c r="E267" s="31"/>
    </row>
    <row r="268" spans="4:5" ht="14.25" customHeight="1" x14ac:dyDescent="0.2">
      <c r="D268" s="31"/>
      <c r="E268" s="31"/>
    </row>
    <row r="269" spans="4:5" ht="14.25" customHeight="1" x14ac:dyDescent="0.2">
      <c r="D269" s="31"/>
      <c r="E269" s="31"/>
    </row>
    <row r="270" spans="4:5" ht="14.25" customHeight="1" x14ac:dyDescent="0.2">
      <c r="D270" s="31"/>
      <c r="E270" s="31"/>
    </row>
    <row r="271" spans="4:5" ht="14.25" customHeight="1" x14ac:dyDescent="0.2">
      <c r="D271" s="31"/>
      <c r="E271" s="31"/>
    </row>
    <row r="272" spans="4:5" ht="14.25" customHeight="1" x14ac:dyDescent="0.2">
      <c r="D272" s="31"/>
      <c r="E272" s="31"/>
    </row>
    <row r="273" spans="4:5" ht="14.25" customHeight="1" x14ac:dyDescent="0.2">
      <c r="D273" s="31"/>
      <c r="E273" s="31"/>
    </row>
    <row r="274" spans="4:5" ht="14.25" customHeight="1" x14ac:dyDescent="0.2">
      <c r="D274" s="31"/>
      <c r="E274" s="31"/>
    </row>
    <row r="275" spans="4:5" ht="14.25" customHeight="1" x14ac:dyDescent="0.2">
      <c r="D275" s="31"/>
      <c r="E275" s="31"/>
    </row>
    <row r="276" spans="4:5" ht="14.25" customHeight="1" x14ac:dyDescent="0.2">
      <c r="D276" s="31"/>
      <c r="E276" s="31"/>
    </row>
    <row r="277" spans="4:5" ht="14.25" customHeight="1" x14ac:dyDescent="0.2">
      <c r="D277" s="31"/>
      <c r="E277" s="31"/>
    </row>
    <row r="278" spans="4:5" ht="14.25" customHeight="1" x14ac:dyDescent="0.2">
      <c r="D278" s="31"/>
      <c r="E278" s="31"/>
    </row>
    <row r="279" spans="4:5" ht="14.25" customHeight="1" x14ac:dyDescent="0.2">
      <c r="D279" s="31"/>
      <c r="E279" s="31"/>
    </row>
    <row r="280" spans="4:5" ht="14.25" customHeight="1" x14ac:dyDescent="0.2">
      <c r="D280" s="31"/>
      <c r="E280" s="31"/>
    </row>
    <row r="281" spans="4:5" ht="14.25" customHeight="1" x14ac:dyDescent="0.2">
      <c r="D281" s="31"/>
      <c r="E281" s="31"/>
    </row>
    <row r="282" spans="4:5" ht="14.25" customHeight="1" x14ac:dyDescent="0.2">
      <c r="D282" s="31"/>
      <c r="E282" s="31"/>
    </row>
    <row r="283" spans="4:5" ht="14.25" customHeight="1" x14ac:dyDescent="0.2">
      <c r="D283" s="31"/>
      <c r="E283" s="31"/>
    </row>
    <row r="284" spans="4:5" ht="14.25" customHeight="1" x14ac:dyDescent="0.2">
      <c r="D284" s="31"/>
      <c r="E284" s="31"/>
    </row>
    <row r="285" spans="4:5" ht="14.25" customHeight="1" x14ac:dyDescent="0.2">
      <c r="D285" s="31"/>
      <c r="E285" s="31"/>
    </row>
    <row r="286" spans="4:5" ht="14.25" customHeight="1" x14ac:dyDescent="0.2">
      <c r="D286" s="31"/>
      <c r="E286" s="31"/>
    </row>
    <row r="287" spans="4:5" ht="14.25" customHeight="1" x14ac:dyDescent="0.2">
      <c r="D287" s="31"/>
      <c r="E287" s="31"/>
    </row>
    <row r="288" spans="4:5" ht="14.25" customHeight="1" x14ac:dyDescent="0.2">
      <c r="D288" s="31"/>
      <c r="E288" s="31"/>
    </row>
    <row r="289" spans="4:5" ht="14.25" customHeight="1" x14ac:dyDescent="0.2">
      <c r="D289" s="31"/>
      <c r="E289" s="31"/>
    </row>
    <row r="290" spans="4:5" ht="14.25" customHeight="1" x14ac:dyDescent="0.2">
      <c r="D290" s="31"/>
      <c r="E290" s="31"/>
    </row>
    <row r="291" spans="4:5" ht="14.25" customHeight="1" x14ac:dyDescent="0.2">
      <c r="D291" s="31"/>
      <c r="E291" s="31"/>
    </row>
    <row r="292" spans="4:5" ht="14.25" customHeight="1" x14ac:dyDescent="0.2">
      <c r="D292" s="31"/>
      <c r="E292" s="31"/>
    </row>
    <row r="293" spans="4:5" ht="14.25" customHeight="1" x14ac:dyDescent="0.2">
      <c r="D293" s="31"/>
      <c r="E293" s="31"/>
    </row>
    <row r="294" spans="4:5" ht="14.25" customHeight="1" x14ac:dyDescent="0.2">
      <c r="D294" s="31"/>
      <c r="E294" s="31"/>
    </row>
    <row r="295" spans="4:5" ht="14.25" customHeight="1" x14ac:dyDescent="0.2">
      <c r="D295" s="31"/>
      <c r="E295" s="31"/>
    </row>
    <row r="296" spans="4:5" ht="14.25" customHeight="1" x14ac:dyDescent="0.2">
      <c r="D296" s="31"/>
      <c r="E296" s="31"/>
    </row>
    <row r="297" spans="4:5" ht="14.25" customHeight="1" x14ac:dyDescent="0.2">
      <c r="D297" s="31"/>
      <c r="E297" s="31"/>
    </row>
    <row r="298" spans="4:5" ht="14.25" customHeight="1" x14ac:dyDescent="0.2">
      <c r="D298" s="31"/>
      <c r="E298" s="31"/>
    </row>
    <row r="299" spans="4:5" ht="14.25" customHeight="1" x14ac:dyDescent="0.2">
      <c r="D299" s="31"/>
      <c r="E299" s="31"/>
    </row>
    <row r="300" spans="4:5" ht="14.25" customHeight="1" x14ac:dyDescent="0.2">
      <c r="D300" s="31"/>
      <c r="E300" s="31"/>
    </row>
    <row r="301" spans="4:5" ht="14.25" customHeight="1" x14ac:dyDescent="0.2">
      <c r="D301" s="31"/>
      <c r="E301" s="31"/>
    </row>
    <row r="302" spans="4:5" ht="14.25" customHeight="1" x14ac:dyDescent="0.2">
      <c r="D302" s="31"/>
      <c r="E302" s="31"/>
    </row>
    <row r="303" spans="4:5" ht="14.25" customHeight="1" x14ac:dyDescent="0.2">
      <c r="D303" s="31"/>
      <c r="E303" s="31"/>
    </row>
    <row r="304" spans="4:5" ht="14.25" customHeight="1" x14ac:dyDescent="0.2">
      <c r="D304" s="31"/>
      <c r="E304" s="31"/>
    </row>
    <row r="305" spans="4:5" ht="14.25" customHeight="1" x14ac:dyDescent="0.2">
      <c r="D305" s="31"/>
      <c r="E305" s="31"/>
    </row>
    <row r="306" spans="4:5" ht="14.25" customHeight="1" x14ac:dyDescent="0.2">
      <c r="D306" s="31"/>
      <c r="E306" s="31"/>
    </row>
    <row r="307" spans="4:5" ht="14.25" customHeight="1" x14ac:dyDescent="0.2">
      <c r="D307" s="31"/>
      <c r="E307" s="31"/>
    </row>
    <row r="308" spans="4:5" ht="14.25" customHeight="1" x14ac:dyDescent="0.2">
      <c r="D308" s="31"/>
      <c r="E308" s="31"/>
    </row>
    <row r="309" spans="4:5" ht="14.25" customHeight="1" x14ac:dyDescent="0.2">
      <c r="D309" s="31"/>
      <c r="E309" s="31"/>
    </row>
    <row r="310" spans="4:5" ht="14.25" customHeight="1" x14ac:dyDescent="0.2">
      <c r="D310" s="31"/>
      <c r="E310" s="31"/>
    </row>
    <row r="311" spans="4:5" ht="14.25" customHeight="1" x14ac:dyDescent="0.2">
      <c r="D311" s="31"/>
      <c r="E311" s="31"/>
    </row>
    <row r="312" spans="4:5" ht="14.25" customHeight="1" x14ac:dyDescent="0.2">
      <c r="D312" s="31"/>
      <c r="E312" s="31"/>
    </row>
    <row r="313" spans="4:5" ht="14.25" customHeight="1" x14ac:dyDescent="0.2">
      <c r="D313" s="31"/>
      <c r="E313" s="31"/>
    </row>
    <row r="314" spans="4:5" ht="14.25" customHeight="1" x14ac:dyDescent="0.2">
      <c r="D314" s="31"/>
      <c r="E314" s="31"/>
    </row>
    <row r="315" spans="4:5" ht="14.25" customHeight="1" x14ac:dyDescent="0.2">
      <c r="D315" s="31"/>
      <c r="E315" s="31"/>
    </row>
    <row r="316" spans="4:5" ht="14.25" customHeight="1" x14ac:dyDescent="0.2">
      <c r="D316" s="31"/>
      <c r="E316" s="31"/>
    </row>
    <row r="317" spans="4:5" ht="14.25" customHeight="1" x14ac:dyDescent="0.2">
      <c r="D317" s="31"/>
      <c r="E317" s="31"/>
    </row>
    <row r="318" spans="4:5" ht="14.25" customHeight="1" x14ac:dyDescent="0.2">
      <c r="D318" s="31"/>
      <c r="E318" s="31"/>
    </row>
    <row r="319" spans="4:5" ht="14.25" customHeight="1" x14ac:dyDescent="0.2">
      <c r="D319" s="31"/>
      <c r="E319" s="31"/>
    </row>
    <row r="320" spans="4:5" ht="14.25" customHeight="1" x14ac:dyDescent="0.2">
      <c r="D320" s="31"/>
      <c r="E320" s="31"/>
    </row>
    <row r="321" spans="4:5" ht="14.25" customHeight="1" x14ac:dyDescent="0.2">
      <c r="D321" s="31"/>
      <c r="E321" s="31"/>
    </row>
    <row r="322" spans="4:5" ht="14.25" customHeight="1" x14ac:dyDescent="0.2">
      <c r="D322" s="31"/>
      <c r="E322" s="31"/>
    </row>
  </sheetData>
  <mergeCells count="100">
    <mergeCell ref="C88:C89"/>
    <mergeCell ref="D88:D89"/>
    <mergeCell ref="B90:B93"/>
    <mergeCell ref="B79:B82"/>
    <mergeCell ref="B98:D98"/>
    <mergeCell ref="B99:B100"/>
    <mergeCell ref="C99:C100"/>
    <mergeCell ref="D99:D100"/>
    <mergeCell ref="E99:E100"/>
    <mergeCell ref="B109:D109"/>
    <mergeCell ref="F43:G43"/>
    <mergeCell ref="F44:G44"/>
    <mergeCell ref="A33:A34"/>
    <mergeCell ref="A22:A23"/>
    <mergeCell ref="B22:B23"/>
    <mergeCell ref="B32:D32"/>
    <mergeCell ref="B24:B28"/>
    <mergeCell ref="F32:G32"/>
    <mergeCell ref="A44:A45"/>
    <mergeCell ref="E44:E45"/>
    <mergeCell ref="A55:A56"/>
    <mergeCell ref="B57:B60"/>
    <mergeCell ref="B65:D65"/>
    <mergeCell ref="B87:D87"/>
    <mergeCell ref="B88:B89"/>
    <mergeCell ref="F4:G4"/>
    <mergeCell ref="F5:G5"/>
    <mergeCell ref="C22:C23"/>
    <mergeCell ref="D5:D6"/>
    <mergeCell ref="E5:E6"/>
    <mergeCell ref="D22:D23"/>
    <mergeCell ref="B21:D21"/>
    <mergeCell ref="B7:B18"/>
    <mergeCell ref="A1:G1"/>
    <mergeCell ref="A2:G2"/>
    <mergeCell ref="A5:A6"/>
    <mergeCell ref="A110:A111"/>
    <mergeCell ref="D110:D111"/>
    <mergeCell ref="B101:B104"/>
    <mergeCell ref="A99:A100"/>
    <mergeCell ref="B5:B6"/>
    <mergeCell ref="B4:D4"/>
    <mergeCell ref="C5:C6"/>
    <mergeCell ref="A77:A78"/>
    <mergeCell ref="B110:B111"/>
    <mergeCell ref="C110:C111"/>
    <mergeCell ref="A88:A89"/>
    <mergeCell ref="A66:A67"/>
    <mergeCell ref="A121:A122"/>
    <mergeCell ref="B121:B122"/>
    <mergeCell ref="C121:C122"/>
    <mergeCell ref="D121:D122"/>
    <mergeCell ref="B120:D120"/>
    <mergeCell ref="B112:B115"/>
    <mergeCell ref="F66:G66"/>
    <mergeCell ref="F54:G54"/>
    <mergeCell ref="F22:G22"/>
    <mergeCell ref="F21:G21"/>
    <mergeCell ref="F98:G98"/>
    <mergeCell ref="F99:G99"/>
    <mergeCell ref="F88:G88"/>
    <mergeCell ref="F109:G109"/>
    <mergeCell ref="F87:G87"/>
    <mergeCell ref="F33:G33"/>
    <mergeCell ref="D33:D34"/>
    <mergeCell ref="E33:E34"/>
    <mergeCell ref="F76:G76"/>
    <mergeCell ref="F77:G77"/>
    <mergeCell ref="F110:G110"/>
    <mergeCell ref="F121:G121"/>
    <mergeCell ref="E121:E122"/>
    <mergeCell ref="F120:G120"/>
    <mergeCell ref="E110:E111"/>
    <mergeCell ref="E22:E23"/>
    <mergeCell ref="E55:E56"/>
    <mergeCell ref="E66:E67"/>
    <mergeCell ref="F55:G55"/>
    <mergeCell ref="F65:G65"/>
    <mergeCell ref="E77:E78"/>
    <mergeCell ref="E88:E89"/>
    <mergeCell ref="B76:D76"/>
    <mergeCell ref="D77:D78"/>
    <mergeCell ref="C55:C56"/>
    <mergeCell ref="B54:D54"/>
    <mergeCell ref="B55:B56"/>
    <mergeCell ref="D55:D56"/>
    <mergeCell ref="B66:B67"/>
    <mergeCell ref="B68:B71"/>
    <mergeCell ref="D66:D67"/>
    <mergeCell ref="C66:C67"/>
    <mergeCell ref="B77:B78"/>
    <mergeCell ref="C77:C78"/>
    <mergeCell ref="B44:B45"/>
    <mergeCell ref="B46:B50"/>
    <mergeCell ref="C44:C45"/>
    <mergeCell ref="B33:B34"/>
    <mergeCell ref="C33:C34"/>
    <mergeCell ref="B35:B39"/>
    <mergeCell ref="B43:D43"/>
    <mergeCell ref="D44:D4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20"/>
  <sheetViews>
    <sheetView workbookViewId="0"/>
  </sheetViews>
  <sheetFormatPr defaultColWidth="14.390625" defaultRowHeight="15" customHeight="1" x14ac:dyDescent="0.2"/>
  <cols>
    <col min="1" max="1" width="14.390625" customWidth="1"/>
    <col min="2" max="2" width="36.453125" customWidth="1"/>
    <col min="3" max="6" width="14.390625" customWidth="1"/>
    <col min="7" max="7" width="11.8359375" customWidth="1"/>
    <col min="8" max="8" width="6.9921875" customWidth="1"/>
    <col min="9" max="9" width="112.73046875" customWidth="1"/>
    <col min="10" max="26" width="14.390625" customWidth="1"/>
  </cols>
  <sheetData>
    <row r="1" spans="1:26" ht="17.25" x14ac:dyDescent="0.25">
      <c r="A1" s="1" t="s">
        <v>47</v>
      </c>
      <c r="B1" s="3"/>
      <c r="C1" s="3"/>
      <c r="D1" s="3"/>
      <c r="E1" s="3"/>
      <c r="F1" s="3"/>
      <c r="G1" s="1" t="s">
        <v>48</v>
      </c>
      <c r="H1" s="3"/>
      <c r="I1" s="3"/>
      <c r="J1" s="3"/>
      <c r="K1" s="3"/>
      <c r="L1" s="3"/>
      <c r="M1" s="3"/>
      <c r="N1" s="3"/>
      <c r="O1" s="3"/>
      <c r="P1" s="3"/>
      <c r="Q1" s="3"/>
      <c r="R1" s="3"/>
      <c r="S1" s="3"/>
      <c r="T1" s="3"/>
      <c r="U1" s="3"/>
      <c r="V1" s="3"/>
      <c r="W1" s="3"/>
      <c r="X1" s="3"/>
      <c r="Y1" s="3"/>
      <c r="Z1" s="3"/>
    </row>
    <row r="2" spans="1:26" ht="17.25" x14ac:dyDescent="0.25">
      <c r="A2" s="3"/>
      <c r="B2" s="3"/>
      <c r="C2" s="3"/>
      <c r="D2" s="3"/>
      <c r="E2" s="3"/>
      <c r="F2" s="3"/>
      <c r="G2" s="3"/>
      <c r="H2" s="3"/>
      <c r="I2" s="3"/>
      <c r="J2" s="3"/>
      <c r="K2" s="3"/>
      <c r="L2" s="3"/>
      <c r="M2" s="3"/>
      <c r="N2" s="3"/>
      <c r="O2" s="3"/>
      <c r="P2" s="3"/>
      <c r="Q2" s="3"/>
      <c r="R2" s="3"/>
      <c r="S2" s="3"/>
      <c r="T2" s="3"/>
      <c r="U2" s="3"/>
      <c r="V2" s="3"/>
      <c r="W2" s="3"/>
      <c r="X2" s="3"/>
      <c r="Y2" s="3"/>
      <c r="Z2" s="3"/>
    </row>
    <row r="3" spans="1:26" ht="18" customHeight="1" x14ac:dyDescent="0.2">
      <c r="A3" s="110" t="s">
        <v>5</v>
      </c>
      <c r="B3" s="110" t="s">
        <v>6</v>
      </c>
      <c r="C3" s="110" t="s">
        <v>33</v>
      </c>
      <c r="D3" s="110" t="s">
        <v>34</v>
      </c>
      <c r="E3" s="23"/>
      <c r="F3" s="23"/>
      <c r="G3" s="448" t="s">
        <v>3</v>
      </c>
      <c r="H3" s="435"/>
      <c r="I3" s="110" t="s">
        <v>4</v>
      </c>
      <c r="J3" s="23"/>
      <c r="K3" s="23"/>
      <c r="L3" s="23"/>
      <c r="M3" s="23"/>
      <c r="N3" s="23"/>
      <c r="O3" s="23"/>
      <c r="P3" s="23"/>
      <c r="Q3" s="23"/>
      <c r="R3" s="23"/>
      <c r="S3" s="23"/>
      <c r="T3" s="23"/>
      <c r="U3" s="23"/>
      <c r="V3" s="23"/>
      <c r="W3" s="23"/>
      <c r="X3" s="23"/>
      <c r="Y3" s="23"/>
      <c r="Z3" s="23"/>
    </row>
    <row r="4" spans="1:26" ht="17.25" x14ac:dyDescent="0.25">
      <c r="A4" s="111">
        <v>101</v>
      </c>
      <c r="B4" s="112" t="s">
        <v>9</v>
      </c>
      <c r="C4" s="113">
        <v>290000</v>
      </c>
      <c r="D4" s="114"/>
      <c r="E4" s="3"/>
      <c r="F4" s="3"/>
      <c r="G4" s="449" t="s">
        <v>49</v>
      </c>
      <c r="H4" s="115">
        <v>31</v>
      </c>
      <c r="I4" s="116" t="s">
        <v>50</v>
      </c>
      <c r="J4" s="3"/>
      <c r="K4" s="3"/>
      <c r="L4" s="3"/>
      <c r="M4" s="3"/>
      <c r="N4" s="3"/>
      <c r="O4" s="3"/>
      <c r="P4" s="3"/>
      <c r="Q4" s="3"/>
      <c r="R4" s="3"/>
      <c r="S4" s="3"/>
      <c r="T4" s="3"/>
      <c r="U4" s="3"/>
      <c r="V4" s="3"/>
      <c r="W4" s="3"/>
      <c r="X4" s="3"/>
      <c r="Y4" s="3"/>
      <c r="Z4" s="3"/>
    </row>
    <row r="5" spans="1:26" ht="32.25" x14ac:dyDescent="0.25">
      <c r="A5" s="111">
        <v>102</v>
      </c>
      <c r="B5" s="112" t="s">
        <v>51</v>
      </c>
      <c r="C5" s="113">
        <v>126000</v>
      </c>
      <c r="D5" s="114"/>
      <c r="E5" s="3"/>
      <c r="F5" s="3"/>
      <c r="G5" s="438"/>
      <c r="H5" s="115">
        <v>31</v>
      </c>
      <c r="I5" s="116" t="s">
        <v>52</v>
      </c>
      <c r="J5" s="3"/>
      <c r="K5" s="3"/>
      <c r="L5" s="3"/>
      <c r="M5" s="3"/>
      <c r="N5" s="3"/>
      <c r="O5" s="3"/>
      <c r="P5" s="3"/>
      <c r="Q5" s="3"/>
      <c r="R5" s="3"/>
      <c r="S5" s="3"/>
      <c r="T5" s="3"/>
      <c r="U5" s="3"/>
      <c r="V5" s="3"/>
      <c r="W5" s="3"/>
      <c r="X5" s="3"/>
      <c r="Y5" s="3"/>
      <c r="Z5" s="3"/>
    </row>
    <row r="6" spans="1:26" ht="17.25" x14ac:dyDescent="0.25">
      <c r="A6" s="111">
        <v>103</v>
      </c>
      <c r="B6" s="112" t="s">
        <v>53</v>
      </c>
      <c r="C6" s="113">
        <v>200000</v>
      </c>
      <c r="D6" s="114"/>
      <c r="E6" s="3"/>
      <c r="F6" s="3"/>
      <c r="G6" s="438"/>
      <c r="H6" s="115">
        <v>31</v>
      </c>
      <c r="I6" s="116" t="s">
        <v>54</v>
      </c>
      <c r="J6" s="3"/>
      <c r="K6" s="3"/>
      <c r="L6" s="3"/>
      <c r="M6" s="3"/>
      <c r="N6" s="3"/>
      <c r="O6" s="3"/>
      <c r="P6" s="3"/>
      <c r="Q6" s="3"/>
      <c r="R6" s="3"/>
      <c r="S6" s="3"/>
      <c r="T6" s="3"/>
      <c r="U6" s="3"/>
      <c r="V6" s="3"/>
      <c r="W6" s="3"/>
      <c r="X6" s="3"/>
      <c r="Y6" s="3"/>
      <c r="Z6" s="3"/>
    </row>
    <row r="7" spans="1:26" ht="48" x14ac:dyDescent="0.25">
      <c r="A7" s="111">
        <v>104</v>
      </c>
      <c r="B7" s="112" t="s">
        <v>55</v>
      </c>
      <c r="C7" s="113">
        <v>24000</v>
      </c>
      <c r="D7" s="114"/>
      <c r="E7" s="3"/>
      <c r="F7" s="3"/>
      <c r="G7" s="439"/>
      <c r="H7" s="115">
        <v>31</v>
      </c>
      <c r="I7" s="116" t="s">
        <v>56</v>
      </c>
      <c r="J7" s="3"/>
      <c r="K7" s="3"/>
      <c r="L7" s="3"/>
      <c r="M7" s="3"/>
      <c r="N7" s="3"/>
      <c r="O7" s="3"/>
      <c r="P7" s="3"/>
      <c r="Q7" s="3"/>
      <c r="R7" s="3"/>
      <c r="S7" s="3"/>
      <c r="T7" s="3"/>
      <c r="U7" s="3"/>
      <c r="V7" s="3"/>
      <c r="W7" s="3"/>
      <c r="X7" s="3"/>
      <c r="Y7" s="3"/>
      <c r="Z7" s="3"/>
    </row>
    <row r="8" spans="1:26" ht="17.25" x14ac:dyDescent="0.25">
      <c r="A8" s="111">
        <v>105</v>
      </c>
      <c r="B8" s="112" t="s">
        <v>13</v>
      </c>
      <c r="C8" s="113">
        <v>11000</v>
      </c>
      <c r="D8" s="114"/>
      <c r="E8" s="3"/>
      <c r="F8" s="3"/>
      <c r="G8" s="3"/>
      <c r="H8" s="3"/>
      <c r="I8" s="3"/>
      <c r="J8" s="3"/>
      <c r="K8" s="3"/>
      <c r="L8" s="3"/>
      <c r="M8" s="3"/>
      <c r="N8" s="3"/>
      <c r="O8" s="3"/>
      <c r="P8" s="3"/>
      <c r="Q8" s="3"/>
      <c r="R8" s="3"/>
      <c r="S8" s="3"/>
      <c r="T8" s="3"/>
      <c r="U8" s="3"/>
      <c r="V8" s="3"/>
      <c r="W8" s="3"/>
      <c r="X8" s="3"/>
      <c r="Y8" s="3"/>
      <c r="Z8" s="3"/>
    </row>
    <row r="9" spans="1:26" ht="17.25" x14ac:dyDescent="0.25">
      <c r="A9" s="111">
        <v>106</v>
      </c>
      <c r="B9" s="112" t="s">
        <v>57</v>
      </c>
      <c r="C9" s="113">
        <v>180000</v>
      </c>
      <c r="D9" s="114"/>
      <c r="E9" s="3"/>
      <c r="F9" s="3"/>
      <c r="G9" s="3"/>
      <c r="H9" s="3"/>
      <c r="I9" s="3"/>
      <c r="J9" s="3"/>
      <c r="K9" s="3"/>
      <c r="L9" s="3"/>
      <c r="M9" s="3"/>
      <c r="N9" s="3"/>
      <c r="O9" s="3"/>
      <c r="P9" s="3"/>
      <c r="Q9" s="3"/>
      <c r="R9" s="3"/>
      <c r="S9" s="3"/>
      <c r="T9" s="3"/>
      <c r="U9" s="3"/>
      <c r="V9" s="3"/>
      <c r="W9" s="3"/>
      <c r="X9" s="3"/>
      <c r="Y9" s="3"/>
      <c r="Z9" s="3"/>
    </row>
    <row r="10" spans="1:26" ht="17.25" x14ac:dyDescent="0.25">
      <c r="A10" s="111">
        <v>107</v>
      </c>
      <c r="B10" s="112" t="s">
        <v>58</v>
      </c>
      <c r="C10" s="114"/>
      <c r="D10" s="113">
        <v>10000</v>
      </c>
      <c r="E10" s="3"/>
      <c r="F10" s="3"/>
      <c r="G10" s="3"/>
      <c r="H10" s="3"/>
      <c r="I10" s="3"/>
      <c r="J10" s="3"/>
      <c r="K10" s="3"/>
      <c r="L10" s="3"/>
      <c r="M10" s="3"/>
      <c r="N10" s="3"/>
      <c r="O10" s="3"/>
      <c r="P10" s="3"/>
      <c r="Q10" s="3"/>
      <c r="R10" s="3"/>
      <c r="S10" s="3"/>
      <c r="T10" s="3"/>
      <c r="U10" s="3"/>
      <c r="V10" s="3"/>
      <c r="W10" s="3"/>
      <c r="X10" s="3"/>
      <c r="Y10" s="3"/>
      <c r="Z10" s="3"/>
    </row>
    <row r="11" spans="1:26" ht="17.25" x14ac:dyDescent="0.25">
      <c r="A11" s="111">
        <v>201</v>
      </c>
      <c r="B11" s="112" t="s">
        <v>59</v>
      </c>
      <c r="C11" s="114"/>
      <c r="D11" s="113">
        <v>90000</v>
      </c>
      <c r="E11" s="3"/>
      <c r="F11" s="3"/>
      <c r="G11" s="3"/>
      <c r="H11" s="3"/>
      <c r="I11" s="3"/>
      <c r="J11" s="3"/>
      <c r="K11" s="3"/>
      <c r="L11" s="3"/>
      <c r="M11" s="3"/>
      <c r="N11" s="3"/>
      <c r="O11" s="3"/>
      <c r="P11" s="3"/>
      <c r="Q11" s="3"/>
      <c r="R11" s="3"/>
      <c r="S11" s="3"/>
      <c r="T11" s="3"/>
      <c r="U11" s="3"/>
      <c r="V11" s="3"/>
      <c r="W11" s="3"/>
      <c r="X11" s="3"/>
      <c r="Y11" s="3"/>
      <c r="Z11" s="3"/>
    </row>
    <row r="12" spans="1:26" ht="17.25" x14ac:dyDescent="0.25">
      <c r="A12" s="111">
        <v>202</v>
      </c>
      <c r="B12" s="112" t="s">
        <v>60</v>
      </c>
      <c r="C12" s="114"/>
      <c r="D12" s="113">
        <v>20000</v>
      </c>
      <c r="E12" s="3"/>
      <c r="F12" s="3"/>
      <c r="G12" s="3"/>
      <c r="H12" s="3"/>
      <c r="I12" s="3"/>
      <c r="J12" s="3"/>
      <c r="K12" s="3"/>
      <c r="L12" s="3"/>
      <c r="M12" s="3"/>
      <c r="N12" s="3"/>
      <c r="O12" s="3"/>
      <c r="P12" s="3"/>
      <c r="Q12" s="3"/>
      <c r="R12" s="3"/>
      <c r="S12" s="3"/>
      <c r="T12" s="3"/>
      <c r="U12" s="3"/>
      <c r="V12" s="3"/>
      <c r="W12" s="3"/>
      <c r="X12" s="3"/>
      <c r="Y12" s="3"/>
      <c r="Z12" s="3"/>
    </row>
    <row r="13" spans="1:26" ht="17.25" x14ac:dyDescent="0.25">
      <c r="A13" s="111">
        <v>301</v>
      </c>
      <c r="B13" s="112" t="s">
        <v>61</v>
      </c>
      <c r="C13" s="114"/>
      <c r="D13" s="113">
        <v>560000</v>
      </c>
      <c r="E13" s="3"/>
      <c r="F13" s="3"/>
      <c r="G13" s="3"/>
      <c r="H13" s="3"/>
      <c r="I13" s="3"/>
      <c r="J13" s="3"/>
      <c r="K13" s="3"/>
      <c r="L13" s="3"/>
      <c r="M13" s="3"/>
      <c r="N13" s="3"/>
      <c r="O13" s="3"/>
      <c r="P13" s="3"/>
      <c r="Q13" s="3"/>
      <c r="R13" s="3"/>
      <c r="S13" s="3"/>
      <c r="T13" s="3"/>
      <c r="U13" s="3"/>
      <c r="V13" s="3"/>
      <c r="W13" s="3"/>
      <c r="X13" s="3"/>
      <c r="Y13" s="3"/>
      <c r="Z13" s="3"/>
    </row>
    <row r="14" spans="1:26" ht="17.25" x14ac:dyDescent="0.25">
      <c r="A14" s="111">
        <v>302</v>
      </c>
      <c r="B14" s="112" t="s">
        <v>62</v>
      </c>
      <c r="C14" s="114"/>
      <c r="D14" s="113">
        <v>40000</v>
      </c>
      <c r="E14" s="3"/>
      <c r="F14" s="3"/>
      <c r="G14" s="3"/>
      <c r="H14" s="3"/>
      <c r="I14" s="3"/>
      <c r="J14" s="3"/>
      <c r="K14" s="3"/>
      <c r="L14" s="3"/>
      <c r="M14" s="3"/>
      <c r="N14" s="3"/>
      <c r="O14" s="3"/>
      <c r="P14" s="3"/>
      <c r="Q14" s="3"/>
      <c r="R14" s="3"/>
      <c r="S14" s="3"/>
      <c r="T14" s="3"/>
      <c r="U14" s="3"/>
      <c r="V14" s="3"/>
      <c r="W14" s="3"/>
      <c r="X14" s="3"/>
      <c r="Y14" s="3"/>
      <c r="Z14" s="3"/>
    </row>
    <row r="15" spans="1:26" ht="17.25" x14ac:dyDescent="0.25">
      <c r="A15" s="111">
        <v>401</v>
      </c>
      <c r="B15" s="112" t="s">
        <v>63</v>
      </c>
      <c r="C15" s="114"/>
      <c r="D15" s="113">
        <v>200000</v>
      </c>
      <c r="E15" s="3"/>
      <c r="F15" s="3"/>
      <c r="G15" s="3"/>
      <c r="H15" s="3"/>
      <c r="I15" s="3"/>
      <c r="J15" s="3"/>
      <c r="K15" s="3"/>
      <c r="L15" s="3"/>
      <c r="M15" s="3"/>
      <c r="N15" s="3"/>
      <c r="O15" s="3"/>
      <c r="P15" s="3"/>
      <c r="Q15" s="3"/>
      <c r="R15" s="3"/>
      <c r="S15" s="3"/>
      <c r="T15" s="3"/>
      <c r="U15" s="3"/>
      <c r="V15" s="3"/>
      <c r="W15" s="3"/>
      <c r="X15" s="3"/>
      <c r="Y15" s="3"/>
      <c r="Z15" s="3"/>
    </row>
    <row r="16" spans="1:26" ht="17.25" x14ac:dyDescent="0.25">
      <c r="A16" s="111">
        <v>501</v>
      </c>
      <c r="B16" s="112" t="s">
        <v>64</v>
      </c>
      <c r="C16" s="113">
        <v>70000</v>
      </c>
      <c r="D16" s="114"/>
      <c r="E16" s="3"/>
      <c r="F16" s="3"/>
      <c r="G16" s="3"/>
      <c r="H16" s="3"/>
      <c r="I16" s="3"/>
      <c r="J16" s="3"/>
      <c r="K16" s="3"/>
      <c r="L16" s="3"/>
      <c r="M16" s="3"/>
      <c r="N16" s="3"/>
      <c r="O16" s="3"/>
      <c r="P16" s="3"/>
      <c r="Q16" s="3"/>
      <c r="R16" s="3"/>
      <c r="S16" s="3"/>
      <c r="T16" s="3"/>
      <c r="U16" s="3"/>
      <c r="V16" s="3"/>
      <c r="W16" s="3"/>
      <c r="X16" s="3"/>
      <c r="Y16" s="3"/>
      <c r="Z16" s="3"/>
    </row>
    <row r="17" spans="1:26" ht="17.25" x14ac:dyDescent="0.25">
      <c r="A17" s="111">
        <v>601</v>
      </c>
      <c r="B17" s="112" t="s">
        <v>27</v>
      </c>
      <c r="C17" s="113">
        <v>15000</v>
      </c>
      <c r="D17" s="114"/>
      <c r="E17" s="3"/>
      <c r="F17" s="3"/>
      <c r="G17" s="3"/>
      <c r="H17" s="3"/>
      <c r="I17" s="3"/>
      <c r="J17" s="3"/>
      <c r="K17" s="3"/>
      <c r="L17" s="3"/>
      <c r="M17" s="3"/>
      <c r="N17" s="3"/>
      <c r="O17" s="3"/>
      <c r="P17" s="3"/>
      <c r="Q17" s="3"/>
      <c r="R17" s="3"/>
      <c r="S17" s="3"/>
      <c r="T17" s="3"/>
      <c r="U17" s="3"/>
      <c r="V17" s="3"/>
      <c r="W17" s="3"/>
      <c r="X17" s="3"/>
      <c r="Y17" s="3"/>
      <c r="Z17" s="3"/>
    </row>
    <row r="18" spans="1:26" ht="17.25" x14ac:dyDescent="0.25">
      <c r="A18" s="111">
        <v>602</v>
      </c>
      <c r="B18" s="112" t="s">
        <v>65</v>
      </c>
      <c r="C18" s="113">
        <v>4000</v>
      </c>
      <c r="D18" s="114"/>
      <c r="E18" s="3"/>
      <c r="F18" s="3"/>
      <c r="G18" s="3"/>
      <c r="H18" s="3"/>
      <c r="I18" s="3"/>
      <c r="J18" s="3"/>
      <c r="K18" s="3"/>
      <c r="L18" s="3"/>
      <c r="M18" s="3"/>
      <c r="N18" s="3"/>
      <c r="O18" s="3"/>
      <c r="P18" s="3"/>
      <c r="Q18" s="3"/>
      <c r="R18" s="3"/>
      <c r="S18" s="3"/>
      <c r="T18" s="3"/>
      <c r="U18" s="3"/>
      <c r="V18" s="3"/>
      <c r="W18" s="3"/>
      <c r="X18" s="3"/>
      <c r="Y18" s="3"/>
      <c r="Z18" s="3"/>
    </row>
    <row r="19" spans="1:26" ht="17.25" x14ac:dyDescent="0.25">
      <c r="A19" s="450" t="s">
        <v>38</v>
      </c>
      <c r="B19" s="435"/>
      <c r="C19" s="117">
        <f t="shared" ref="C19:D19" si="0">SUM(C4:C18)</f>
        <v>920000</v>
      </c>
      <c r="D19" s="117">
        <f t="shared" si="0"/>
        <v>920000</v>
      </c>
      <c r="E19" s="3"/>
      <c r="F19" s="3"/>
      <c r="G19" s="3"/>
      <c r="H19" s="3"/>
      <c r="I19" s="3"/>
      <c r="J19" s="3"/>
      <c r="K19" s="3"/>
      <c r="L19" s="3"/>
      <c r="M19" s="3"/>
      <c r="N19" s="3"/>
      <c r="O19" s="3"/>
      <c r="P19" s="3"/>
      <c r="Q19" s="3"/>
      <c r="R19" s="3"/>
      <c r="S19" s="3"/>
      <c r="T19" s="3"/>
      <c r="U19" s="3"/>
      <c r="V19" s="3"/>
      <c r="W19" s="3"/>
      <c r="X19" s="3"/>
      <c r="Y19" s="3"/>
      <c r="Z19" s="3"/>
    </row>
    <row r="20" spans="1:26" ht="17.2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sheetData>
  <mergeCells count="3">
    <mergeCell ref="G3:H3"/>
    <mergeCell ref="G4:G7"/>
    <mergeCell ref="A19:B1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20"/>
  <sheetViews>
    <sheetView workbookViewId="0">
      <pane ySplit="6" topLeftCell="A7" activePane="bottomLeft" state="frozen"/>
      <selection pane="bottomLeft" activeCell="B8" sqref="B8"/>
    </sheetView>
  </sheetViews>
  <sheetFormatPr defaultColWidth="14.390625" defaultRowHeight="15" customHeight="1" x14ac:dyDescent="0.2"/>
  <cols>
    <col min="1" max="1" width="17.08203125" customWidth="1"/>
    <col min="2" max="2" width="49.09765625" customWidth="1"/>
    <col min="3" max="3" width="9.68359375" customWidth="1"/>
    <col min="4" max="4" width="16.140625" customWidth="1"/>
    <col min="5" max="5" width="16.8125" customWidth="1"/>
    <col min="6" max="25" width="8.7421875" customWidth="1"/>
  </cols>
  <sheetData>
    <row r="1" spans="1:25" ht="14.25" customHeight="1" x14ac:dyDescent="0.2">
      <c r="A1" s="118"/>
      <c r="B1" s="119"/>
      <c r="C1" s="15"/>
      <c r="D1" s="16"/>
      <c r="E1" s="16"/>
      <c r="F1" s="118"/>
      <c r="G1" s="118"/>
      <c r="H1" s="118"/>
      <c r="I1" s="118"/>
      <c r="J1" s="118"/>
      <c r="K1" s="118"/>
      <c r="L1" s="118"/>
      <c r="M1" s="118"/>
      <c r="N1" s="118"/>
      <c r="O1" s="118"/>
      <c r="P1" s="118"/>
      <c r="Q1" s="118"/>
      <c r="R1" s="118"/>
      <c r="S1" s="118"/>
      <c r="T1" s="118"/>
      <c r="U1" s="118"/>
      <c r="V1" s="118"/>
      <c r="W1" s="118"/>
      <c r="X1" s="118"/>
      <c r="Y1" s="118"/>
    </row>
    <row r="2" spans="1:25" ht="14.25" customHeight="1" x14ac:dyDescent="0.25">
      <c r="A2" s="432" t="s">
        <v>66</v>
      </c>
      <c r="B2" s="426"/>
      <c r="C2" s="426"/>
      <c r="D2" s="426"/>
      <c r="E2" s="426"/>
      <c r="F2" s="118"/>
      <c r="G2" s="118"/>
      <c r="H2" s="118"/>
      <c r="I2" s="118"/>
      <c r="J2" s="118"/>
      <c r="K2" s="118"/>
      <c r="L2" s="118"/>
      <c r="M2" s="118"/>
      <c r="N2" s="118"/>
      <c r="O2" s="118"/>
      <c r="P2" s="118"/>
      <c r="Q2" s="118"/>
      <c r="R2" s="118"/>
      <c r="S2" s="118"/>
      <c r="T2" s="118"/>
      <c r="U2" s="118"/>
      <c r="V2" s="118"/>
      <c r="W2" s="118"/>
      <c r="X2" s="118"/>
      <c r="Y2" s="118"/>
    </row>
    <row r="3" spans="1:25" ht="14.25" customHeight="1" x14ac:dyDescent="0.25">
      <c r="A3" s="432" t="s">
        <v>67</v>
      </c>
      <c r="B3" s="426"/>
      <c r="C3" s="426"/>
      <c r="D3" s="426"/>
      <c r="E3" s="426"/>
      <c r="F3" s="118"/>
      <c r="G3" s="118"/>
      <c r="H3" s="118"/>
      <c r="I3" s="118"/>
      <c r="J3" s="118"/>
      <c r="K3" s="118"/>
      <c r="L3" s="118"/>
      <c r="M3" s="118"/>
      <c r="N3" s="118"/>
      <c r="O3" s="118"/>
      <c r="P3" s="118"/>
      <c r="Q3" s="118"/>
      <c r="R3" s="118"/>
      <c r="S3" s="118"/>
      <c r="T3" s="118"/>
      <c r="U3" s="118"/>
      <c r="V3" s="118"/>
      <c r="W3" s="118"/>
      <c r="X3" s="118"/>
      <c r="Y3" s="118"/>
    </row>
    <row r="4" spans="1:25" ht="14.25" customHeight="1" x14ac:dyDescent="0.25">
      <c r="A4" s="120"/>
      <c r="B4" s="119"/>
      <c r="C4" s="118"/>
      <c r="D4" s="118"/>
      <c r="E4" s="118"/>
      <c r="F4" s="118"/>
      <c r="G4" s="118"/>
      <c r="H4" s="118"/>
      <c r="I4" s="118"/>
      <c r="J4" s="118"/>
      <c r="K4" s="118"/>
      <c r="L4" s="118"/>
      <c r="M4" s="118"/>
      <c r="N4" s="118"/>
      <c r="O4" s="118"/>
      <c r="P4" s="118"/>
      <c r="Q4" s="118"/>
      <c r="R4" s="118"/>
      <c r="S4" s="118"/>
      <c r="T4" s="118"/>
      <c r="U4" s="118"/>
      <c r="V4" s="118"/>
      <c r="W4" s="118"/>
      <c r="X4" s="118"/>
      <c r="Y4" s="118"/>
    </row>
    <row r="5" spans="1:25" ht="14.25" customHeight="1" x14ac:dyDescent="0.2">
      <c r="A5" s="118"/>
      <c r="B5" s="119"/>
      <c r="C5" s="15"/>
      <c r="D5" s="16"/>
      <c r="E5" s="16"/>
      <c r="F5" s="118"/>
      <c r="G5" s="118"/>
      <c r="H5" s="118"/>
      <c r="I5" s="118"/>
      <c r="J5" s="118"/>
      <c r="K5" s="118"/>
      <c r="L5" s="118"/>
      <c r="M5" s="118"/>
      <c r="N5" s="118"/>
      <c r="O5" s="118"/>
      <c r="P5" s="118"/>
      <c r="Q5" s="118"/>
      <c r="R5" s="118"/>
      <c r="S5" s="118"/>
      <c r="T5" s="118"/>
      <c r="U5" s="118"/>
      <c r="V5" s="118"/>
      <c r="W5" s="118"/>
      <c r="X5" s="118"/>
      <c r="Y5" s="118"/>
    </row>
    <row r="6" spans="1:25" ht="30" customHeight="1" x14ac:dyDescent="0.3">
      <c r="A6" s="121" t="s">
        <v>3</v>
      </c>
      <c r="B6" s="17" t="s">
        <v>4</v>
      </c>
      <c r="C6" s="121" t="s">
        <v>32</v>
      </c>
      <c r="D6" s="122" t="s">
        <v>33</v>
      </c>
      <c r="E6" s="122" t="s">
        <v>34</v>
      </c>
      <c r="F6" s="118"/>
      <c r="G6" s="118"/>
      <c r="H6" s="118"/>
      <c r="I6" s="118"/>
      <c r="J6" s="118"/>
      <c r="K6" s="118"/>
      <c r="L6" s="118"/>
      <c r="M6" s="118"/>
      <c r="N6" s="118"/>
      <c r="O6" s="118"/>
      <c r="P6" s="118"/>
      <c r="Q6" s="118"/>
      <c r="R6" s="118"/>
      <c r="S6" s="118"/>
      <c r="T6" s="118"/>
      <c r="U6" s="118"/>
      <c r="V6" s="118"/>
      <c r="W6" s="118"/>
      <c r="X6" s="118"/>
      <c r="Y6" s="118"/>
    </row>
    <row r="7" spans="1:25" ht="43.5" customHeight="1" x14ac:dyDescent="0.25">
      <c r="A7" s="123">
        <v>45291</v>
      </c>
      <c r="B7" s="20" t="s">
        <v>68</v>
      </c>
      <c r="C7" s="124">
        <v>604</v>
      </c>
      <c r="D7" s="125">
        <v>5000</v>
      </c>
      <c r="E7" s="125"/>
      <c r="F7" s="3"/>
      <c r="G7" s="3"/>
      <c r="H7" s="3"/>
      <c r="I7" s="3"/>
      <c r="J7" s="3"/>
      <c r="K7" s="3"/>
      <c r="L7" s="3"/>
      <c r="M7" s="3"/>
      <c r="N7" s="3"/>
      <c r="O7" s="3"/>
      <c r="P7" s="3"/>
      <c r="Q7" s="3"/>
      <c r="R7" s="3"/>
      <c r="S7" s="3"/>
      <c r="T7" s="3"/>
      <c r="U7" s="3"/>
      <c r="V7" s="3"/>
      <c r="W7" s="3"/>
      <c r="X7" s="3"/>
      <c r="Y7" s="3"/>
    </row>
    <row r="8" spans="1:25" ht="49.5" customHeight="1" x14ac:dyDescent="0.25">
      <c r="A8" s="126"/>
      <c r="B8" s="20" t="s">
        <v>69</v>
      </c>
      <c r="C8" s="124">
        <v>106</v>
      </c>
      <c r="D8" s="125"/>
      <c r="E8" s="125">
        <v>5000</v>
      </c>
      <c r="F8" s="3"/>
      <c r="G8" s="3"/>
      <c r="H8" s="3"/>
      <c r="I8" s="3"/>
      <c r="J8" s="3"/>
      <c r="K8" s="3"/>
      <c r="L8" s="3"/>
      <c r="M8" s="3"/>
      <c r="N8" s="3"/>
      <c r="O8" s="3"/>
      <c r="P8" s="3"/>
      <c r="Q8" s="3"/>
      <c r="R8" s="3"/>
      <c r="S8" s="3"/>
      <c r="T8" s="3"/>
      <c r="U8" s="3"/>
      <c r="V8" s="3"/>
      <c r="W8" s="3"/>
      <c r="X8" s="3"/>
      <c r="Y8" s="3"/>
    </row>
    <row r="9" spans="1:25" ht="78" customHeight="1" x14ac:dyDescent="0.25">
      <c r="A9" s="123">
        <f>A7</f>
        <v>45291</v>
      </c>
      <c r="B9" s="24" t="s">
        <v>70</v>
      </c>
      <c r="C9" s="127">
        <v>601</v>
      </c>
      <c r="D9" s="128">
        <v>25000</v>
      </c>
      <c r="E9" s="128"/>
      <c r="F9" s="3"/>
      <c r="G9" s="3"/>
      <c r="H9" s="3"/>
      <c r="I9" s="3"/>
      <c r="J9" s="3"/>
      <c r="K9" s="3"/>
      <c r="L9" s="3"/>
      <c r="M9" s="3"/>
      <c r="N9" s="3"/>
      <c r="O9" s="3"/>
      <c r="P9" s="3"/>
      <c r="Q9" s="3"/>
      <c r="R9" s="3"/>
      <c r="S9" s="3"/>
      <c r="T9" s="3"/>
      <c r="U9" s="3"/>
      <c r="V9" s="3"/>
      <c r="W9" s="3"/>
      <c r="X9" s="3"/>
      <c r="Y9" s="3"/>
    </row>
    <row r="10" spans="1:25" ht="79.5" customHeight="1" x14ac:dyDescent="0.25">
      <c r="A10" s="126"/>
      <c r="B10" s="24" t="s">
        <v>71</v>
      </c>
      <c r="C10" s="127">
        <v>202</v>
      </c>
      <c r="D10" s="128"/>
      <c r="E10" s="128">
        <v>25000</v>
      </c>
      <c r="F10" s="3"/>
      <c r="G10" s="3"/>
      <c r="H10" s="3"/>
      <c r="I10" s="3"/>
      <c r="J10" s="3"/>
      <c r="K10" s="3"/>
      <c r="L10" s="3"/>
      <c r="M10" s="3"/>
      <c r="N10" s="3"/>
      <c r="O10" s="3"/>
      <c r="P10" s="3"/>
      <c r="Q10" s="3"/>
      <c r="R10" s="3"/>
      <c r="S10" s="3"/>
      <c r="T10" s="3"/>
      <c r="U10" s="3"/>
      <c r="V10" s="3"/>
      <c r="W10" s="3"/>
      <c r="X10" s="3"/>
      <c r="Y10" s="3"/>
    </row>
    <row r="11" spans="1:25" ht="75.75" customHeight="1" x14ac:dyDescent="0.25">
      <c r="A11" s="123">
        <f>A9</f>
        <v>45291</v>
      </c>
      <c r="B11" s="24" t="s">
        <v>72</v>
      </c>
      <c r="C11" s="127">
        <f>'Day 2.3 Neraca Lajur'!A21</f>
        <v>603</v>
      </c>
      <c r="D11" s="128">
        <v>9000</v>
      </c>
      <c r="E11" s="128"/>
      <c r="F11" s="3"/>
      <c r="G11" s="3"/>
      <c r="H11" s="3"/>
      <c r="I11" s="3"/>
      <c r="J11" s="3"/>
      <c r="K11" s="3"/>
      <c r="L11" s="3"/>
      <c r="M11" s="3"/>
      <c r="N11" s="3"/>
      <c r="O11" s="3"/>
      <c r="P11" s="3"/>
      <c r="Q11" s="3"/>
      <c r="R11" s="3"/>
      <c r="S11" s="3"/>
      <c r="T11" s="3"/>
      <c r="U11" s="3"/>
      <c r="V11" s="3"/>
      <c r="W11" s="3"/>
      <c r="X11" s="3"/>
      <c r="Y11" s="3"/>
    </row>
    <row r="12" spans="1:25" ht="59.25" customHeight="1" x14ac:dyDescent="0.25">
      <c r="A12" s="126"/>
      <c r="B12" s="24" t="s">
        <v>13</v>
      </c>
      <c r="C12" s="127">
        <f>'Day 2.3 Neraca Lajur'!A11</f>
        <v>105</v>
      </c>
      <c r="D12" s="128"/>
      <c r="E12" s="128">
        <v>9000</v>
      </c>
      <c r="F12" s="3"/>
      <c r="G12" s="3"/>
      <c r="H12" s="3"/>
      <c r="I12" s="3"/>
      <c r="J12" s="3"/>
      <c r="K12" s="3"/>
      <c r="L12" s="3"/>
      <c r="M12" s="3"/>
      <c r="N12" s="3"/>
      <c r="O12" s="3"/>
      <c r="P12" s="3"/>
      <c r="Q12" s="3"/>
      <c r="R12" s="3"/>
      <c r="S12" s="3"/>
      <c r="T12" s="3"/>
      <c r="U12" s="3"/>
      <c r="V12" s="3"/>
      <c r="W12" s="3"/>
      <c r="X12" s="3"/>
      <c r="Y12" s="3"/>
    </row>
    <row r="13" spans="1:25" ht="62.25" customHeight="1" x14ac:dyDescent="0.25">
      <c r="A13" s="123">
        <f>A11</f>
        <v>45291</v>
      </c>
      <c r="B13" s="24" t="s">
        <v>65</v>
      </c>
      <c r="C13" s="127">
        <f>'Day 2.3 Neraca Lajur'!A20</f>
        <v>602</v>
      </c>
      <c r="D13" s="128">
        <v>24000</v>
      </c>
      <c r="E13" s="128"/>
      <c r="F13" s="3"/>
      <c r="G13" s="3"/>
      <c r="H13" s="3"/>
      <c r="I13" s="3"/>
      <c r="J13" s="3"/>
      <c r="K13" s="3"/>
      <c r="L13" s="3"/>
      <c r="M13" s="3"/>
      <c r="N13" s="3"/>
      <c r="O13" s="3"/>
      <c r="P13" s="3"/>
      <c r="Q13" s="3"/>
      <c r="R13" s="3"/>
      <c r="S13" s="3"/>
      <c r="T13" s="3"/>
      <c r="U13" s="3"/>
      <c r="V13" s="3"/>
      <c r="W13" s="3"/>
      <c r="X13" s="3"/>
      <c r="Y13" s="3"/>
    </row>
    <row r="14" spans="1:25" ht="73.5" customHeight="1" x14ac:dyDescent="0.25">
      <c r="A14" s="126"/>
      <c r="B14" s="24" t="s">
        <v>73</v>
      </c>
      <c r="C14" s="127">
        <f>'Day 2.3 Neraca Lajur'!A9</f>
        <v>104</v>
      </c>
      <c r="D14" s="128"/>
      <c r="E14" s="128">
        <v>24000</v>
      </c>
      <c r="F14" s="3"/>
      <c r="G14" s="3"/>
      <c r="H14" s="3"/>
      <c r="I14" s="3"/>
      <c r="J14" s="3"/>
      <c r="K14" s="3"/>
      <c r="L14" s="3"/>
      <c r="M14" s="3"/>
      <c r="N14" s="3"/>
      <c r="O14" s="3"/>
      <c r="P14" s="3"/>
      <c r="Q14" s="3"/>
      <c r="R14" s="3"/>
      <c r="S14" s="3"/>
      <c r="T14" s="3"/>
      <c r="U14" s="3"/>
      <c r="V14" s="3"/>
      <c r="W14" s="3"/>
      <c r="X14" s="3"/>
      <c r="Y14" s="3"/>
    </row>
    <row r="15" spans="1:25" ht="19.5" customHeight="1" x14ac:dyDescent="0.25">
      <c r="A15" s="129"/>
      <c r="B15" s="24"/>
      <c r="C15" s="127"/>
      <c r="D15" s="128"/>
      <c r="E15" s="128"/>
      <c r="F15" s="3"/>
      <c r="G15" s="3"/>
      <c r="H15" s="3"/>
      <c r="I15" s="3"/>
      <c r="J15" s="3"/>
      <c r="K15" s="3"/>
      <c r="L15" s="3"/>
      <c r="M15" s="3"/>
      <c r="N15" s="3"/>
      <c r="O15" s="3"/>
      <c r="P15" s="3"/>
      <c r="Q15" s="3"/>
      <c r="R15" s="3"/>
      <c r="S15" s="3"/>
      <c r="T15" s="3"/>
      <c r="U15" s="3"/>
      <c r="V15" s="3"/>
      <c r="W15" s="3"/>
      <c r="X15" s="3"/>
      <c r="Y15" s="3"/>
    </row>
    <row r="16" spans="1:25" ht="14.25" customHeight="1" x14ac:dyDescent="0.25">
      <c r="A16" s="130" t="s">
        <v>38</v>
      </c>
      <c r="B16" s="131"/>
      <c r="C16" s="132"/>
      <c r="D16" s="29">
        <f t="shared" ref="D16:E16" si="0">SUM(D7:D15)</f>
        <v>63000</v>
      </c>
      <c r="E16" s="29">
        <f t="shared" si="0"/>
        <v>63000</v>
      </c>
      <c r="F16" s="118"/>
      <c r="G16" s="118"/>
      <c r="H16" s="118"/>
      <c r="I16" s="118"/>
      <c r="J16" s="118"/>
      <c r="K16" s="118"/>
      <c r="L16" s="118"/>
      <c r="M16" s="118"/>
      <c r="N16" s="118"/>
      <c r="O16" s="118"/>
      <c r="P16" s="118"/>
      <c r="Q16" s="118"/>
      <c r="R16" s="118"/>
      <c r="S16" s="118"/>
      <c r="T16" s="118"/>
      <c r="U16" s="118"/>
      <c r="V16" s="118"/>
      <c r="W16" s="118"/>
      <c r="X16" s="118"/>
      <c r="Y16" s="118"/>
    </row>
    <row r="17" spans="1:25" ht="14.25" customHeight="1" x14ac:dyDescent="0.25">
      <c r="A17" s="118"/>
      <c r="B17" s="119"/>
      <c r="C17" s="15"/>
      <c r="D17" s="30"/>
      <c r="E17" s="30"/>
      <c r="F17" s="118"/>
      <c r="G17" s="118"/>
      <c r="H17" s="118"/>
      <c r="I17" s="118"/>
      <c r="J17" s="118"/>
      <c r="K17" s="118"/>
      <c r="L17" s="118"/>
      <c r="M17" s="118"/>
      <c r="N17" s="118"/>
      <c r="O17" s="118"/>
      <c r="P17" s="118"/>
      <c r="Q17" s="118"/>
      <c r="R17" s="118"/>
      <c r="S17" s="118"/>
      <c r="T17" s="118"/>
      <c r="U17" s="118"/>
      <c r="V17" s="118"/>
      <c r="W17" s="118"/>
      <c r="X17" s="118"/>
      <c r="Y17" s="118"/>
    </row>
    <row r="18" spans="1:25" ht="14.25" customHeight="1" x14ac:dyDescent="0.2">
      <c r="A18" s="118"/>
      <c r="B18" s="119"/>
      <c r="C18" s="15"/>
      <c r="D18" s="16"/>
      <c r="E18" s="16"/>
      <c r="F18" s="118"/>
      <c r="G18" s="118"/>
      <c r="H18" s="118"/>
      <c r="I18" s="118"/>
      <c r="J18" s="118"/>
      <c r="K18" s="118"/>
      <c r="L18" s="118"/>
      <c r="M18" s="118"/>
      <c r="N18" s="118"/>
      <c r="O18" s="118"/>
      <c r="P18" s="118"/>
      <c r="Q18" s="118"/>
      <c r="R18" s="118"/>
      <c r="S18" s="118"/>
      <c r="T18" s="118"/>
      <c r="U18" s="118"/>
      <c r="V18" s="118"/>
      <c r="W18" s="118"/>
      <c r="X18" s="118"/>
      <c r="Y18" s="118"/>
    </row>
    <row r="19" spans="1:25" ht="14.25" customHeight="1" x14ac:dyDescent="0.2">
      <c r="A19" s="118"/>
      <c r="B19" s="119"/>
      <c r="C19" s="15"/>
      <c r="D19" s="16"/>
      <c r="E19" s="16"/>
      <c r="F19" s="118"/>
      <c r="G19" s="118"/>
      <c r="H19" s="118"/>
      <c r="I19" s="118"/>
      <c r="J19" s="118"/>
      <c r="K19" s="118"/>
      <c r="L19" s="118"/>
      <c r="M19" s="118"/>
      <c r="N19" s="118"/>
      <c r="O19" s="118"/>
      <c r="P19" s="118"/>
      <c r="Q19" s="118"/>
      <c r="R19" s="118"/>
      <c r="S19" s="118"/>
      <c r="T19" s="118"/>
      <c r="U19" s="118"/>
      <c r="V19" s="118"/>
      <c r="W19" s="118"/>
      <c r="X19" s="118"/>
      <c r="Y19" s="118"/>
    </row>
    <row r="20" spans="1:25" ht="14.25" customHeight="1" x14ac:dyDescent="0.2">
      <c r="A20" s="118"/>
      <c r="B20" s="119"/>
      <c r="C20" s="15"/>
      <c r="D20" s="16"/>
      <c r="E20" s="16"/>
      <c r="F20" s="118"/>
      <c r="G20" s="118"/>
      <c r="H20" s="118"/>
      <c r="I20" s="118"/>
      <c r="J20" s="118"/>
      <c r="K20" s="118"/>
      <c r="L20" s="118"/>
      <c r="M20" s="118"/>
      <c r="N20" s="118"/>
      <c r="O20" s="118"/>
      <c r="P20" s="118"/>
      <c r="Q20" s="118"/>
      <c r="R20" s="118"/>
      <c r="S20" s="118"/>
      <c r="T20" s="118"/>
      <c r="U20" s="118"/>
      <c r="V20" s="118"/>
      <c r="W20" s="118"/>
      <c r="X20" s="118"/>
      <c r="Y20" s="118"/>
    </row>
    <row r="21" spans="1:25" ht="14.25" customHeight="1" x14ac:dyDescent="0.2">
      <c r="A21" s="118"/>
      <c r="B21" s="119"/>
      <c r="C21" s="15"/>
      <c r="D21" s="16"/>
      <c r="E21" s="16"/>
      <c r="F21" s="118"/>
      <c r="G21" s="118"/>
      <c r="H21" s="118"/>
      <c r="I21" s="118"/>
      <c r="J21" s="118"/>
      <c r="K21" s="118"/>
      <c r="L21" s="118"/>
      <c r="M21" s="118"/>
      <c r="N21" s="118"/>
      <c r="O21" s="118"/>
      <c r="P21" s="118"/>
      <c r="Q21" s="118"/>
      <c r="R21" s="118"/>
      <c r="S21" s="118"/>
      <c r="T21" s="118"/>
      <c r="U21" s="118"/>
      <c r="V21" s="118"/>
      <c r="W21" s="118"/>
      <c r="X21" s="118"/>
      <c r="Y21" s="118"/>
    </row>
    <row r="22" spans="1:25" ht="14.25" customHeight="1" x14ac:dyDescent="0.2">
      <c r="A22" s="118"/>
      <c r="B22" s="119"/>
      <c r="C22" s="15"/>
      <c r="D22" s="16"/>
      <c r="E22" s="16"/>
      <c r="F22" s="118"/>
      <c r="G22" s="118"/>
      <c r="H22" s="118"/>
      <c r="I22" s="118"/>
      <c r="J22" s="118"/>
      <c r="K22" s="118"/>
      <c r="L22" s="118"/>
      <c r="M22" s="118"/>
      <c r="N22" s="118"/>
      <c r="O22" s="118"/>
      <c r="P22" s="118"/>
      <c r="Q22" s="118"/>
      <c r="R22" s="118"/>
      <c r="S22" s="118"/>
      <c r="T22" s="118"/>
      <c r="U22" s="118"/>
      <c r="V22" s="118"/>
      <c r="W22" s="118"/>
      <c r="X22" s="118"/>
      <c r="Y22" s="118"/>
    </row>
    <row r="23" spans="1:25" ht="14.25" customHeight="1" x14ac:dyDescent="0.2">
      <c r="A23" s="118"/>
      <c r="B23" s="119"/>
      <c r="C23" s="15"/>
      <c r="D23" s="16"/>
      <c r="E23" s="16"/>
      <c r="F23" s="118"/>
      <c r="G23" s="118"/>
      <c r="H23" s="118"/>
      <c r="I23" s="118"/>
      <c r="J23" s="118"/>
      <c r="K23" s="118"/>
      <c r="L23" s="118"/>
      <c r="M23" s="118"/>
      <c r="N23" s="118"/>
      <c r="O23" s="118"/>
      <c r="P23" s="118"/>
      <c r="Q23" s="118"/>
      <c r="R23" s="118"/>
      <c r="S23" s="118"/>
      <c r="T23" s="118"/>
      <c r="U23" s="118"/>
      <c r="V23" s="118"/>
      <c r="W23" s="118"/>
      <c r="X23" s="118"/>
      <c r="Y23" s="118"/>
    </row>
    <row r="24" spans="1:25" ht="14.25" customHeight="1" x14ac:dyDescent="0.2">
      <c r="A24" s="118"/>
      <c r="B24" s="119"/>
      <c r="C24" s="15"/>
      <c r="D24" s="16"/>
      <c r="E24" s="16"/>
      <c r="F24" s="118"/>
      <c r="G24" s="118"/>
      <c r="H24" s="118"/>
      <c r="I24" s="118"/>
      <c r="J24" s="118"/>
      <c r="K24" s="118"/>
      <c r="L24" s="118"/>
      <c r="M24" s="118"/>
      <c r="N24" s="118"/>
      <c r="O24" s="118"/>
      <c r="P24" s="118"/>
      <c r="Q24" s="118"/>
      <c r="R24" s="118"/>
      <c r="S24" s="118"/>
      <c r="T24" s="118"/>
      <c r="U24" s="118"/>
      <c r="V24" s="118"/>
      <c r="W24" s="118"/>
      <c r="X24" s="118"/>
      <c r="Y24" s="118"/>
    </row>
    <row r="25" spans="1:25" ht="14.25" customHeight="1" x14ac:dyDescent="0.2">
      <c r="A25" s="118"/>
      <c r="B25" s="119"/>
      <c r="C25" s="15"/>
      <c r="D25" s="16"/>
      <c r="E25" s="16"/>
      <c r="F25" s="118"/>
      <c r="G25" s="118"/>
      <c r="H25" s="118"/>
      <c r="I25" s="118"/>
      <c r="J25" s="118"/>
      <c r="K25" s="118"/>
      <c r="L25" s="118"/>
      <c r="M25" s="118"/>
      <c r="N25" s="118"/>
      <c r="O25" s="118"/>
      <c r="P25" s="118"/>
      <c r="Q25" s="118"/>
      <c r="R25" s="118"/>
      <c r="S25" s="118"/>
      <c r="T25" s="118"/>
      <c r="U25" s="118"/>
      <c r="V25" s="118"/>
      <c r="W25" s="118"/>
      <c r="X25" s="118"/>
      <c r="Y25" s="118"/>
    </row>
    <row r="26" spans="1:25" ht="14.25" customHeight="1" x14ac:dyDescent="0.2">
      <c r="A26" s="118"/>
      <c r="B26" s="119"/>
      <c r="C26" s="15"/>
      <c r="D26" s="16"/>
      <c r="E26" s="16"/>
      <c r="F26" s="118"/>
      <c r="G26" s="118"/>
      <c r="H26" s="118"/>
      <c r="I26" s="118"/>
      <c r="J26" s="118"/>
      <c r="K26" s="118"/>
      <c r="L26" s="118"/>
      <c r="M26" s="118"/>
      <c r="N26" s="118"/>
      <c r="O26" s="118"/>
      <c r="P26" s="118"/>
      <c r="Q26" s="118"/>
      <c r="R26" s="118"/>
      <c r="S26" s="118"/>
      <c r="T26" s="118"/>
      <c r="U26" s="118"/>
      <c r="V26" s="118"/>
      <c r="W26" s="118"/>
      <c r="X26" s="118"/>
      <c r="Y26" s="118"/>
    </row>
    <row r="27" spans="1:25" ht="14.25" customHeight="1" x14ac:dyDescent="0.2">
      <c r="A27" s="118"/>
      <c r="B27" s="119"/>
      <c r="C27" s="15"/>
      <c r="D27" s="16"/>
      <c r="E27" s="16"/>
      <c r="F27" s="118"/>
      <c r="G27" s="118"/>
      <c r="H27" s="118"/>
      <c r="I27" s="118"/>
      <c r="J27" s="118"/>
      <c r="K27" s="118"/>
      <c r="L27" s="118"/>
      <c r="M27" s="118"/>
      <c r="N27" s="118"/>
      <c r="O27" s="118"/>
      <c r="P27" s="118"/>
      <c r="Q27" s="118"/>
      <c r="R27" s="118"/>
      <c r="S27" s="118"/>
      <c r="T27" s="118"/>
      <c r="U27" s="118"/>
      <c r="V27" s="118"/>
      <c r="W27" s="118"/>
      <c r="X27" s="118"/>
      <c r="Y27" s="118"/>
    </row>
    <row r="28" spans="1:25" ht="14.25" customHeight="1" x14ac:dyDescent="0.2">
      <c r="A28" s="118"/>
      <c r="B28" s="119"/>
      <c r="C28" s="15"/>
      <c r="D28" s="16"/>
      <c r="E28" s="16"/>
      <c r="F28" s="118"/>
      <c r="G28" s="118"/>
      <c r="H28" s="118"/>
      <c r="I28" s="118"/>
      <c r="J28" s="118"/>
      <c r="K28" s="118"/>
      <c r="L28" s="118"/>
      <c r="M28" s="118"/>
      <c r="N28" s="118"/>
      <c r="O28" s="118"/>
      <c r="P28" s="118"/>
      <c r="Q28" s="118"/>
      <c r="R28" s="118"/>
      <c r="S28" s="118"/>
      <c r="T28" s="118"/>
      <c r="U28" s="118"/>
      <c r="V28" s="118"/>
      <c r="W28" s="118"/>
      <c r="X28" s="118"/>
      <c r="Y28" s="118"/>
    </row>
    <row r="29" spans="1:25" ht="14.25" customHeight="1" x14ac:dyDescent="0.2">
      <c r="A29" s="118"/>
      <c r="B29" s="119"/>
      <c r="C29" s="15"/>
      <c r="D29" s="16"/>
      <c r="E29" s="16"/>
      <c r="F29" s="118"/>
      <c r="G29" s="118"/>
      <c r="H29" s="118"/>
      <c r="I29" s="118"/>
      <c r="J29" s="118"/>
      <c r="K29" s="118"/>
      <c r="L29" s="118"/>
      <c r="M29" s="118"/>
      <c r="N29" s="118"/>
      <c r="O29" s="118"/>
      <c r="P29" s="118"/>
      <c r="Q29" s="118"/>
      <c r="R29" s="118"/>
      <c r="S29" s="118"/>
      <c r="T29" s="118"/>
      <c r="U29" s="118"/>
      <c r="V29" s="118"/>
      <c r="W29" s="118"/>
      <c r="X29" s="118"/>
      <c r="Y29" s="118"/>
    </row>
    <row r="30" spans="1:25" ht="14.25" customHeight="1" x14ac:dyDescent="0.2">
      <c r="A30" s="118"/>
      <c r="B30" s="119"/>
      <c r="C30" s="15"/>
      <c r="D30" s="16"/>
      <c r="E30" s="16"/>
      <c r="F30" s="118"/>
      <c r="G30" s="118"/>
      <c r="H30" s="118"/>
      <c r="I30" s="118"/>
      <c r="J30" s="118"/>
      <c r="K30" s="118"/>
      <c r="L30" s="118"/>
      <c r="M30" s="118"/>
      <c r="N30" s="118"/>
      <c r="O30" s="118"/>
      <c r="P30" s="118"/>
      <c r="Q30" s="118"/>
      <c r="R30" s="118"/>
      <c r="S30" s="118"/>
      <c r="T30" s="118"/>
      <c r="U30" s="118"/>
      <c r="V30" s="118"/>
      <c r="W30" s="118"/>
      <c r="X30" s="118"/>
      <c r="Y30" s="118"/>
    </row>
    <row r="31" spans="1:25" ht="14.25" customHeight="1" x14ac:dyDescent="0.2">
      <c r="A31" s="118"/>
      <c r="B31" s="119"/>
      <c r="C31" s="15"/>
      <c r="D31" s="16"/>
      <c r="E31" s="16"/>
      <c r="F31" s="118"/>
      <c r="G31" s="118"/>
      <c r="H31" s="118"/>
      <c r="I31" s="118"/>
      <c r="J31" s="118"/>
      <c r="K31" s="118"/>
      <c r="L31" s="118"/>
      <c r="M31" s="118"/>
      <c r="N31" s="118"/>
      <c r="O31" s="118"/>
      <c r="P31" s="118"/>
      <c r="Q31" s="118"/>
      <c r="R31" s="118"/>
      <c r="S31" s="118"/>
      <c r="T31" s="118"/>
      <c r="U31" s="118"/>
      <c r="V31" s="118"/>
      <c r="W31" s="118"/>
      <c r="X31" s="118"/>
      <c r="Y31" s="118"/>
    </row>
    <row r="32" spans="1:25" ht="14.25" customHeight="1" x14ac:dyDescent="0.2">
      <c r="A32" s="118"/>
      <c r="B32" s="119"/>
      <c r="C32" s="15"/>
      <c r="D32" s="16"/>
      <c r="E32" s="16"/>
      <c r="F32" s="118"/>
      <c r="G32" s="118"/>
      <c r="H32" s="118"/>
      <c r="I32" s="118"/>
      <c r="J32" s="118"/>
      <c r="K32" s="118"/>
      <c r="L32" s="118"/>
      <c r="M32" s="118"/>
      <c r="N32" s="118"/>
      <c r="O32" s="118"/>
      <c r="P32" s="118"/>
      <c r="Q32" s="118"/>
      <c r="R32" s="118"/>
      <c r="S32" s="118"/>
      <c r="T32" s="118"/>
      <c r="U32" s="118"/>
      <c r="V32" s="118"/>
      <c r="W32" s="118"/>
      <c r="X32" s="118"/>
      <c r="Y32" s="118"/>
    </row>
    <row r="33" spans="1:25" ht="14.25" customHeight="1" x14ac:dyDescent="0.2">
      <c r="A33" s="118"/>
      <c r="B33" s="119"/>
      <c r="C33" s="15"/>
      <c r="D33" s="16"/>
      <c r="E33" s="16"/>
      <c r="F33" s="118"/>
      <c r="G33" s="118"/>
      <c r="H33" s="118"/>
      <c r="I33" s="118"/>
      <c r="J33" s="118"/>
      <c r="K33" s="118"/>
      <c r="L33" s="118"/>
      <c r="M33" s="118"/>
      <c r="N33" s="118"/>
      <c r="O33" s="118"/>
      <c r="P33" s="118"/>
      <c r="Q33" s="118"/>
      <c r="R33" s="118"/>
      <c r="S33" s="118"/>
      <c r="T33" s="118"/>
      <c r="U33" s="118"/>
      <c r="V33" s="118"/>
      <c r="W33" s="118"/>
      <c r="X33" s="118"/>
      <c r="Y33" s="118"/>
    </row>
    <row r="34" spans="1:25" ht="14.25" customHeight="1" x14ac:dyDescent="0.2">
      <c r="A34" s="118"/>
      <c r="B34" s="119"/>
      <c r="C34" s="15"/>
      <c r="D34" s="16"/>
      <c r="E34" s="16"/>
      <c r="F34" s="118"/>
      <c r="G34" s="118"/>
      <c r="H34" s="118"/>
      <c r="I34" s="118"/>
      <c r="J34" s="118"/>
      <c r="K34" s="118"/>
      <c r="L34" s="118"/>
      <c r="M34" s="118"/>
      <c r="N34" s="118"/>
      <c r="O34" s="118"/>
      <c r="P34" s="118"/>
      <c r="Q34" s="118"/>
      <c r="R34" s="118"/>
      <c r="S34" s="118"/>
      <c r="T34" s="118"/>
      <c r="U34" s="118"/>
      <c r="V34" s="118"/>
      <c r="W34" s="118"/>
      <c r="X34" s="118"/>
      <c r="Y34" s="118"/>
    </row>
    <row r="35" spans="1:25" ht="14.25" customHeight="1" x14ac:dyDescent="0.2">
      <c r="A35" s="118"/>
      <c r="B35" s="119"/>
      <c r="C35" s="15"/>
      <c r="D35" s="16"/>
      <c r="E35" s="16"/>
      <c r="F35" s="118"/>
      <c r="G35" s="118"/>
      <c r="H35" s="118"/>
      <c r="I35" s="118"/>
      <c r="J35" s="118"/>
      <c r="K35" s="118"/>
      <c r="L35" s="118"/>
      <c r="M35" s="118"/>
      <c r="N35" s="118"/>
      <c r="O35" s="118"/>
      <c r="P35" s="118"/>
      <c r="Q35" s="118"/>
      <c r="R35" s="118"/>
      <c r="S35" s="118"/>
      <c r="T35" s="118"/>
      <c r="U35" s="118"/>
      <c r="V35" s="118"/>
      <c r="W35" s="118"/>
      <c r="X35" s="118"/>
      <c r="Y35" s="118"/>
    </row>
    <row r="36" spans="1:25" ht="14.25" customHeight="1" x14ac:dyDescent="0.2">
      <c r="A36" s="118"/>
      <c r="B36" s="119"/>
      <c r="C36" s="15"/>
      <c r="D36" s="16"/>
      <c r="E36" s="16"/>
      <c r="F36" s="118"/>
      <c r="G36" s="118"/>
      <c r="H36" s="118"/>
      <c r="I36" s="118"/>
      <c r="J36" s="118"/>
      <c r="K36" s="118"/>
      <c r="L36" s="118"/>
      <c r="M36" s="118"/>
      <c r="N36" s="118"/>
      <c r="O36" s="118"/>
      <c r="P36" s="118"/>
      <c r="Q36" s="118"/>
      <c r="R36" s="118"/>
      <c r="S36" s="118"/>
      <c r="T36" s="118"/>
      <c r="U36" s="118"/>
      <c r="V36" s="118"/>
      <c r="W36" s="118"/>
      <c r="X36" s="118"/>
      <c r="Y36" s="118"/>
    </row>
    <row r="37" spans="1:25" ht="14.25" customHeight="1" x14ac:dyDescent="0.2">
      <c r="A37" s="118"/>
      <c r="B37" s="119"/>
      <c r="C37" s="15"/>
      <c r="D37" s="16"/>
      <c r="E37" s="16"/>
      <c r="F37" s="118"/>
      <c r="G37" s="118"/>
      <c r="H37" s="118"/>
      <c r="I37" s="118"/>
      <c r="J37" s="118"/>
      <c r="K37" s="118"/>
      <c r="L37" s="118"/>
      <c r="M37" s="118"/>
      <c r="N37" s="118"/>
      <c r="O37" s="118"/>
      <c r="P37" s="118"/>
      <c r="Q37" s="118"/>
      <c r="R37" s="118"/>
      <c r="S37" s="118"/>
      <c r="T37" s="118"/>
      <c r="U37" s="118"/>
      <c r="V37" s="118"/>
      <c r="W37" s="118"/>
      <c r="X37" s="118"/>
      <c r="Y37" s="118"/>
    </row>
    <row r="38" spans="1:25" ht="14.25" customHeight="1" x14ac:dyDescent="0.2">
      <c r="A38" s="118"/>
      <c r="B38" s="119"/>
      <c r="C38" s="15"/>
      <c r="D38" s="16"/>
      <c r="E38" s="16"/>
      <c r="F38" s="118"/>
      <c r="G38" s="118"/>
      <c r="H38" s="118"/>
      <c r="I38" s="118"/>
      <c r="J38" s="118"/>
      <c r="K38" s="118"/>
      <c r="L38" s="118"/>
      <c r="M38" s="118"/>
      <c r="N38" s="118"/>
      <c r="O38" s="118"/>
      <c r="P38" s="118"/>
      <c r="Q38" s="118"/>
      <c r="R38" s="118"/>
      <c r="S38" s="118"/>
      <c r="T38" s="118"/>
      <c r="U38" s="118"/>
      <c r="V38" s="118"/>
      <c r="W38" s="118"/>
      <c r="X38" s="118"/>
      <c r="Y38" s="118"/>
    </row>
    <row r="39" spans="1:25" ht="14.25" customHeight="1" x14ac:dyDescent="0.2">
      <c r="A39" s="118"/>
      <c r="B39" s="119"/>
      <c r="C39" s="15"/>
      <c r="D39" s="16"/>
      <c r="E39" s="16"/>
      <c r="F39" s="118"/>
      <c r="G39" s="118"/>
      <c r="H39" s="118"/>
      <c r="I39" s="118"/>
      <c r="J39" s="118"/>
      <c r="K39" s="118"/>
      <c r="L39" s="118"/>
      <c r="M39" s="118"/>
      <c r="N39" s="118"/>
      <c r="O39" s="118"/>
      <c r="P39" s="118"/>
      <c r="Q39" s="118"/>
      <c r="R39" s="118"/>
      <c r="S39" s="118"/>
      <c r="T39" s="118"/>
      <c r="U39" s="118"/>
      <c r="V39" s="118"/>
      <c r="W39" s="118"/>
      <c r="X39" s="118"/>
      <c r="Y39" s="118"/>
    </row>
    <row r="40" spans="1:25" ht="14.25" customHeight="1" x14ac:dyDescent="0.2">
      <c r="A40" s="118"/>
      <c r="B40" s="119"/>
      <c r="C40" s="15"/>
      <c r="D40" s="16"/>
      <c r="E40" s="16"/>
      <c r="F40" s="118"/>
      <c r="G40" s="118"/>
      <c r="H40" s="118"/>
      <c r="I40" s="118"/>
      <c r="J40" s="118"/>
      <c r="K40" s="118"/>
      <c r="L40" s="118"/>
      <c r="M40" s="118"/>
      <c r="N40" s="118"/>
      <c r="O40" s="118"/>
      <c r="P40" s="118"/>
      <c r="Q40" s="118"/>
      <c r="R40" s="118"/>
      <c r="S40" s="118"/>
      <c r="T40" s="118"/>
      <c r="U40" s="118"/>
      <c r="V40" s="118"/>
      <c r="W40" s="118"/>
      <c r="X40" s="118"/>
      <c r="Y40" s="118"/>
    </row>
    <row r="41" spans="1:25" ht="14.25" customHeight="1" x14ac:dyDescent="0.2">
      <c r="A41" s="118"/>
      <c r="B41" s="119"/>
      <c r="C41" s="15"/>
      <c r="D41" s="16"/>
      <c r="E41" s="16"/>
      <c r="F41" s="118"/>
      <c r="G41" s="118"/>
      <c r="H41" s="118"/>
      <c r="I41" s="118"/>
      <c r="J41" s="118"/>
      <c r="K41" s="118"/>
      <c r="L41" s="118"/>
      <c r="M41" s="118"/>
      <c r="N41" s="118"/>
      <c r="O41" s="118"/>
      <c r="P41" s="118"/>
      <c r="Q41" s="118"/>
      <c r="R41" s="118"/>
      <c r="S41" s="118"/>
      <c r="T41" s="118"/>
      <c r="U41" s="118"/>
      <c r="V41" s="118"/>
      <c r="W41" s="118"/>
      <c r="X41" s="118"/>
      <c r="Y41" s="118"/>
    </row>
    <row r="42" spans="1:25" ht="14.25" customHeight="1" x14ac:dyDescent="0.2">
      <c r="A42" s="118"/>
      <c r="B42" s="119"/>
      <c r="C42" s="15"/>
      <c r="D42" s="16"/>
      <c r="E42" s="16"/>
      <c r="F42" s="118"/>
      <c r="G42" s="118"/>
      <c r="H42" s="118"/>
      <c r="I42" s="118"/>
      <c r="J42" s="118"/>
      <c r="K42" s="118"/>
      <c r="L42" s="118"/>
      <c r="M42" s="118"/>
      <c r="N42" s="118"/>
      <c r="O42" s="118"/>
      <c r="P42" s="118"/>
      <c r="Q42" s="118"/>
      <c r="R42" s="118"/>
      <c r="S42" s="118"/>
      <c r="T42" s="118"/>
      <c r="U42" s="118"/>
      <c r="V42" s="118"/>
      <c r="W42" s="118"/>
      <c r="X42" s="118"/>
      <c r="Y42" s="118"/>
    </row>
    <row r="43" spans="1:25" ht="14.25" customHeight="1" x14ac:dyDescent="0.2">
      <c r="A43" s="118"/>
      <c r="B43" s="119"/>
      <c r="C43" s="15"/>
      <c r="D43" s="16"/>
      <c r="E43" s="16"/>
      <c r="F43" s="118"/>
      <c r="G43" s="118"/>
      <c r="H43" s="118"/>
      <c r="I43" s="118"/>
      <c r="J43" s="118"/>
      <c r="K43" s="118"/>
      <c r="L43" s="118"/>
      <c r="M43" s="118"/>
      <c r="N43" s="118"/>
      <c r="O43" s="118"/>
      <c r="P43" s="118"/>
      <c r="Q43" s="118"/>
      <c r="R43" s="118"/>
      <c r="S43" s="118"/>
      <c r="T43" s="118"/>
      <c r="U43" s="118"/>
      <c r="V43" s="118"/>
      <c r="W43" s="118"/>
      <c r="X43" s="118"/>
      <c r="Y43" s="118"/>
    </row>
    <row r="44" spans="1:25" ht="14.25" customHeight="1" x14ac:dyDescent="0.2">
      <c r="A44" s="118"/>
      <c r="B44" s="119"/>
      <c r="C44" s="15"/>
      <c r="D44" s="16"/>
      <c r="E44" s="16"/>
      <c r="F44" s="118"/>
      <c r="G44" s="118"/>
      <c r="H44" s="118"/>
      <c r="I44" s="118"/>
      <c r="J44" s="118"/>
      <c r="K44" s="118"/>
      <c r="L44" s="118"/>
      <c r="M44" s="118"/>
      <c r="N44" s="118"/>
      <c r="O44" s="118"/>
      <c r="P44" s="118"/>
      <c r="Q44" s="118"/>
      <c r="R44" s="118"/>
      <c r="S44" s="118"/>
      <c r="T44" s="118"/>
      <c r="U44" s="118"/>
      <c r="V44" s="118"/>
      <c r="W44" s="118"/>
      <c r="X44" s="118"/>
      <c r="Y44" s="118"/>
    </row>
    <row r="45" spans="1:25" ht="14.25" customHeight="1" x14ac:dyDescent="0.2">
      <c r="A45" s="118"/>
      <c r="B45" s="119"/>
      <c r="C45" s="15"/>
      <c r="D45" s="16"/>
      <c r="E45" s="16"/>
      <c r="F45" s="118"/>
      <c r="G45" s="118"/>
      <c r="H45" s="118"/>
      <c r="I45" s="118"/>
      <c r="J45" s="118"/>
      <c r="K45" s="118"/>
      <c r="L45" s="118"/>
      <c r="M45" s="118"/>
      <c r="N45" s="118"/>
      <c r="O45" s="118"/>
      <c r="P45" s="118"/>
      <c r="Q45" s="118"/>
      <c r="R45" s="118"/>
      <c r="S45" s="118"/>
      <c r="T45" s="118"/>
      <c r="U45" s="118"/>
      <c r="V45" s="118"/>
      <c r="W45" s="118"/>
      <c r="X45" s="118"/>
      <c r="Y45" s="118"/>
    </row>
    <row r="46" spans="1:25" ht="14.25" customHeight="1" x14ac:dyDescent="0.2">
      <c r="A46" s="118"/>
      <c r="B46" s="119"/>
      <c r="C46" s="15"/>
      <c r="D46" s="16"/>
      <c r="E46" s="16"/>
      <c r="F46" s="118"/>
      <c r="G46" s="118"/>
      <c r="H46" s="118"/>
      <c r="I46" s="118"/>
      <c r="J46" s="118"/>
      <c r="K46" s="118"/>
      <c r="L46" s="118"/>
      <c r="M46" s="118"/>
      <c r="N46" s="118"/>
      <c r="O46" s="118"/>
      <c r="P46" s="118"/>
      <c r="Q46" s="118"/>
      <c r="R46" s="118"/>
      <c r="S46" s="118"/>
      <c r="T46" s="118"/>
      <c r="U46" s="118"/>
      <c r="V46" s="118"/>
      <c r="W46" s="118"/>
      <c r="X46" s="118"/>
      <c r="Y46" s="118"/>
    </row>
    <row r="47" spans="1:25" ht="14.25" customHeight="1" x14ac:dyDescent="0.2">
      <c r="A47" s="118"/>
      <c r="B47" s="119"/>
      <c r="C47" s="15"/>
      <c r="D47" s="16"/>
      <c r="E47" s="16"/>
      <c r="F47" s="118"/>
      <c r="G47" s="118"/>
      <c r="H47" s="118"/>
      <c r="I47" s="118"/>
      <c r="J47" s="118"/>
      <c r="K47" s="118"/>
      <c r="L47" s="118"/>
      <c r="M47" s="118"/>
      <c r="N47" s="118"/>
      <c r="O47" s="118"/>
      <c r="P47" s="118"/>
      <c r="Q47" s="118"/>
      <c r="R47" s="118"/>
      <c r="S47" s="118"/>
      <c r="T47" s="118"/>
      <c r="U47" s="118"/>
      <c r="V47" s="118"/>
      <c r="W47" s="118"/>
      <c r="X47" s="118"/>
      <c r="Y47" s="118"/>
    </row>
    <row r="48" spans="1:25" ht="14.25" customHeight="1" x14ac:dyDescent="0.2">
      <c r="A48" s="118"/>
      <c r="B48" s="119"/>
      <c r="C48" s="15"/>
      <c r="D48" s="16"/>
      <c r="E48" s="16"/>
      <c r="F48" s="118"/>
      <c r="G48" s="118"/>
      <c r="H48" s="118"/>
      <c r="I48" s="118"/>
      <c r="J48" s="118"/>
      <c r="K48" s="118"/>
      <c r="L48" s="118"/>
      <c r="M48" s="118"/>
      <c r="N48" s="118"/>
      <c r="O48" s="118"/>
      <c r="P48" s="118"/>
      <c r="Q48" s="118"/>
      <c r="R48" s="118"/>
      <c r="S48" s="118"/>
      <c r="T48" s="118"/>
      <c r="U48" s="118"/>
      <c r="V48" s="118"/>
      <c r="W48" s="118"/>
      <c r="X48" s="118"/>
      <c r="Y48" s="118"/>
    </row>
    <row r="49" spans="1:25" ht="14.25" customHeight="1" x14ac:dyDescent="0.2">
      <c r="A49" s="118"/>
      <c r="B49" s="119"/>
      <c r="C49" s="15"/>
      <c r="D49" s="16"/>
      <c r="E49" s="16"/>
      <c r="F49" s="118"/>
      <c r="G49" s="118"/>
      <c r="H49" s="118"/>
      <c r="I49" s="118"/>
      <c r="J49" s="118"/>
      <c r="K49" s="118"/>
      <c r="L49" s="118"/>
      <c r="M49" s="118"/>
      <c r="N49" s="118"/>
      <c r="O49" s="118"/>
      <c r="P49" s="118"/>
      <c r="Q49" s="118"/>
      <c r="R49" s="118"/>
      <c r="S49" s="118"/>
      <c r="T49" s="118"/>
      <c r="U49" s="118"/>
      <c r="V49" s="118"/>
      <c r="W49" s="118"/>
      <c r="X49" s="118"/>
      <c r="Y49" s="118"/>
    </row>
    <row r="50" spans="1:25" ht="14.25" customHeight="1" x14ac:dyDescent="0.2">
      <c r="A50" s="118"/>
      <c r="B50" s="119"/>
      <c r="C50" s="15"/>
      <c r="D50" s="16"/>
      <c r="E50" s="16"/>
      <c r="F50" s="118"/>
      <c r="G50" s="118"/>
      <c r="H50" s="118"/>
      <c r="I50" s="118"/>
      <c r="J50" s="118"/>
      <c r="K50" s="118"/>
      <c r="L50" s="118"/>
      <c r="M50" s="118"/>
      <c r="N50" s="118"/>
      <c r="O50" s="118"/>
      <c r="P50" s="118"/>
      <c r="Q50" s="118"/>
      <c r="R50" s="118"/>
      <c r="S50" s="118"/>
      <c r="T50" s="118"/>
      <c r="U50" s="118"/>
      <c r="V50" s="118"/>
      <c r="W50" s="118"/>
      <c r="X50" s="118"/>
      <c r="Y50" s="118"/>
    </row>
    <row r="51" spans="1:25" ht="14.25" customHeight="1" x14ac:dyDescent="0.2">
      <c r="A51" s="118"/>
      <c r="B51" s="119"/>
      <c r="C51" s="15"/>
      <c r="D51" s="16"/>
      <c r="E51" s="16"/>
      <c r="F51" s="118"/>
      <c r="G51" s="118"/>
      <c r="H51" s="118"/>
      <c r="I51" s="118"/>
      <c r="J51" s="118"/>
      <c r="K51" s="118"/>
      <c r="L51" s="118"/>
      <c r="M51" s="118"/>
      <c r="N51" s="118"/>
      <c r="O51" s="118"/>
      <c r="P51" s="118"/>
      <c r="Q51" s="118"/>
      <c r="R51" s="118"/>
      <c r="S51" s="118"/>
      <c r="T51" s="118"/>
      <c r="U51" s="118"/>
      <c r="V51" s="118"/>
      <c r="W51" s="118"/>
      <c r="X51" s="118"/>
      <c r="Y51" s="118"/>
    </row>
    <row r="52" spans="1:25" ht="14.25" customHeight="1" x14ac:dyDescent="0.2">
      <c r="A52" s="118"/>
      <c r="B52" s="119"/>
      <c r="C52" s="15"/>
      <c r="D52" s="16"/>
      <c r="E52" s="16"/>
      <c r="F52" s="118"/>
      <c r="G52" s="118"/>
      <c r="H52" s="118"/>
      <c r="I52" s="118"/>
      <c r="J52" s="118"/>
      <c r="K52" s="118"/>
      <c r="L52" s="118"/>
      <c r="M52" s="118"/>
      <c r="N52" s="118"/>
      <c r="O52" s="118"/>
      <c r="P52" s="118"/>
      <c r="Q52" s="118"/>
      <c r="R52" s="118"/>
      <c r="S52" s="118"/>
      <c r="T52" s="118"/>
      <c r="U52" s="118"/>
      <c r="V52" s="118"/>
      <c r="W52" s="118"/>
      <c r="X52" s="118"/>
      <c r="Y52" s="118"/>
    </row>
    <row r="53" spans="1:25" ht="14.25" customHeight="1" x14ac:dyDescent="0.2">
      <c r="A53" s="118"/>
      <c r="B53" s="119"/>
      <c r="C53" s="15"/>
      <c r="D53" s="16"/>
      <c r="E53" s="16"/>
      <c r="F53" s="118"/>
      <c r="G53" s="118"/>
      <c r="H53" s="118"/>
      <c r="I53" s="118"/>
      <c r="J53" s="118"/>
      <c r="K53" s="118"/>
      <c r="L53" s="118"/>
      <c r="M53" s="118"/>
      <c r="N53" s="118"/>
      <c r="O53" s="118"/>
      <c r="P53" s="118"/>
      <c r="Q53" s="118"/>
      <c r="R53" s="118"/>
      <c r="S53" s="118"/>
      <c r="T53" s="118"/>
      <c r="U53" s="118"/>
      <c r="V53" s="118"/>
      <c r="W53" s="118"/>
      <c r="X53" s="118"/>
      <c r="Y53" s="118"/>
    </row>
    <row r="54" spans="1:25" ht="14.25" customHeight="1" x14ac:dyDescent="0.2">
      <c r="A54" s="118"/>
      <c r="B54" s="119"/>
      <c r="C54" s="15"/>
      <c r="D54" s="16"/>
      <c r="E54" s="16"/>
      <c r="F54" s="118"/>
      <c r="G54" s="118"/>
      <c r="H54" s="118"/>
      <c r="I54" s="118"/>
      <c r="J54" s="118"/>
      <c r="K54" s="118"/>
      <c r="L54" s="118"/>
      <c r="M54" s="118"/>
      <c r="N54" s="118"/>
      <c r="O54" s="118"/>
      <c r="P54" s="118"/>
      <c r="Q54" s="118"/>
      <c r="R54" s="118"/>
      <c r="S54" s="118"/>
      <c r="T54" s="118"/>
      <c r="U54" s="118"/>
      <c r="V54" s="118"/>
      <c r="W54" s="118"/>
      <c r="X54" s="118"/>
      <c r="Y54" s="118"/>
    </row>
    <row r="55" spans="1:25" ht="14.25" customHeight="1" x14ac:dyDescent="0.2">
      <c r="A55" s="118"/>
      <c r="B55" s="119"/>
      <c r="C55" s="15"/>
      <c r="D55" s="16"/>
      <c r="E55" s="16"/>
      <c r="F55" s="118"/>
      <c r="G55" s="118"/>
      <c r="H55" s="118"/>
      <c r="I55" s="118"/>
      <c r="J55" s="118"/>
      <c r="K55" s="118"/>
      <c r="L55" s="118"/>
      <c r="M55" s="118"/>
      <c r="N55" s="118"/>
      <c r="O55" s="118"/>
      <c r="P55" s="118"/>
      <c r="Q55" s="118"/>
      <c r="R55" s="118"/>
      <c r="S55" s="118"/>
      <c r="T55" s="118"/>
      <c r="U55" s="118"/>
      <c r="V55" s="118"/>
      <c r="W55" s="118"/>
      <c r="X55" s="118"/>
      <c r="Y55" s="118"/>
    </row>
    <row r="56" spans="1:25" ht="14.25" customHeight="1" x14ac:dyDescent="0.2">
      <c r="A56" s="118"/>
      <c r="B56" s="119"/>
      <c r="C56" s="15"/>
      <c r="D56" s="16"/>
      <c r="E56" s="16"/>
      <c r="F56" s="118"/>
      <c r="G56" s="118"/>
      <c r="H56" s="118"/>
      <c r="I56" s="118"/>
      <c r="J56" s="118"/>
      <c r="K56" s="118"/>
      <c r="L56" s="118"/>
      <c r="M56" s="118"/>
      <c r="N56" s="118"/>
      <c r="O56" s="118"/>
      <c r="P56" s="118"/>
      <c r="Q56" s="118"/>
      <c r="R56" s="118"/>
      <c r="S56" s="118"/>
      <c r="T56" s="118"/>
      <c r="U56" s="118"/>
      <c r="V56" s="118"/>
      <c r="W56" s="118"/>
      <c r="X56" s="118"/>
      <c r="Y56" s="118"/>
    </row>
    <row r="57" spans="1:25" ht="14.25" customHeight="1" x14ac:dyDescent="0.2">
      <c r="A57" s="118"/>
      <c r="B57" s="119"/>
      <c r="C57" s="15"/>
      <c r="D57" s="16"/>
      <c r="E57" s="16"/>
      <c r="F57" s="118"/>
      <c r="G57" s="118"/>
      <c r="H57" s="118"/>
      <c r="I57" s="118"/>
      <c r="J57" s="118"/>
      <c r="K57" s="118"/>
      <c r="L57" s="118"/>
      <c r="M57" s="118"/>
      <c r="N57" s="118"/>
      <c r="O57" s="118"/>
      <c r="P57" s="118"/>
      <c r="Q57" s="118"/>
      <c r="R57" s="118"/>
      <c r="S57" s="118"/>
      <c r="T57" s="118"/>
      <c r="U57" s="118"/>
      <c r="V57" s="118"/>
      <c r="W57" s="118"/>
      <c r="X57" s="118"/>
      <c r="Y57" s="118"/>
    </row>
    <row r="58" spans="1:25" ht="14.25" customHeight="1" x14ac:dyDescent="0.2">
      <c r="A58" s="118"/>
      <c r="B58" s="119"/>
      <c r="C58" s="15"/>
      <c r="D58" s="16"/>
      <c r="E58" s="16"/>
      <c r="F58" s="118"/>
      <c r="G58" s="118"/>
      <c r="H58" s="118"/>
      <c r="I58" s="118"/>
      <c r="J58" s="118"/>
      <c r="K58" s="118"/>
      <c r="L58" s="118"/>
      <c r="M58" s="118"/>
      <c r="N58" s="118"/>
      <c r="O58" s="118"/>
      <c r="P58" s="118"/>
      <c r="Q58" s="118"/>
      <c r="R58" s="118"/>
      <c r="S58" s="118"/>
      <c r="T58" s="118"/>
      <c r="U58" s="118"/>
      <c r="V58" s="118"/>
      <c r="W58" s="118"/>
      <c r="X58" s="118"/>
      <c r="Y58" s="118"/>
    </row>
    <row r="59" spans="1:25" ht="14.25" customHeight="1" x14ac:dyDescent="0.2">
      <c r="A59" s="118"/>
      <c r="B59" s="119"/>
      <c r="C59" s="15"/>
      <c r="D59" s="16"/>
      <c r="E59" s="16"/>
      <c r="F59" s="118"/>
      <c r="G59" s="118"/>
      <c r="H59" s="118"/>
      <c r="I59" s="118"/>
      <c r="J59" s="118"/>
      <c r="K59" s="118"/>
      <c r="L59" s="118"/>
      <c r="M59" s="118"/>
      <c r="N59" s="118"/>
      <c r="O59" s="118"/>
      <c r="P59" s="118"/>
      <c r="Q59" s="118"/>
      <c r="R59" s="118"/>
      <c r="S59" s="118"/>
      <c r="T59" s="118"/>
      <c r="U59" s="118"/>
      <c r="V59" s="118"/>
      <c r="W59" s="118"/>
      <c r="X59" s="118"/>
      <c r="Y59" s="118"/>
    </row>
    <row r="60" spans="1:25" ht="14.25" customHeight="1" x14ac:dyDescent="0.2">
      <c r="A60" s="118"/>
      <c r="B60" s="119"/>
      <c r="C60" s="15"/>
      <c r="D60" s="16"/>
      <c r="E60" s="16"/>
      <c r="F60" s="118"/>
      <c r="G60" s="118"/>
      <c r="H60" s="118"/>
      <c r="I60" s="118"/>
      <c r="J60" s="118"/>
      <c r="K60" s="118"/>
      <c r="L60" s="118"/>
      <c r="M60" s="118"/>
      <c r="N60" s="118"/>
      <c r="O60" s="118"/>
      <c r="P60" s="118"/>
      <c r="Q60" s="118"/>
      <c r="R60" s="118"/>
      <c r="S60" s="118"/>
      <c r="T60" s="118"/>
      <c r="U60" s="118"/>
      <c r="V60" s="118"/>
      <c r="W60" s="118"/>
      <c r="X60" s="118"/>
      <c r="Y60" s="118"/>
    </row>
    <row r="61" spans="1:25" ht="14.25" customHeight="1" x14ac:dyDescent="0.2">
      <c r="A61" s="118"/>
      <c r="B61" s="119"/>
      <c r="C61" s="15"/>
      <c r="D61" s="16"/>
      <c r="E61" s="16"/>
      <c r="F61" s="118"/>
      <c r="G61" s="118"/>
      <c r="H61" s="118"/>
      <c r="I61" s="118"/>
      <c r="J61" s="118"/>
      <c r="K61" s="118"/>
      <c r="L61" s="118"/>
      <c r="M61" s="118"/>
      <c r="N61" s="118"/>
      <c r="O61" s="118"/>
      <c r="P61" s="118"/>
      <c r="Q61" s="118"/>
      <c r="R61" s="118"/>
      <c r="S61" s="118"/>
      <c r="T61" s="118"/>
      <c r="U61" s="118"/>
      <c r="V61" s="118"/>
      <c r="W61" s="118"/>
      <c r="X61" s="118"/>
      <c r="Y61" s="118"/>
    </row>
    <row r="62" spans="1:25" ht="14.25" customHeight="1" x14ac:dyDescent="0.2">
      <c r="A62" s="118"/>
      <c r="B62" s="119"/>
      <c r="C62" s="15"/>
      <c r="D62" s="16"/>
      <c r="E62" s="16"/>
      <c r="F62" s="118"/>
      <c r="G62" s="118"/>
      <c r="H62" s="118"/>
      <c r="I62" s="118"/>
      <c r="J62" s="118"/>
      <c r="K62" s="118"/>
      <c r="L62" s="118"/>
      <c r="M62" s="118"/>
      <c r="N62" s="118"/>
      <c r="O62" s="118"/>
      <c r="P62" s="118"/>
      <c r="Q62" s="118"/>
      <c r="R62" s="118"/>
      <c r="S62" s="118"/>
      <c r="T62" s="118"/>
      <c r="U62" s="118"/>
      <c r="V62" s="118"/>
      <c r="W62" s="118"/>
      <c r="X62" s="118"/>
      <c r="Y62" s="118"/>
    </row>
    <row r="63" spans="1:25" ht="14.25" customHeight="1" x14ac:dyDescent="0.2">
      <c r="A63" s="118"/>
      <c r="B63" s="119"/>
      <c r="C63" s="15"/>
      <c r="D63" s="16"/>
      <c r="E63" s="16"/>
      <c r="F63" s="118"/>
      <c r="G63" s="118"/>
      <c r="H63" s="118"/>
      <c r="I63" s="118"/>
      <c r="J63" s="118"/>
      <c r="K63" s="118"/>
      <c r="L63" s="118"/>
      <c r="M63" s="118"/>
      <c r="N63" s="118"/>
      <c r="O63" s="118"/>
      <c r="P63" s="118"/>
      <c r="Q63" s="118"/>
      <c r="R63" s="118"/>
      <c r="S63" s="118"/>
      <c r="T63" s="118"/>
      <c r="U63" s="118"/>
      <c r="V63" s="118"/>
      <c r="W63" s="118"/>
      <c r="X63" s="118"/>
      <c r="Y63" s="118"/>
    </row>
    <row r="64" spans="1:25" ht="14.25" customHeight="1" x14ac:dyDescent="0.2">
      <c r="A64" s="118"/>
      <c r="B64" s="119"/>
      <c r="C64" s="15"/>
      <c r="D64" s="16"/>
      <c r="E64" s="16"/>
      <c r="F64" s="118"/>
      <c r="G64" s="118"/>
      <c r="H64" s="118"/>
      <c r="I64" s="118"/>
      <c r="J64" s="118"/>
      <c r="K64" s="118"/>
      <c r="L64" s="118"/>
      <c r="M64" s="118"/>
      <c r="N64" s="118"/>
      <c r="O64" s="118"/>
      <c r="P64" s="118"/>
      <c r="Q64" s="118"/>
      <c r="R64" s="118"/>
      <c r="S64" s="118"/>
      <c r="T64" s="118"/>
      <c r="U64" s="118"/>
      <c r="V64" s="118"/>
      <c r="W64" s="118"/>
      <c r="X64" s="118"/>
      <c r="Y64" s="118"/>
    </row>
    <row r="65" spans="1:25" ht="14.25" customHeight="1" x14ac:dyDescent="0.2">
      <c r="A65" s="118"/>
      <c r="B65" s="119"/>
      <c r="C65" s="15"/>
      <c r="D65" s="16"/>
      <c r="E65" s="16"/>
      <c r="F65" s="118"/>
      <c r="G65" s="118"/>
      <c r="H65" s="118"/>
      <c r="I65" s="118"/>
      <c r="J65" s="118"/>
      <c r="K65" s="118"/>
      <c r="L65" s="118"/>
      <c r="M65" s="118"/>
      <c r="N65" s="118"/>
      <c r="O65" s="118"/>
      <c r="P65" s="118"/>
      <c r="Q65" s="118"/>
      <c r="R65" s="118"/>
      <c r="S65" s="118"/>
      <c r="T65" s="118"/>
      <c r="U65" s="118"/>
      <c r="V65" s="118"/>
      <c r="W65" s="118"/>
      <c r="X65" s="118"/>
      <c r="Y65" s="118"/>
    </row>
    <row r="66" spans="1:25" ht="14.25" customHeight="1" x14ac:dyDescent="0.2">
      <c r="A66" s="118"/>
      <c r="B66" s="119"/>
      <c r="C66" s="15"/>
      <c r="D66" s="16"/>
      <c r="E66" s="16"/>
      <c r="F66" s="118"/>
      <c r="G66" s="118"/>
      <c r="H66" s="118"/>
      <c r="I66" s="118"/>
      <c r="J66" s="118"/>
      <c r="K66" s="118"/>
      <c r="L66" s="118"/>
      <c r="M66" s="118"/>
      <c r="N66" s="118"/>
      <c r="O66" s="118"/>
      <c r="P66" s="118"/>
      <c r="Q66" s="118"/>
      <c r="R66" s="118"/>
      <c r="S66" s="118"/>
      <c r="T66" s="118"/>
      <c r="U66" s="118"/>
      <c r="V66" s="118"/>
      <c r="W66" s="118"/>
      <c r="X66" s="118"/>
      <c r="Y66" s="118"/>
    </row>
    <row r="67" spans="1:25" ht="14.25" customHeight="1" x14ac:dyDescent="0.2">
      <c r="A67" s="118"/>
      <c r="B67" s="119"/>
      <c r="C67" s="15"/>
      <c r="D67" s="16"/>
      <c r="E67" s="16"/>
      <c r="F67" s="118"/>
      <c r="G67" s="118"/>
      <c r="H67" s="118"/>
      <c r="I67" s="118"/>
      <c r="J67" s="118"/>
      <c r="K67" s="118"/>
      <c r="L67" s="118"/>
      <c r="M67" s="118"/>
      <c r="N67" s="118"/>
      <c r="O67" s="118"/>
      <c r="P67" s="118"/>
      <c r="Q67" s="118"/>
      <c r="R67" s="118"/>
      <c r="S67" s="118"/>
      <c r="T67" s="118"/>
      <c r="U67" s="118"/>
      <c r="V67" s="118"/>
      <c r="W67" s="118"/>
      <c r="X67" s="118"/>
      <c r="Y67" s="118"/>
    </row>
    <row r="68" spans="1:25" ht="14.25" customHeight="1" x14ac:dyDescent="0.2">
      <c r="A68" s="118"/>
      <c r="B68" s="119"/>
      <c r="C68" s="15"/>
      <c r="D68" s="16"/>
      <c r="E68" s="16"/>
      <c r="F68" s="118"/>
      <c r="G68" s="118"/>
      <c r="H68" s="118"/>
      <c r="I68" s="118"/>
      <c r="J68" s="118"/>
      <c r="K68" s="118"/>
      <c r="L68" s="118"/>
      <c r="M68" s="118"/>
      <c r="N68" s="118"/>
      <c r="O68" s="118"/>
      <c r="P68" s="118"/>
      <c r="Q68" s="118"/>
      <c r="R68" s="118"/>
      <c r="S68" s="118"/>
      <c r="T68" s="118"/>
      <c r="U68" s="118"/>
      <c r="V68" s="118"/>
      <c r="W68" s="118"/>
      <c r="X68" s="118"/>
      <c r="Y68" s="118"/>
    </row>
    <row r="69" spans="1:25" ht="14.25" customHeight="1" x14ac:dyDescent="0.2">
      <c r="A69" s="118"/>
      <c r="B69" s="119"/>
      <c r="C69" s="15"/>
      <c r="D69" s="16"/>
      <c r="E69" s="16"/>
      <c r="F69" s="118"/>
      <c r="G69" s="118"/>
      <c r="H69" s="118"/>
      <c r="I69" s="118"/>
      <c r="J69" s="118"/>
      <c r="K69" s="118"/>
      <c r="L69" s="118"/>
      <c r="M69" s="118"/>
      <c r="N69" s="118"/>
      <c r="O69" s="118"/>
      <c r="P69" s="118"/>
      <c r="Q69" s="118"/>
      <c r="R69" s="118"/>
      <c r="S69" s="118"/>
      <c r="T69" s="118"/>
      <c r="U69" s="118"/>
      <c r="V69" s="118"/>
      <c r="W69" s="118"/>
      <c r="X69" s="118"/>
      <c r="Y69" s="118"/>
    </row>
    <row r="70" spans="1:25" ht="14.25" customHeight="1" x14ac:dyDescent="0.2">
      <c r="A70" s="118"/>
      <c r="B70" s="119"/>
      <c r="C70" s="15"/>
      <c r="D70" s="16"/>
      <c r="E70" s="16"/>
      <c r="F70" s="118"/>
      <c r="G70" s="118"/>
      <c r="H70" s="118"/>
      <c r="I70" s="118"/>
      <c r="J70" s="118"/>
      <c r="K70" s="118"/>
      <c r="L70" s="118"/>
      <c r="M70" s="118"/>
      <c r="N70" s="118"/>
      <c r="O70" s="118"/>
      <c r="P70" s="118"/>
      <c r="Q70" s="118"/>
      <c r="R70" s="118"/>
      <c r="S70" s="118"/>
      <c r="T70" s="118"/>
      <c r="U70" s="118"/>
      <c r="V70" s="118"/>
      <c r="W70" s="118"/>
      <c r="X70" s="118"/>
      <c r="Y70" s="118"/>
    </row>
    <row r="71" spans="1:25" ht="14.25" customHeight="1" x14ac:dyDescent="0.2">
      <c r="A71" s="118"/>
      <c r="B71" s="119"/>
      <c r="C71" s="15"/>
      <c r="D71" s="16"/>
      <c r="E71" s="16"/>
      <c r="F71" s="118"/>
      <c r="G71" s="118"/>
      <c r="H71" s="118"/>
      <c r="I71" s="118"/>
      <c r="J71" s="118"/>
      <c r="K71" s="118"/>
      <c r="L71" s="118"/>
      <c r="M71" s="118"/>
      <c r="N71" s="118"/>
      <c r="O71" s="118"/>
      <c r="P71" s="118"/>
      <c r="Q71" s="118"/>
      <c r="R71" s="118"/>
      <c r="S71" s="118"/>
      <c r="T71" s="118"/>
      <c r="U71" s="118"/>
      <c r="V71" s="118"/>
      <c r="W71" s="118"/>
      <c r="X71" s="118"/>
      <c r="Y71" s="118"/>
    </row>
    <row r="72" spans="1:25" ht="14.25" customHeight="1" x14ac:dyDescent="0.2">
      <c r="A72" s="118"/>
      <c r="B72" s="119"/>
      <c r="C72" s="15"/>
      <c r="D72" s="16"/>
      <c r="E72" s="16"/>
      <c r="F72" s="118"/>
      <c r="G72" s="118"/>
      <c r="H72" s="118"/>
      <c r="I72" s="118"/>
      <c r="J72" s="118"/>
      <c r="K72" s="118"/>
      <c r="L72" s="118"/>
      <c r="M72" s="118"/>
      <c r="N72" s="118"/>
      <c r="O72" s="118"/>
      <c r="P72" s="118"/>
      <c r="Q72" s="118"/>
      <c r="R72" s="118"/>
      <c r="S72" s="118"/>
      <c r="T72" s="118"/>
      <c r="U72" s="118"/>
      <c r="V72" s="118"/>
      <c r="W72" s="118"/>
      <c r="X72" s="118"/>
      <c r="Y72" s="118"/>
    </row>
    <row r="73" spans="1:25" ht="14.25" customHeight="1" x14ac:dyDescent="0.2">
      <c r="A73" s="118"/>
      <c r="B73" s="119"/>
      <c r="C73" s="15"/>
      <c r="D73" s="16"/>
      <c r="E73" s="16"/>
      <c r="F73" s="118"/>
      <c r="G73" s="118"/>
      <c r="H73" s="118"/>
      <c r="I73" s="118"/>
      <c r="J73" s="118"/>
      <c r="K73" s="118"/>
      <c r="L73" s="118"/>
      <c r="M73" s="118"/>
      <c r="N73" s="118"/>
      <c r="O73" s="118"/>
      <c r="P73" s="118"/>
      <c r="Q73" s="118"/>
      <c r="R73" s="118"/>
      <c r="S73" s="118"/>
      <c r="T73" s="118"/>
      <c r="U73" s="118"/>
      <c r="V73" s="118"/>
      <c r="W73" s="118"/>
      <c r="X73" s="118"/>
      <c r="Y73" s="118"/>
    </row>
    <row r="74" spans="1:25" ht="14.25" customHeight="1" x14ac:dyDescent="0.2">
      <c r="A74" s="118"/>
      <c r="B74" s="119"/>
      <c r="C74" s="15"/>
      <c r="D74" s="16"/>
      <c r="E74" s="16"/>
      <c r="F74" s="118"/>
      <c r="G74" s="118"/>
      <c r="H74" s="118"/>
      <c r="I74" s="118"/>
      <c r="J74" s="118"/>
      <c r="K74" s="118"/>
      <c r="L74" s="118"/>
      <c r="M74" s="118"/>
      <c r="N74" s="118"/>
      <c r="O74" s="118"/>
      <c r="P74" s="118"/>
      <c r="Q74" s="118"/>
      <c r="R74" s="118"/>
      <c r="S74" s="118"/>
      <c r="T74" s="118"/>
      <c r="U74" s="118"/>
      <c r="V74" s="118"/>
      <c r="W74" s="118"/>
      <c r="X74" s="118"/>
      <c r="Y74" s="118"/>
    </row>
    <row r="75" spans="1:25" ht="14.25" customHeight="1" x14ac:dyDescent="0.2">
      <c r="A75" s="118"/>
      <c r="B75" s="119"/>
      <c r="C75" s="15"/>
      <c r="D75" s="16"/>
      <c r="E75" s="16"/>
      <c r="F75" s="118"/>
      <c r="G75" s="118"/>
      <c r="H75" s="118"/>
      <c r="I75" s="118"/>
      <c r="J75" s="118"/>
      <c r="K75" s="118"/>
      <c r="L75" s="118"/>
      <c r="M75" s="118"/>
      <c r="N75" s="118"/>
      <c r="O75" s="118"/>
      <c r="P75" s="118"/>
      <c r="Q75" s="118"/>
      <c r="R75" s="118"/>
      <c r="S75" s="118"/>
      <c r="T75" s="118"/>
      <c r="U75" s="118"/>
      <c r="V75" s="118"/>
      <c r="W75" s="118"/>
      <c r="X75" s="118"/>
      <c r="Y75" s="118"/>
    </row>
    <row r="76" spans="1:25" ht="14.25" customHeight="1" x14ac:dyDescent="0.2">
      <c r="A76" s="118"/>
      <c r="B76" s="119"/>
      <c r="C76" s="15"/>
      <c r="D76" s="16"/>
      <c r="E76" s="16"/>
      <c r="F76" s="118"/>
      <c r="G76" s="118"/>
      <c r="H76" s="118"/>
      <c r="I76" s="118"/>
      <c r="J76" s="118"/>
      <c r="K76" s="118"/>
      <c r="L76" s="118"/>
      <c r="M76" s="118"/>
      <c r="N76" s="118"/>
      <c r="O76" s="118"/>
      <c r="P76" s="118"/>
      <c r="Q76" s="118"/>
      <c r="R76" s="118"/>
      <c r="S76" s="118"/>
      <c r="T76" s="118"/>
      <c r="U76" s="118"/>
      <c r="V76" s="118"/>
      <c r="W76" s="118"/>
      <c r="X76" s="118"/>
      <c r="Y76" s="118"/>
    </row>
    <row r="77" spans="1:25" ht="14.25" customHeight="1" x14ac:dyDescent="0.2">
      <c r="A77" s="118"/>
      <c r="B77" s="119"/>
      <c r="C77" s="15"/>
      <c r="D77" s="16"/>
      <c r="E77" s="16"/>
      <c r="F77" s="118"/>
      <c r="G77" s="118"/>
      <c r="H77" s="118"/>
      <c r="I77" s="118"/>
      <c r="J77" s="118"/>
      <c r="K77" s="118"/>
      <c r="L77" s="118"/>
      <c r="M77" s="118"/>
      <c r="N77" s="118"/>
      <c r="O77" s="118"/>
      <c r="P77" s="118"/>
      <c r="Q77" s="118"/>
      <c r="R77" s="118"/>
      <c r="S77" s="118"/>
      <c r="T77" s="118"/>
      <c r="U77" s="118"/>
      <c r="V77" s="118"/>
      <c r="W77" s="118"/>
      <c r="X77" s="118"/>
      <c r="Y77" s="118"/>
    </row>
    <row r="78" spans="1:25" ht="14.25" customHeight="1" x14ac:dyDescent="0.2">
      <c r="A78" s="118"/>
      <c r="B78" s="119"/>
      <c r="C78" s="15"/>
      <c r="D78" s="16"/>
      <c r="E78" s="16"/>
      <c r="F78" s="118"/>
      <c r="G78" s="118"/>
      <c r="H78" s="118"/>
      <c r="I78" s="118"/>
      <c r="J78" s="118"/>
      <c r="K78" s="118"/>
      <c r="L78" s="118"/>
      <c r="M78" s="118"/>
      <c r="N78" s="118"/>
      <c r="O78" s="118"/>
      <c r="P78" s="118"/>
      <c r="Q78" s="118"/>
      <c r="R78" s="118"/>
      <c r="S78" s="118"/>
      <c r="T78" s="118"/>
      <c r="U78" s="118"/>
      <c r="V78" s="118"/>
      <c r="W78" s="118"/>
      <c r="X78" s="118"/>
      <c r="Y78" s="118"/>
    </row>
    <row r="79" spans="1:25" ht="14.25" customHeight="1" x14ac:dyDescent="0.2">
      <c r="A79" s="118"/>
      <c r="B79" s="119"/>
      <c r="C79" s="15"/>
      <c r="D79" s="16"/>
      <c r="E79" s="16"/>
      <c r="F79" s="118"/>
      <c r="G79" s="118"/>
      <c r="H79" s="118"/>
      <c r="I79" s="118"/>
      <c r="J79" s="118"/>
      <c r="K79" s="118"/>
      <c r="L79" s="118"/>
      <c r="M79" s="118"/>
      <c r="N79" s="118"/>
      <c r="O79" s="118"/>
      <c r="P79" s="118"/>
      <c r="Q79" s="118"/>
      <c r="R79" s="118"/>
      <c r="S79" s="118"/>
      <c r="T79" s="118"/>
      <c r="U79" s="118"/>
      <c r="V79" s="118"/>
      <c r="W79" s="118"/>
      <c r="X79" s="118"/>
      <c r="Y79" s="118"/>
    </row>
    <row r="80" spans="1:25" ht="14.25" customHeight="1" x14ac:dyDescent="0.2">
      <c r="A80" s="118"/>
      <c r="B80" s="119"/>
      <c r="C80" s="15"/>
      <c r="D80" s="16"/>
      <c r="E80" s="16"/>
      <c r="F80" s="118"/>
      <c r="G80" s="118"/>
      <c r="H80" s="118"/>
      <c r="I80" s="118"/>
      <c r="J80" s="118"/>
      <c r="K80" s="118"/>
      <c r="L80" s="118"/>
      <c r="M80" s="118"/>
      <c r="N80" s="118"/>
      <c r="O80" s="118"/>
      <c r="P80" s="118"/>
      <c r="Q80" s="118"/>
      <c r="R80" s="118"/>
      <c r="S80" s="118"/>
      <c r="T80" s="118"/>
      <c r="U80" s="118"/>
      <c r="V80" s="118"/>
      <c r="W80" s="118"/>
      <c r="X80" s="118"/>
      <c r="Y80" s="118"/>
    </row>
    <row r="81" spans="1:25" ht="14.25" customHeight="1" x14ac:dyDescent="0.2">
      <c r="A81" s="118"/>
      <c r="B81" s="119"/>
      <c r="C81" s="15"/>
      <c r="D81" s="16"/>
      <c r="E81" s="16"/>
      <c r="F81" s="118"/>
      <c r="G81" s="118"/>
      <c r="H81" s="118"/>
      <c r="I81" s="118"/>
      <c r="J81" s="118"/>
      <c r="K81" s="118"/>
      <c r="L81" s="118"/>
      <c r="M81" s="118"/>
      <c r="N81" s="118"/>
      <c r="O81" s="118"/>
      <c r="P81" s="118"/>
      <c r="Q81" s="118"/>
      <c r="R81" s="118"/>
      <c r="S81" s="118"/>
      <c r="T81" s="118"/>
      <c r="U81" s="118"/>
      <c r="V81" s="118"/>
      <c r="W81" s="118"/>
      <c r="X81" s="118"/>
      <c r="Y81" s="118"/>
    </row>
    <row r="82" spans="1:25" ht="14.25" customHeight="1" x14ac:dyDescent="0.2">
      <c r="A82" s="118"/>
      <c r="B82" s="119"/>
      <c r="C82" s="15"/>
      <c r="D82" s="16"/>
      <c r="E82" s="16"/>
      <c r="F82" s="118"/>
      <c r="G82" s="118"/>
      <c r="H82" s="118"/>
      <c r="I82" s="118"/>
      <c r="J82" s="118"/>
      <c r="K82" s="118"/>
      <c r="L82" s="118"/>
      <c r="M82" s="118"/>
      <c r="N82" s="118"/>
      <c r="O82" s="118"/>
      <c r="P82" s="118"/>
      <c r="Q82" s="118"/>
      <c r="R82" s="118"/>
      <c r="S82" s="118"/>
      <c r="T82" s="118"/>
      <c r="U82" s="118"/>
      <c r="V82" s="118"/>
      <c r="W82" s="118"/>
      <c r="X82" s="118"/>
      <c r="Y82" s="118"/>
    </row>
    <row r="83" spans="1:25" ht="14.25" customHeight="1" x14ac:dyDescent="0.2">
      <c r="A83" s="118"/>
      <c r="B83" s="119"/>
      <c r="C83" s="15"/>
      <c r="D83" s="16"/>
      <c r="E83" s="16"/>
      <c r="F83" s="118"/>
      <c r="G83" s="118"/>
      <c r="H83" s="118"/>
      <c r="I83" s="118"/>
      <c r="J83" s="118"/>
      <c r="K83" s="118"/>
      <c r="L83" s="118"/>
      <c r="M83" s="118"/>
      <c r="N83" s="118"/>
      <c r="O83" s="118"/>
      <c r="P83" s="118"/>
      <c r="Q83" s="118"/>
      <c r="R83" s="118"/>
      <c r="S83" s="118"/>
      <c r="T83" s="118"/>
      <c r="U83" s="118"/>
      <c r="V83" s="118"/>
      <c r="W83" s="118"/>
      <c r="X83" s="118"/>
      <c r="Y83" s="118"/>
    </row>
    <row r="84" spans="1:25" ht="14.25" customHeight="1" x14ac:dyDescent="0.2">
      <c r="A84" s="118"/>
      <c r="B84" s="119"/>
      <c r="C84" s="15"/>
      <c r="D84" s="16"/>
      <c r="E84" s="16"/>
      <c r="F84" s="118"/>
      <c r="G84" s="118"/>
      <c r="H84" s="118"/>
      <c r="I84" s="118"/>
      <c r="J84" s="118"/>
      <c r="K84" s="118"/>
      <c r="L84" s="118"/>
      <c r="M84" s="118"/>
      <c r="N84" s="118"/>
      <c r="O84" s="118"/>
      <c r="P84" s="118"/>
      <c r="Q84" s="118"/>
      <c r="R84" s="118"/>
      <c r="S84" s="118"/>
      <c r="T84" s="118"/>
      <c r="U84" s="118"/>
      <c r="V84" s="118"/>
      <c r="W84" s="118"/>
      <c r="X84" s="118"/>
      <c r="Y84" s="118"/>
    </row>
    <row r="85" spans="1:25" ht="14.25" customHeight="1" x14ac:dyDescent="0.2">
      <c r="A85" s="118"/>
      <c r="B85" s="119"/>
      <c r="C85" s="15"/>
      <c r="D85" s="16"/>
      <c r="E85" s="16"/>
      <c r="F85" s="118"/>
      <c r="G85" s="118"/>
      <c r="H85" s="118"/>
      <c r="I85" s="118"/>
      <c r="J85" s="118"/>
      <c r="K85" s="118"/>
      <c r="L85" s="118"/>
      <c r="M85" s="118"/>
      <c r="N85" s="118"/>
      <c r="O85" s="118"/>
      <c r="P85" s="118"/>
      <c r="Q85" s="118"/>
      <c r="R85" s="118"/>
      <c r="S85" s="118"/>
      <c r="T85" s="118"/>
      <c r="U85" s="118"/>
      <c r="V85" s="118"/>
      <c r="W85" s="118"/>
      <c r="X85" s="118"/>
      <c r="Y85" s="118"/>
    </row>
    <row r="86" spans="1:25" ht="14.25" customHeight="1" x14ac:dyDescent="0.2">
      <c r="A86" s="118"/>
      <c r="B86" s="119"/>
      <c r="C86" s="15"/>
      <c r="D86" s="16"/>
      <c r="E86" s="16"/>
      <c r="F86" s="118"/>
      <c r="G86" s="118"/>
      <c r="H86" s="118"/>
      <c r="I86" s="118"/>
      <c r="J86" s="118"/>
      <c r="K86" s="118"/>
      <c r="L86" s="118"/>
      <c r="M86" s="118"/>
      <c r="N86" s="118"/>
      <c r="O86" s="118"/>
      <c r="P86" s="118"/>
      <c r="Q86" s="118"/>
      <c r="R86" s="118"/>
      <c r="S86" s="118"/>
      <c r="T86" s="118"/>
      <c r="U86" s="118"/>
      <c r="V86" s="118"/>
      <c r="W86" s="118"/>
      <c r="X86" s="118"/>
      <c r="Y86" s="118"/>
    </row>
    <row r="87" spans="1:25" ht="14.25" customHeight="1" x14ac:dyDescent="0.2">
      <c r="A87" s="118"/>
      <c r="B87" s="119"/>
      <c r="C87" s="15"/>
      <c r="D87" s="16"/>
      <c r="E87" s="16"/>
      <c r="F87" s="118"/>
      <c r="G87" s="118"/>
      <c r="H87" s="118"/>
      <c r="I87" s="118"/>
      <c r="J87" s="118"/>
      <c r="K87" s="118"/>
      <c r="L87" s="118"/>
      <c r="M87" s="118"/>
      <c r="N87" s="118"/>
      <c r="O87" s="118"/>
      <c r="P87" s="118"/>
      <c r="Q87" s="118"/>
      <c r="R87" s="118"/>
      <c r="S87" s="118"/>
      <c r="T87" s="118"/>
      <c r="U87" s="118"/>
      <c r="V87" s="118"/>
      <c r="W87" s="118"/>
      <c r="X87" s="118"/>
      <c r="Y87" s="118"/>
    </row>
    <row r="88" spans="1:25" ht="14.25" customHeight="1" x14ac:dyDescent="0.2">
      <c r="A88" s="118"/>
      <c r="B88" s="119"/>
      <c r="C88" s="15"/>
      <c r="D88" s="16"/>
      <c r="E88" s="16"/>
      <c r="F88" s="118"/>
      <c r="G88" s="118"/>
      <c r="H88" s="118"/>
      <c r="I88" s="118"/>
      <c r="J88" s="118"/>
      <c r="K88" s="118"/>
      <c r="L88" s="118"/>
      <c r="M88" s="118"/>
      <c r="N88" s="118"/>
      <c r="O88" s="118"/>
      <c r="P88" s="118"/>
      <c r="Q88" s="118"/>
      <c r="R88" s="118"/>
      <c r="S88" s="118"/>
      <c r="T88" s="118"/>
      <c r="U88" s="118"/>
      <c r="V88" s="118"/>
      <c r="W88" s="118"/>
      <c r="X88" s="118"/>
      <c r="Y88" s="118"/>
    </row>
    <row r="89" spans="1:25" ht="14.25" customHeight="1" x14ac:dyDescent="0.2">
      <c r="A89" s="118"/>
      <c r="B89" s="119"/>
      <c r="C89" s="15"/>
      <c r="D89" s="16"/>
      <c r="E89" s="16"/>
      <c r="F89" s="118"/>
      <c r="G89" s="118"/>
      <c r="H89" s="118"/>
      <c r="I89" s="118"/>
      <c r="J89" s="118"/>
      <c r="K89" s="118"/>
      <c r="L89" s="118"/>
      <c r="M89" s="118"/>
      <c r="N89" s="118"/>
      <c r="O89" s="118"/>
      <c r="P89" s="118"/>
      <c r="Q89" s="118"/>
      <c r="R89" s="118"/>
      <c r="S89" s="118"/>
      <c r="T89" s="118"/>
      <c r="U89" s="118"/>
      <c r="V89" s="118"/>
      <c r="W89" s="118"/>
      <c r="X89" s="118"/>
      <c r="Y89" s="118"/>
    </row>
    <row r="90" spans="1:25" ht="14.25" customHeight="1" x14ac:dyDescent="0.2">
      <c r="A90" s="118"/>
      <c r="B90" s="119"/>
      <c r="C90" s="15"/>
      <c r="D90" s="16"/>
      <c r="E90" s="16"/>
      <c r="F90" s="118"/>
      <c r="G90" s="118"/>
      <c r="H90" s="118"/>
      <c r="I90" s="118"/>
      <c r="J90" s="118"/>
      <c r="K90" s="118"/>
      <c r="L90" s="118"/>
      <c r="M90" s="118"/>
      <c r="N90" s="118"/>
      <c r="O90" s="118"/>
      <c r="P90" s="118"/>
      <c r="Q90" s="118"/>
      <c r="R90" s="118"/>
      <c r="S90" s="118"/>
      <c r="T90" s="118"/>
      <c r="U90" s="118"/>
      <c r="V90" s="118"/>
      <c r="W90" s="118"/>
      <c r="X90" s="118"/>
      <c r="Y90" s="118"/>
    </row>
    <row r="91" spans="1:25" ht="14.25" customHeight="1" x14ac:dyDescent="0.2">
      <c r="A91" s="118"/>
      <c r="B91" s="119"/>
      <c r="C91" s="15"/>
      <c r="D91" s="16"/>
      <c r="E91" s="16"/>
      <c r="F91" s="118"/>
      <c r="G91" s="118"/>
      <c r="H91" s="118"/>
      <c r="I91" s="118"/>
      <c r="J91" s="118"/>
      <c r="K91" s="118"/>
      <c r="L91" s="118"/>
      <c r="M91" s="118"/>
      <c r="N91" s="118"/>
      <c r="O91" s="118"/>
      <c r="P91" s="118"/>
      <c r="Q91" s="118"/>
      <c r="R91" s="118"/>
      <c r="S91" s="118"/>
      <c r="T91" s="118"/>
      <c r="U91" s="118"/>
      <c r="V91" s="118"/>
      <c r="W91" s="118"/>
      <c r="X91" s="118"/>
      <c r="Y91" s="118"/>
    </row>
    <row r="92" spans="1:25" ht="14.25" customHeight="1" x14ac:dyDescent="0.2">
      <c r="A92" s="118"/>
      <c r="B92" s="119"/>
      <c r="C92" s="15"/>
      <c r="D92" s="16"/>
      <c r="E92" s="16"/>
      <c r="F92" s="118"/>
      <c r="G92" s="118"/>
      <c r="H92" s="118"/>
      <c r="I92" s="118"/>
      <c r="J92" s="118"/>
      <c r="K92" s="118"/>
      <c r="L92" s="118"/>
      <c r="M92" s="118"/>
      <c r="N92" s="118"/>
      <c r="O92" s="118"/>
      <c r="P92" s="118"/>
      <c r="Q92" s="118"/>
      <c r="R92" s="118"/>
      <c r="S92" s="118"/>
      <c r="T92" s="118"/>
      <c r="U92" s="118"/>
      <c r="V92" s="118"/>
      <c r="W92" s="118"/>
      <c r="X92" s="118"/>
      <c r="Y92" s="118"/>
    </row>
    <row r="93" spans="1:25" ht="14.25" customHeight="1" x14ac:dyDescent="0.2">
      <c r="A93" s="118"/>
      <c r="B93" s="119"/>
      <c r="C93" s="15"/>
      <c r="D93" s="16"/>
      <c r="E93" s="16"/>
      <c r="F93" s="118"/>
      <c r="G93" s="118"/>
      <c r="H93" s="118"/>
      <c r="I93" s="118"/>
      <c r="J93" s="118"/>
      <c r="K93" s="118"/>
      <c r="L93" s="118"/>
      <c r="M93" s="118"/>
      <c r="N93" s="118"/>
      <c r="O93" s="118"/>
      <c r="P93" s="118"/>
      <c r="Q93" s="118"/>
      <c r="R93" s="118"/>
      <c r="S93" s="118"/>
      <c r="T93" s="118"/>
      <c r="U93" s="118"/>
      <c r="V93" s="118"/>
      <c r="W93" s="118"/>
      <c r="X93" s="118"/>
      <c r="Y93" s="118"/>
    </row>
    <row r="94" spans="1:25" ht="14.25" customHeight="1" x14ac:dyDescent="0.2">
      <c r="A94" s="118"/>
      <c r="B94" s="119"/>
      <c r="C94" s="15"/>
      <c r="D94" s="16"/>
      <c r="E94" s="16"/>
      <c r="F94" s="118"/>
      <c r="G94" s="118"/>
      <c r="H94" s="118"/>
      <c r="I94" s="118"/>
      <c r="J94" s="118"/>
      <c r="K94" s="118"/>
      <c r="L94" s="118"/>
      <c r="M94" s="118"/>
      <c r="N94" s="118"/>
      <c r="O94" s="118"/>
      <c r="P94" s="118"/>
      <c r="Q94" s="118"/>
      <c r="R94" s="118"/>
      <c r="S94" s="118"/>
      <c r="T94" s="118"/>
      <c r="U94" s="118"/>
      <c r="V94" s="118"/>
      <c r="W94" s="118"/>
      <c r="X94" s="118"/>
      <c r="Y94" s="118"/>
    </row>
    <row r="95" spans="1:25" ht="14.25" customHeight="1" x14ac:dyDescent="0.2">
      <c r="A95" s="118"/>
      <c r="B95" s="119"/>
      <c r="C95" s="15"/>
      <c r="D95" s="16"/>
      <c r="E95" s="16"/>
      <c r="F95" s="118"/>
      <c r="G95" s="118"/>
      <c r="H95" s="118"/>
      <c r="I95" s="118"/>
      <c r="J95" s="118"/>
      <c r="K95" s="118"/>
      <c r="L95" s="118"/>
      <c r="M95" s="118"/>
      <c r="N95" s="118"/>
      <c r="O95" s="118"/>
      <c r="P95" s="118"/>
      <c r="Q95" s="118"/>
      <c r="R95" s="118"/>
      <c r="S95" s="118"/>
      <c r="T95" s="118"/>
      <c r="U95" s="118"/>
      <c r="V95" s="118"/>
      <c r="W95" s="118"/>
      <c r="X95" s="118"/>
      <c r="Y95" s="118"/>
    </row>
    <row r="96" spans="1:25" ht="14.25" customHeight="1" x14ac:dyDescent="0.2">
      <c r="A96" s="118"/>
      <c r="B96" s="119"/>
      <c r="C96" s="15"/>
      <c r="D96" s="16"/>
      <c r="E96" s="16"/>
      <c r="F96" s="118"/>
      <c r="G96" s="118"/>
      <c r="H96" s="118"/>
      <c r="I96" s="118"/>
      <c r="J96" s="118"/>
      <c r="K96" s="118"/>
      <c r="L96" s="118"/>
      <c r="M96" s="118"/>
      <c r="N96" s="118"/>
      <c r="O96" s="118"/>
      <c r="P96" s="118"/>
      <c r="Q96" s="118"/>
      <c r="R96" s="118"/>
      <c r="S96" s="118"/>
      <c r="T96" s="118"/>
      <c r="U96" s="118"/>
      <c r="V96" s="118"/>
      <c r="W96" s="118"/>
      <c r="X96" s="118"/>
      <c r="Y96" s="118"/>
    </row>
    <row r="97" spans="1:25" ht="14.25" customHeight="1" x14ac:dyDescent="0.2">
      <c r="A97" s="118"/>
      <c r="B97" s="119"/>
      <c r="C97" s="15"/>
      <c r="D97" s="16"/>
      <c r="E97" s="16"/>
      <c r="F97" s="118"/>
      <c r="G97" s="118"/>
      <c r="H97" s="118"/>
      <c r="I97" s="118"/>
      <c r="J97" s="118"/>
      <c r="K97" s="118"/>
      <c r="L97" s="118"/>
      <c r="M97" s="118"/>
      <c r="N97" s="118"/>
      <c r="O97" s="118"/>
      <c r="P97" s="118"/>
      <c r="Q97" s="118"/>
      <c r="R97" s="118"/>
      <c r="S97" s="118"/>
      <c r="T97" s="118"/>
      <c r="U97" s="118"/>
      <c r="V97" s="118"/>
      <c r="W97" s="118"/>
      <c r="X97" s="118"/>
      <c r="Y97" s="118"/>
    </row>
    <row r="98" spans="1:25" ht="14.25" customHeight="1" x14ac:dyDescent="0.2">
      <c r="A98" s="118"/>
      <c r="B98" s="119"/>
      <c r="C98" s="15"/>
      <c r="D98" s="16"/>
      <c r="E98" s="16"/>
      <c r="F98" s="118"/>
      <c r="G98" s="118"/>
      <c r="H98" s="118"/>
      <c r="I98" s="118"/>
      <c r="J98" s="118"/>
      <c r="K98" s="118"/>
      <c r="L98" s="118"/>
      <c r="M98" s="118"/>
      <c r="N98" s="118"/>
      <c r="O98" s="118"/>
      <c r="P98" s="118"/>
      <c r="Q98" s="118"/>
      <c r="R98" s="118"/>
      <c r="S98" s="118"/>
      <c r="T98" s="118"/>
      <c r="U98" s="118"/>
      <c r="V98" s="118"/>
      <c r="W98" s="118"/>
      <c r="X98" s="118"/>
      <c r="Y98" s="118"/>
    </row>
    <row r="99" spans="1:25" ht="14.25" customHeight="1" x14ac:dyDescent="0.2">
      <c r="A99" s="118"/>
      <c r="B99" s="119"/>
      <c r="C99" s="15"/>
      <c r="D99" s="16"/>
      <c r="E99" s="16"/>
      <c r="F99" s="118"/>
      <c r="G99" s="118"/>
      <c r="H99" s="118"/>
      <c r="I99" s="118"/>
      <c r="J99" s="118"/>
      <c r="K99" s="118"/>
      <c r="L99" s="118"/>
      <c r="M99" s="118"/>
      <c r="N99" s="118"/>
      <c r="O99" s="118"/>
      <c r="P99" s="118"/>
      <c r="Q99" s="118"/>
      <c r="R99" s="118"/>
      <c r="S99" s="118"/>
      <c r="T99" s="118"/>
      <c r="U99" s="118"/>
      <c r="V99" s="118"/>
      <c r="W99" s="118"/>
      <c r="X99" s="118"/>
      <c r="Y99" s="118"/>
    </row>
    <row r="100" spans="1:25" ht="14.25" customHeight="1" x14ac:dyDescent="0.2">
      <c r="A100" s="118"/>
      <c r="B100" s="119"/>
      <c r="C100" s="15"/>
      <c r="D100" s="16"/>
      <c r="E100" s="16"/>
      <c r="F100" s="118"/>
      <c r="G100" s="118"/>
      <c r="H100" s="118"/>
      <c r="I100" s="118"/>
      <c r="J100" s="118"/>
      <c r="K100" s="118"/>
      <c r="L100" s="118"/>
      <c r="M100" s="118"/>
      <c r="N100" s="118"/>
      <c r="O100" s="118"/>
      <c r="P100" s="118"/>
      <c r="Q100" s="118"/>
      <c r="R100" s="118"/>
      <c r="S100" s="118"/>
      <c r="T100" s="118"/>
      <c r="U100" s="118"/>
      <c r="V100" s="118"/>
      <c r="W100" s="118"/>
      <c r="X100" s="118"/>
      <c r="Y100" s="118"/>
    </row>
    <row r="101" spans="1:25" ht="14.25" customHeight="1" x14ac:dyDescent="0.2">
      <c r="A101" s="118"/>
      <c r="B101" s="119"/>
      <c r="C101" s="15"/>
      <c r="D101" s="16"/>
      <c r="E101" s="16"/>
      <c r="F101" s="118"/>
      <c r="G101" s="118"/>
      <c r="H101" s="118"/>
      <c r="I101" s="118"/>
      <c r="J101" s="118"/>
      <c r="K101" s="118"/>
      <c r="L101" s="118"/>
      <c r="M101" s="118"/>
      <c r="N101" s="118"/>
      <c r="O101" s="118"/>
      <c r="P101" s="118"/>
      <c r="Q101" s="118"/>
      <c r="R101" s="118"/>
      <c r="S101" s="118"/>
      <c r="T101" s="118"/>
      <c r="U101" s="118"/>
      <c r="V101" s="118"/>
      <c r="W101" s="118"/>
      <c r="X101" s="118"/>
      <c r="Y101" s="118"/>
    </row>
    <row r="102" spans="1:25" ht="14.25" customHeight="1" x14ac:dyDescent="0.2">
      <c r="A102" s="118"/>
      <c r="B102" s="119"/>
      <c r="C102" s="15"/>
      <c r="D102" s="16"/>
      <c r="E102" s="16"/>
      <c r="F102" s="118"/>
      <c r="G102" s="118"/>
      <c r="H102" s="118"/>
      <c r="I102" s="118"/>
      <c r="J102" s="118"/>
      <c r="K102" s="118"/>
      <c r="L102" s="118"/>
      <c r="M102" s="118"/>
      <c r="N102" s="118"/>
      <c r="O102" s="118"/>
      <c r="P102" s="118"/>
      <c r="Q102" s="118"/>
      <c r="R102" s="118"/>
      <c r="S102" s="118"/>
      <c r="T102" s="118"/>
      <c r="U102" s="118"/>
      <c r="V102" s="118"/>
      <c r="W102" s="118"/>
      <c r="X102" s="118"/>
      <c r="Y102" s="118"/>
    </row>
    <row r="103" spans="1:25" ht="14.25" customHeight="1" x14ac:dyDescent="0.2">
      <c r="A103" s="118"/>
      <c r="B103" s="119"/>
      <c r="C103" s="15"/>
      <c r="D103" s="16"/>
      <c r="E103" s="16"/>
      <c r="F103" s="118"/>
      <c r="G103" s="118"/>
      <c r="H103" s="118"/>
      <c r="I103" s="118"/>
      <c r="J103" s="118"/>
      <c r="K103" s="118"/>
      <c r="L103" s="118"/>
      <c r="M103" s="118"/>
      <c r="N103" s="118"/>
      <c r="O103" s="118"/>
      <c r="P103" s="118"/>
      <c r="Q103" s="118"/>
      <c r="R103" s="118"/>
      <c r="S103" s="118"/>
      <c r="T103" s="118"/>
      <c r="U103" s="118"/>
      <c r="V103" s="118"/>
      <c r="W103" s="118"/>
      <c r="X103" s="118"/>
      <c r="Y103" s="118"/>
    </row>
    <row r="104" spans="1:25" ht="14.25" customHeight="1" x14ac:dyDescent="0.2">
      <c r="A104" s="118"/>
      <c r="B104" s="119"/>
      <c r="C104" s="15"/>
      <c r="D104" s="16"/>
      <c r="E104" s="16"/>
      <c r="F104" s="118"/>
      <c r="G104" s="118"/>
      <c r="H104" s="118"/>
      <c r="I104" s="118"/>
      <c r="J104" s="118"/>
      <c r="K104" s="118"/>
      <c r="L104" s="118"/>
      <c r="M104" s="118"/>
      <c r="N104" s="118"/>
      <c r="O104" s="118"/>
      <c r="P104" s="118"/>
      <c r="Q104" s="118"/>
      <c r="R104" s="118"/>
      <c r="S104" s="118"/>
      <c r="T104" s="118"/>
      <c r="U104" s="118"/>
      <c r="V104" s="118"/>
      <c r="W104" s="118"/>
      <c r="X104" s="118"/>
      <c r="Y104" s="118"/>
    </row>
    <row r="105" spans="1:25" ht="14.25" customHeight="1" x14ac:dyDescent="0.2">
      <c r="A105" s="118"/>
      <c r="B105" s="119"/>
      <c r="C105" s="15"/>
      <c r="D105" s="16"/>
      <c r="E105" s="16"/>
      <c r="F105" s="118"/>
      <c r="G105" s="118"/>
      <c r="H105" s="118"/>
      <c r="I105" s="118"/>
      <c r="J105" s="118"/>
      <c r="K105" s="118"/>
      <c r="L105" s="118"/>
      <c r="M105" s="118"/>
      <c r="N105" s="118"/>
      <c r="O105" s="118"/>
      <c r="P105" s="118"/>
      <c r="Q105" s="118"/>
      <c r="R105" s="118"/>
      <c r="S105" s="118"/>
      <c r="T105" s="118"/>
      <c r="U105" s="118"/>
      <c r="V105" s="118"/>
      <c r="W105" s="118"/>
      <c r="X105" s="118"/>
      <c r="Y105" s="118"/>
    </row>
    <row r="106" spans="1:25" ht="14.25" customHeight="1" x14ac:dyDescent="0.2">
      <c r="A106" s="118"/>
      <c r="B106" s="119"/>
      <c r="C106" s="15"/>
      <c r="D106" s="16"/>
      <c r="E106" s="16"/>
      <c r="F106" s="118"/>
      <c r="G106" s="118"/>
      <c r="H106" s="118"/>
      <c r="I106" s="118"/>
      <c r="J106" s="118"/>
      <c r="K106" s="118"/>
      <c r="L106" s="118"/>
      <c r="M106" s="118"/>
      <c r="N106" s="118"/>
      <c r="O106" s="118"/>
      <c r="P106" s="118"/>
      <c r="Q106" s="118"/>
      <c r="R106" s="118"/>
      <c r="S106" s="118"/>
      <c r="T106" s="118"/>
      <c r="U106" s="118"/>
      <c r="V106" s="118"/>
      <c r="W106" s="118"/>
      <c r="X106" s="118"/>
      <c r="Y106" s="118"/>
    </row>
    <row r="107" spans="1:25" ht="14.25" customHeight="1" x14ac:dyDescent="0.2">
      <c r="A107" s="118"/>
      <c r="B107" s="119"/>
      <c r="C107" s="15"/>
      <c r="D107" s="16"/>
      <c r="E107" s="16"/>
      <c r="F107" s="118"/>
      <c r="G107" s="118"/>
      <c r="H107" s="118"/>
      <c r="I107" s="118"/>
      <c r="J107" s="118"/>
      <c r="K107" s="118"/>
      <c r="L107" s="118"/>
      <c r="M107" s="118"/>
      <c r="N107" s="118"/>
      <c r="O107" s="118"/>
      <c r="P107" s="118"/>
      <c r="Q107" s="118"/>
      <c r="R107" s="118"/>
      <c r="S107" s="118"/>
      <c r="T107" s="118"/>
      <c r="U107" s="118"/>
      <c r="V107" s="118"/>
      <c r="W107" s="118"/>
      <c r="X107" s="118"/>
      <c r="Y107" s="118"/>
    </row>
    <row r="108" spans="1:25" ht="14.25" customHeight="1" x14ac:dyDescent="0.2">
      <c r="A108" s="118"/>
      <c r="B108" s="119"/>
      <c r="C108" s="15"/>
      <c r="D108" s="16"/>
      <c r="E108" s="16"/>
      <c r="F108" s="118"/>
      <c r="G108" s="118"/>
      <c r="H108" s="118"/>
      <c r="I108" s="118"/>
      <c r="J108" s="118"/>
      <c r="K108" s="118"/>
      <c r="L108" s="118"/>
      <c r="M108" s="118"/>
      <c r="N108" s="118"/>
      <c r="O108" s="118"/>
      <c r="P108" s="118"/>
      <c r="Q108" s="118"/>
      <c r="R108" s="118"/>
      <c r="S108" s="118"/>
      <c r="T108" s="118"/>
      <c r="U108" s="118"/>
      <c r="V108" s="118"/>
      <c r="W108" s="118"/>
      <c r="X108" s="118"/>
      <c r="Y108" s="118"/>
    </row>
    <row r="109" spans="1:25" ht="14.25" customHeight="1" x14ac:dyDescent="0.2">
      <c r="A109" s="118"/>
      <c r="B109" s="119"/>
      <c r="C109" s="15"/>
      <c r="D109" s="16"/>
      <c r="E109" s="16"/>
      <c r="F109" s="118"/>
      <c r="G109" s="118"/>
      <c r="H109" s="118"/>
      <c r="I109" s="118"/>
      <c r="J109" s="118"/>
      <c r="K109" s="118"/>
      <c r="L109" s="118"/>
      <c r="M109" s="118"/>
      <c r="N109" s="118"/>
      <c r="O109" s="118"/>
      <c r="P109" s="118"/>
      <c r="Q109" s="118"/>
      <c r="R109" s="118"/>
      <c r="S109" s="118"/>
      <c r="T109" s="118"/>
      <c r="U109" s="118"/>
      <c r="V109" s="118"/>
      <c r="W109" s="118"/>
      <c r="X109" s="118"/>
      <c r="Y109" s="118"/>
    </row>
    <row r="110" spans="1:25" ht="14.25" customHeight="1" x14ac:dyDescent="0.2">
      <c r="A110" s="118"/>
      <c r="B110" s="119"/>
      <c r="C110" s="15"/>
      <c r="D110" s="16"/>
      <c r="E110" s="16"/>
      <c r="F110" s="118"/>
      <c r="G110" s="118"/>
      <c r="H110" s="118"/>
      <c r="I110" s="118"/>
      <c r="J110" s="118"/>
      <c r="K110" s="118"/>
      <c r="L110" s="118"/>
      <c r="M110" s="118"/>
      <c r="N110" s="118"/>
      <c r="O110" s="118"/>
      <c r="P110" s="118"/>
      <c r="Q110" s="118"/>
      <c r="R110" s="118"/>
      <c r="S110" s="118"/>
      <c r="T110" s="118"/>
      <c r="U110" s="118"/>
      <c r="V110" s="118"/>
      <c r="W110" s="118"/>
      <c r="X110" s="118"/>
      <c r="Y110" s="118"/>
    </row>
    <row r="111" spans="1:25" ht="14.25" customHeight="1" x14ac:dyDescent="0.2">
      <c r="A111" s="118"/>
      <c r="B111" s="119"/>
      <c r="C111" s="15"/>
      <c r="D111" s="16"/>
      <c r="E111" s="16"/>
      <c r="F111" s="118"/>
      <c r="G111" s="118"/>
      <c r="H111" s="118"/>
      <c r="I111" s="118"/>
      <c r="J111" s="118"/>
      <c r="K111" s="118"/>
      <c r="L111" s="118"/>
      <c r="M111" s="118"/>
      <c r="N111" s="118"/>
      <c r="O111" s="118"/>
      <c r="P111" s="118"/>
      <c r="Q111" s="118"/>
      <c r="R111" s="118"/>
      <c r="S111" s="118"/>
      <c r="T111" s="118"/>
      <c r="U111" s="118"/>
      <c r="V111" s="118"/>
      <c r="W111" s="118"/>
      <c r="X111" s="118"/>
      <c r="Y111" s="118"/>
    </row>
    <row r="112" spans="1:25" ht="14.25" customHeight="1" x14ac:dyDescent="0.2">
      <c r="A112" s="118"/>
      <c r="B112" s="119"/>
      <c r="C112" s="15"/>
      <c r="D112" s="16"/>
      <c r="E112" s="16"/>
      <c r="F112" s="118"/>
      <c r="G112" s="118"/>
      <c r="H112" s="118"/>
      <c r="I112" s="118"/>
      <c r="J112" s="118"/>
      <c r="K112" s="118"/>
      <c r="L112" s="118"/>
      <c r="M112" s="118"/>
      <c r="N112" s="118"/>
      <c r="O112" s="118"/>
      <c r="P112" s="118"/>
      <c r="Q112" s="118"/>
      <c r="R112" s="118"/>
      <c r="S112" s="118"/>
      <c r="T112" s="118"/>
      <c r="U112" s="118"/>
      <c r="V112" s="118"/>
      <c r="W112" s="118"/>
      <c r="X112" s="118"/>
      <c r="Y112" s="118"/>
    </row>
    <row r="113" spans="1:25" ht="14.25" customHeight="1" x14ac:dyDescent="0.2">
      <c r="A113" s="118"/>
      <c r="B113" s="119"/>
      <c r="C113" s="15"/>
      <c r="D113" s="16"/>
      <c r="E113" s="16"/>
      <c r="F113" s="118"/>
      <c r="G113" s="118"/>
      <c r="H113" s="118"/>
      <c r="I113" s="118"/>
      <c r="J113" s="118"/>
      <c r="K113" s="118"/>
      <c r="L113" s="118"/>
      <c r="M113" s="118"/>
      <c r="N113" s="118"/>
      <c r="O113" s="118"/>
      <c r="P113" s="118"/>
      <c r="Q113" s="118"/>
      <c r="R113" s="118"/>
      <c r="S113" s="118"/>
      <c r="T113" s="118"/>
      <c r="U113" s="118"/>
      <c r="V113" s="118"/>
      <c r="W113" s="118"/>
      <c r="X113" s="118"/>
      <c r="Y113" s="118"/>
    </row>
    <row r="114" spans="1:25" ht="14.25" customHeight="1" x14ac:dyDescent="0.2">
      <c r="A114" s="118"/>
      <c r="B114" s="119"/>
      <c r="C114" s="15"/>
      <c r="D114" s="16"/>
      <c r="E114" s="16"/>
      <c r="F114" s="118"/>
      <c r="G114" s="118"/>
      <c r="H114" s="118"/>
      <c r="I114" s="118"/>
      <c r="J114" s="118"/>
      <c r="K114" s="118"/>
      <c r="L114" s="118"/>
      <c r="M114" s="118"/>
      <c r="N114" s="118"/>
      <c r="O114" s="118"/>
      <c r="P114" s="118"/>
      <c r="Q114" s="118"/>
      <c r="R114" s="118"/>
      <c r="S114" s="118"/>
      <c r="T114" s="118"/>
      <c r="U114" s="118"/>
      <c r="V114" s="118"/>
      <c r="W114" s="118"/>
      <c r="X114" s="118"/>
      <c r="Y114" s="118"/>
    </row>
    <row r="115" spans="1:25" ht="14.25" customHeight="1" x14ac:dyDescent="0.2">
      <c r="A115" s="118"/>
      <c r="B115" s="119"/>
      <c r="C115" s="15"/>
      <c r="D115" s="16"/>
      <c r="E115" s="16"/>
      <c r="F115" s="118"/>
      <c r="G115" s="118"/>
      <c r="H115" s="118"/>
      <c r="I115" s="118"/>
      <c r="J115" s="118"/>
      <c r="K115" s="118"/>
      <c r="L115" s="118"/>
      <c r="M115" s="118"/>
      <c r="N115" s="118"/>
      <c r="O115" s="118"/>
      <c r="P115" s="118"/>
      <c r="Q115" s="118"/>
      <c r="R115" s="118"/>
      <c r="S115" s="118"/>
      <c r="T115" s="118"/>
      <c r="U115" s="118"/>
      <c r="V115" s="118"/>
      <c r="W115" s="118"/>
      <c r="X115" s="118"/>
      <c r="Y115" s="118"/>
    </row>
    <row r="116" spans="1:25" ht="14.25" customHeight="1" x14ac:dyDescent="0.2">
      <c r="A116" s="118"/>
      <c r="B116" s="119"/>
      <c r="C116" s="15"/>
      <c r="D116" s="16"/>
      <c r="E116" s="16"/>
      <c r="F116" s="118"/>
      <c r="G116" s="118"/>
      <c r="H116" s="118"/>
      <c r="I116" s="118"/>
      <c r="J116" s="118"/>
      <c r="K116" s="118"/>
      <c r="L116" s="118"/>
      <c r="M116" s="118"/>
      <c r="N116" s="118"/>
      <c r="O116" s="118"/>
      <c r="P116" s="118"/>
      <c r="Q116" s="118"/>
      <c r="R116" s="118"/>
      <c r="S116" s="118"/>
      <c r="T116" s="118"/>
      <c r="U116" s="118"/>
      <c r="V116" s="118"/>
      <c r="W116" s="118"/>
      <c r="X116" s="118"/>
      <c r="Y116" s="118"/>
    </row>
    <row r="117" spans="1:25" ht="14.25" customHeight="1" x14ac:dyDescent="0.2">
      <c r="A117" s="118"/>
      <c r="B117" s="119"/>
      <c r="C117" s="15"/>
      <c r="D117" s="16"/>
      <c r="E117" s="16"/>
      <c r="F117" s="118"/>
      <c r="G117" s="118"/>
      <c r="H117" s="118"/>
      <c r="I117" s="118"/>
      <c r="J117" s="118"/>
      <c r="K117" s="118"/>
      <c r="L117" s="118"/>
      <c r="M117" s="118"/>
      <c r="N117" s="118"/>
      <c r="O117" s="118"/>
      <c r="P117" s="118"/>
      <c r="Q117" s="118"/>
      <c r="R117" s="118"/>
      <c r="S117" s="118"/>
      <c r="T117" s="118"/>
      <c r="U117" s="118"/>
      <c r="V117" s="118"/>
      <c r="W117" s="118"/>
      <c r="X117" s="118"/>
      <c r="Y117" s="118"/>
    </row>
    <row r="118" spans="1:25" ht="14.25" customHeight="1" x14ac:dyDescent="0.2">
      <c r="A118" s="118"/>
      <c r="B118" s="119"/>
      <c r="C118" s="15"/>
      <c r="D118" s="16"/>
      <c r="E118" s="16"/>
      <c r="F118" s="118"/>
      <c r="G118" s="118"/>
      <c r="H118" s="118"/>
      <c r="I118" s="118"/>
      <c r="J118" s="118"/>
      <c r="K118" s="118"/>
      <c r="L118" s="118"/>
      <c r="M118" s="118"/>
      <c r="N118" s="118"/>
      <c r="O118" s="118"/>
      <c r="P118" s="118"/>
      <c r="Q118" s="118"/>
      <c r="R118" s="118"/>
      <c r="S118" s="118"/>
      <c r="T118" s="118"/>
      <c r="U118" s="118"/>
      <c r="V118" s="118"/>
      <c r="W118" s="118"/>
      <c r="X118" s="118"/>
      <c r="Y118" s="118"/>
    </row>
    <row r="119" spans="1:25" ht="14.25" customHeight="1" x14ac:dyDescent="0.2">
      <c r="A119" s="118"/>
      <c r="B119" s="119"/>
      <c r="C119" s="15"/>
      <c r="D119" s="16"/>
      <c r="E119" s="16"/>
      <c r="F119" s="118"/>
      <c r="G119" s="118"/>
      <c r="H119" s="118"/>
      <c r="I119" s="118"/>
      <c r="J119" s="118"/>
      <c r="K119" s="118"/>
      <c r="L119" s="118"/>
      <c r="M119" s="118"/>
      <c r="N119" s="118"/>
      <c r="O119" s="118"/>
      <c r="P119" s="118"/>
      <c r="Q119" s="118"/>
      <c r="R119" s="118"/>
      <c r="S119" s="118"/>
      <c r="T119" s="118"/>
      <c r="U119" s="118"/>
      <c r="V119" s="118"/>
      <c r="W119" s="118"/>
      <c r="X119" s="118"/>
      <c r="Y119" s="118"/>
    </row>
    <row r="120" spans="1:25" ht="14.25" customHeight="1" x14ac:dyDescent="0.2">
      <c r="A120" s="118"/>
      <c r="B120" s="119"/>
      <c r="C120" s="15"/>
      <c r="D120" s="16"/>
      <c r="E120" s="16"/>
      <c r="F120" s="118"/>
      <c r="G120" s="118"/>
      <c r="H120" s="118"/>
      <c r="I120" s="118"/>
      <c r="J120" s="118"/>
      <c r="K120" s="118"/>
      <c r="L120" s="118"/>
      <c r="M120" s="118"/>
      <c r="N120" s="118"/>
      <c r="O120" s="118"/>
      <c r="P120" s="118"/>
      <c r="Q120" s="118"/>
      <c r="R120" s="118"/>
      <c r="S120" s="118"/>
      <c r="T120" s="118"/>
      <c r="U120" s="118"/>
      <c r="V120" s="118"/>
      <c r="W120" s="118"/>
      <c r="X120" s="118"/>
      <c r="Y120" s="118"/>
    </row>
    <row r="121" spans="1:25" ht="14.25" customHeight="1" x14ac:dyDescent="0.2">
      <c r="A121" s="118"/>
      <c r="B121" s="119"/>
      <c r="C121" s="15"/>
      <c r="D121" s="16"/>
      <c r="E121" s="16"/>
      <c r="F121" s="118"/>
      <c r="G121" s="118"/>
      <c r="H121" s="118"/>
      <c r="I121" s="118"/>
      <c r="J121" s="118"/>
      <c r="K121" s="118"/>
      <c r="L121" s="118"/>
      <c r="M121" s="118"/>
      <c r="N121" s="118"/>
      <c r="O121" s="118"/>
      <c r="P121" s="118"/>
      <c r="Q121" s="118"/>
      <c r="R121" s="118"/>
      <c r="S121" s="118"/>
      <c r="T121" s="118"/>
      <c r="U121" s="118"/>
      <c r="V121" s="118"/>
      <c r="W121" s="118"/>
      <c r="X121" s="118"/>
      <c r="Y121" s="118"/>
    </row>
    <row r="122" spans="1:25" ht="14.25" customHeight="1" x14ac:dyDescent="0.2">
      <c r="A122" s="118"/>
      <c r="B122" s="119"/>
      <c r="C122" s="15"/>
      <c r="D122" s="16"/>
      <c r="E122" s="16"/>
      <c r="F122" s="118"/>
      <c r="G122" s="118"/>
      <c r="H122" s="118"/>
      <c r="I122" s="118"/>
      <c r="J122" s="118"/>
      <c r="K122" s="118"/>
      <c r="L122" s="118"/>
      <c r="M122" s="118"/>
      <c r="N122" s="118"/>
      <c r="O122" s="118"/>
      <c r="P122" s="118"/>
      <c r="Q122" s="118"/>
      <c r="R122" s="118"/>
      <c r="S122" s="118"/>
      <c r="T122" s="118"/>
      <c r="U122" s="118"/>
      <c r="V122" s="118"/>
      <c r="W122" s="118"/>
      <c r="X122" s="118"/>
      <c r="Y122" s="118"/>
    </row>
    <row r="123" spans="1:25" ht="14.25" customHeight="1" x14ac:dyDescent="0.2">
      <c r="A123" s="118"/>
      <c r="B123" s="119"/>
      <c r="C123" s="15"/>
      <c r="D123" s="16"/>
      <c r="E123" s="16"/>
      <c r="F123" s="118"/>
      <c r="G123" s="118"/>
      <c r="H123" s="118"/>
      <c r="I123" s="118"/>
      <c r="J123" s="118"/>
      <c r="K123" s="118"/>
      <c r="L123" s="118"/>
      <c r="M123" s="118"/>
      <c r="N123" s="118"/>
      <c r="O123" s="118"/>
      <c r="P123" s="118"/>
      <c r="Q123" s="118"/>
      <c r="R123" s="118"/>
      <c r="S123" s="118"/>
      <c r="T123" s="118"/>
      <c r="U123" s="118"/>
      <c r="V123" s="118"/>
      <c r="W123" s="118"/>
      <c r="X123" s="118"/>
      <c r="Y123" s="118"/>
    </row>
    <row r="124" spans="1:25" ht="14.25" customHeight="1" x14ac:dyDescent="0.2">
      <c r="A124" s="118"/>
      <c r="B124" s="119"/>
      <c r="C124" s="15"/>
      <c r="D124" s="16"/>
      <c r="E124" s="16"/>
      <c r="F124" s="118"/>
      <c r="G124" s="118"/>
      <c r="H124" s="118"/>
      <c r="I124" s="118"/>
      <c r="J124" s="118"/>
      <c r="K124" s="118"/>
      <c r="L124" s="118"/>
      <c r="M124" s="118"/>
      <c r="N124" s="118"/>
      <c r="O124" s="118"/>
      <c r="P124" s="118"/>
      <c r="Q124" s="118"/>
      <c r="R124" s="118"/>
      <c r="S124" s="118"/>
      <c r="T124" s="118"/>
      <c r="U124" s="118"/>
      <c r="V124" s="118"/>
      <c r="W124" s="118"/>
      <c r="X124" s="118"/>
      <c r="Y124" s="118"/>
    </row>
    <row r="125" spans="1:25" ht="14.25" customHeight="1" x14ac:dyDescent="0.2">
      <c r="A125" s="118"/>
      <c r="B125" s="119"/>
      <c r="C125" s="15"/>
      <c r="D125" s="16"/>
      <c r="E125" s="16"/>
      <c r="F125" s="118"/>
      <c r="G125" s="118"/>
      <c r="H125" s="118"/>
      <c r="I125" s="118"/>
      <c r="J125" s="118"/>
      <c r="K125" s="118"/>
      <c r="L125" s="118"/>
      <c r="M125" s="118"/>
      <c r="N125" s="118"/>
      <c r="O125" s="118"/>
      <c r="P125" s="118"/>
      <c r="Q125" s="118"/>
      <c r="R125" s="118"/>
      <c r="S125" s="118"/>
      <c r="T125" s="118"/>
      <c r="U125" s="118"/>
      <c r="V125" s="118"/>
      <c r="W125" s="118"/>
      <c r="X125" s="118"/>
      <c r="Y125" s="118"/>
    </row>
    <row r="126" spans="1:25" ht="14.25" customHeight="1" x14ac:dyDescent="0.2">
      <c r="A126" s="118"/>
      <c r="B126" s="119"/>
      <c r="C126" s="15"/>
      <c r="D126" s="16"/>
      <c r="E126" s="16"/>
      <c r="F126" s="118"/>
      <c r="G126" s="118"/>
      <c r="H126" s="118"/>
      <c r="I126" s="118"/>
      <c r="J126" s="118"/>
      <c r="K126" s="118"/>
      <c r="L126" s="118"/>
      <c r="M126" s="118"/>
      <c r="N126" s="118"/>
      <c r="O126" s="118"/>
      <c r="P126" s="118"/>
      <c r="Q126" s="118"/>
      <c r="R126" s="118"/>
      <c r="S126" s="118"/>
      <c r="T126" s="118"/>
      <c r="U126" s="118"/>
      <c r="V126" s="118"/>
      <c r="W126" s="118"/>
      <c r="X126" s="118"/>
      <c r="Y126" s="118"/>
    </row>
    <row r="127" spans="1:25" ht="14.25" customHeight="1" x14ac:dyDescent="0.2">
      <c r="A127" s="118"/>
      <c r="B127" s="119"/>
      <c r="C127" s="15"/>
      <c r="D127" s="16"/>
      <c r="E127" s="16"/>
      <c r="F127" s="118"/>
      <c r="G127" s="118"/>
      <c r="H127" s="118"/>
      <c r="I127" s="118"/>
      <c r="J127" s="118"/>
      <c r="K127" s="118"/>
      <c r="L127" s="118"/>
      <c r="M127" s="118"/>
      <c r="N127" s="118"/>
      <c r="O127" s="118"/>
      <c r="P127" s="118"/>
      <c r="Q127" s="118"/>
      <c r="R127" s="118"/>
      <c r="S127" s="118"/>
      <c r="T127" s="118"/>
      <c r="U127" s="118"/>
      <c r="V127" s="118"/>
      <c r="W127" s="118"/>
      <c r="X127" s="118"/>
      <c r="Y127" s="118"/>
    </row>
    <row r="128" spans="1:25" ht="14.25" customHeight="1" x14ac:dyDescent="0.2">
      <c r="A128" s="118"/>
      <c r="B128" s="119"/>
      <c r="C128" s="15"/>
      <c r="D128" s="16"/>
      <c r="E128" s="16"/>
      <c r="F128" s="118"/>
      <c r="G128" s="118"/>
      <c r="H128" s="118"/>
      <c r="I128" s="118"/>
      <c r="J128" s="118"/>
      <c r="K128" s="118"/>
      <c r="L128" s="118"/>
      <c r="M128" s="118"/>
      <c r="N128" s="118"/>
      <c r="O128" s="118"/>
      <c r="P128" s="118"/>
      <c r="Q128" s="118"/>
      <c r="R128" s="118"/>
      <c r="S128" s="118"/>
      <c r="T128" s="118"/>
      <c r="U128" s="118"/>
      <c r="V128" s="118"/>
      <c r="W128" s="118"/>
      <c r="X128" s="118"/>
      <c r="Y128" s="118"/>
    </row>
    <row r="129" spans="1:25" ht="14.25" customHeight="1" x14ac:dyDescent="0.2">
      <c r="A129" s="118"/>
      <c r="B129" s="119"/>
      <c r="C129" s="15"/>
      <c r="D129" s="16"/>
      <c r="E129" s="16"/>
      <c r="F129" s="118"/>
      <c r="G129" s="118"/>
      <c r="H129" s="118"/>
      <c r="I129" s="118"/>
      <c r="J129" s="118"/>
      <c r="K129" s="118"/>
      <c r="L129" s="118"/>
      <c r="M129" s="118"/>
      <c r="N129" s="118"/>
      <c r="O129" s="118"/>
      <c r="P129" s="118"/>
      <c r="Q129" s="118"/>
      <c r="R129" s="118"/>
      <c r="S129" s="118"/>
      <c r="T129" s="118"/>
      <c r="U129" s="118"/>
      <c r="V129" s="118"/>
      <c r="W129" s="118"/>
      <c r="X129" s="118"/>
      <c r="Y129" s="118"/>
    </row>
    <row r="130" spans="1:25" ht="14.25" customHeight="1" x14ac:dyDescent="0.2">
      <c r="A130" s="118"/>
      <c r="B130" s="119"/>
      <c r="C130" s="15"/>
      <c r="D130" s="16"/>
      <c r="E130" s="16"/>
      <c r="F130" s="118"/>
      <c r="G130" s="118"/>
      <c r="H130" s="118"/>
      <c r="I130" s="118"/>
      <c r="J130" s="118"/>
      <c r="K130" s="118"/>
      <c r="L130" s="118"/>
      <c r="M130" s="118"/>
      <c r="N130" s="118"/>
      <c r="O130" s="118"/>
      <c r="P130" s="118"/>
      <c r="Q130" s="118"/>
      <c r="R130" s="118"/>
      <c r="S130" s="118"/>
      <c r="T130" s="118"/>
      <c r="U130" s="118"/>
      <c r="V130" s="118"/>
      <c r="W130" s="118"/>
      <c r="X130" s="118"/>
      <c r="Y130" s="118"/>
    </row>
    <row r="131" spans="1:25" ht="14.25" customHeight="1" x14ac:dyDescent="0.2">
      <c r="A131" s="118"/>
      <c r="B131" s="119"/>
      <c r="C131" s="15"/>
      <c r="D131" s="16"/>
      <c r="E131" s="16"/>
      <c r="F131" s="118"/>
      <c r="G131" s="118"/>
      <c r="H131" s="118"/>
      <c r="I131" s="118"/>
      <c r="J131" s="118"/>
      <c r="K131" s="118"/>
      <c r="L131" s="118"/>
      <c r="M131" s="118"/>
      <c r="N131" s="118"/>
      <c r="O131" s="118"/>
      <c r="P131" s="118"/>
      <c r="Q131" s="118"/>
      <c r="R131" s="118"/>
      <c r="S131" s="118"/>
      <c r="T131" s="118"/>
      <c r="U131" s="118"/>
      <c r="V131" s="118"/>
      <c r="W131" s="118"/>
      <c r="X131" s="118"/>
      <c r="Y131" s="118"/>
    </row>
    <row r="132" spans="1:25" ht="14.25" customHeight="1" x14ac:dyDescent="0.2">
      <c r="A132" s="118"/>
      <c r="B132" s="119"/>
      <c r="C132" s="15"/>
      <c r="D132" s="16"/>
      <c r="E132" s="16"/>
      <c r="F132" s="118"/>
      <c r="G132" s="118"/>
      <c r="H132" s="118"/>
      <c r="I132" s="118"/>
      <c r="J132" s="118"/>
      <c r="K132" s="118"/>
      <c r="L132" s="118"/>
      <c r="M132" s="118"/>
      <c r="N132" s="118"/>
      <c r="O132" s="118"/>
      <c r="P132" s="118"/>
      <c r="Q132" s="118"/>
      <c r="R132" s="118"/>
      <c r="S132" s="118"/>
      <c r="T132" s="118"/>
      <c r="U132" s="118"/>
      <c r="V132" s="118"/>
      <c r="W132" s="118"/>
      <c r="X132" s="118"/>
      <c r="Y132" s="118"/>
    </row>
    <row r="133" spans="1:25" ht="14.25" customHeight="1" x14ac:dyDescent="0.2">
      <c r="A133" s="118"/>
      <c r="B133" s="119"/>
      <c r="C133" s="15"/>
      <c r="D133" s="16"/>
      <c r="E133" s="16"/>
      <c r="F133" s="118"/>
      <c r="G133" s="118"/>
      <c r="H133" s="118"/>
      <c r="I133" s="118"/>
      <c r="J133" s="118"/>
      <c r="K133" s="118"/>
      <c r="L133" s="118"/>
      <c r="M133" s="118"/>
      <c r="N133" s="118"/>
      <c r="O133" s="118"/>
      <c r="P133" s="118"/>
      <c r="Q133" s="118"/>
      <c r="R133" s="118"/>
      <c r="S133" s="118"/>
      <c r="T133" s="118"/>
      <c r="U133" s="118"/>
      <c r="V133" s="118"/>
      <c r="W133" s="118"/>
      <c r="X133" s="118"/>
      <c r="Y133" s="118"/>
    </row>
    <row r="134" spans="1:25" ht="14.25" customHeight="1" x14ac:dyDescent="0.2">
      <c r="A134" s="118"/>
      <c r="B134" s="119"/>
      <c r="C134" s="15"/>
      <c r="D134" s="16"/>
      <c r="E134" s="16"/>
      <c r="F134" s="118"/>
      <c r="G134" s="118"/>
      <c r="H134" s="118"/>
      <c r="I134" s="118"/>
      <c r="J134" s="118"/>
      <c r="K134" s="118"/>
      <c r="L134" s="118"/>
      <c r="M134" s="118"/>
      <c r="N134" s="118"/>
      <c r="O134" s="118"/>
      <c r="P134" s="118"/>
      <c r="Q134" s="118"/>
      <c r="R134" s="118"/>
      <c r="S134" s="118"/>
      <c r="T134" s="118"/>
      <c r="U134" s="118"/>
      <c r="V134" s="118"/>
      <c r="W134" s="118"/>
      <c r="X134" s="118"/>
      <c r="Y134" s="118"/>
    </row>
    <row r="135" spans="1:25" ht="14.25" customHeight="1" x14ac:dyDescent="0.2">
      <c r="A135" s="118"/>
      <c r="B135" s="119"/>
      <c r="C135" s="15"/>
      <c r="D135" s="16"/>
      <c r="E135" s="16"/>
      <c r="F135" s="118"/>
      <c r="G135" s="118"/>
      <c r="H135" s="118"/>
      <c r="I135" s="118"/>
      <c r="J135" s="118"/>
      <c r="K135" s="118"/>
      <c r="L135" s="118"/>
      <c r="M135" s="118"/>
      <c r="N135" s="118"/>
      <c r="O135" s="118"/>
      <c r="P135" s="118"/>
      <c r="Q135" s="118"/>
      <c r="R135" s="118"/>
      <c r="S135" s="118"/>
      <c r="T135" s="118"/>
      <c r="U135" s="118"/>
      <c r="V135" s="118"/>
      <c r="W135" s="118"/>
      <c r="X135" s="118"/>
      <c r="Y135" s="118"/>
    </row>
    <row r="136" spans="1:25" ht="14.25" customHeight="1" x14ac:dyDescent="0.2">
      <c r="A136" s="118"/>
      <c r="B136" s="119"/>
      <c r="C136" s="15"/>
      <c r="D136" s="16"/>
      <c r="E136" s="16"/>
      <c r="F136" s="118"/>
      <c r="G136" s="118"/>
      <c r="H136" s="118"/>
      <c r="I136" s="118"/>
      <c r="J136" s="118"/>
      <c r="K136" s="118"/>
      <c r="L136" s="118"/>
      <c r="M136" s="118"/>
      <c r="N136" s="118"/>
      <c r="O136" s="118"/>
      <c r="P136" s="118"/>
      <c r="Q136" s="118"/>
      <c r="R136" s="118"/>
      <c r="S136" s="118"/>
      <c r="T136" s="118"/>
      <c r="U136" s="118"/>
      <c r="V136" s="118"/>
      <c r="W136" s="118"/>
      <c r="X136" s="118"/>
      <c r="Y136" s="118"/>
    </row>
    <row r="137" spans="1:25" ht="14.25" customHeight="1" x14ac:dyDescent="0.2">
      <c r="A137" s="118"/>
      <c r="B137" s="119"/>
      <c r="C137" s="15"/>
      <c r="D137" s="16"/>
      <c r="E137" s="16"/>
      <c r="F137" s="118"/>
      <c r="G137" s="118"/>
      <c r="H137" s="118"/>
      <c r="I137" s="118"/>
      <c r="J137" s="118"/>
      <c r="K137" s="118"/>
      <c r="L137" s="118"/>
      <c r="M137" s="118"/>
      <c r="N137" s="118"/>
      <c r="O137" s="118"/>
      <c r="P137" s="118"/>
      <c r="Q137" s="118"/>
      <c r="R137" s="118"/>
      <c r="S137" s="118"/>
      <c r="T137" s="118"/>
      <c r="U137" s="118"/>
      <c r="V137" s="118"/>
      <c r="W137" s="118"/>
      <c r="X137" s="118"/>
      <c r="Y137" s="118"/>
    </row>
    <row r="138" spans="1:25" ht="14.25" customHeight="1" x14ac:dyDescent="0.2">
      <c r="A138" s="118"/>
      <c r="B138" s="119"/>
      <c r="C138" s="15"/>
      <c r="D138" s="16"/>
      <c r="E138" s="16"/>
      <c r="F138" s="118"/>
      <c r="G138" s="118"/>
      <c r="H138" s="118"/>
      <c r="I138" s="118"/>
      <c r="J138" s="118"/>
      <c r="K138" s="118"/>
      <c r="L138" s="118"/>
      <c r="M138" s="118"/>
      <c r="N138" s="118"/>
      <c r="O138" s="118"/>
      <c r="P138" s="118"/>
      <c r="Q138" s="118"/>
      <c r="R138" s="118"/>
      <c r="S138" s="118"/>
      <c r="T138" s="118"/>
      <c r="U138" s="118"/>
      <c r="V138" s="118"/>
      <c r="W138" s="118"/>
      <c r="X138" s="118"/>
      <c r="Y138" s="118"/>
    </row>
    <row r="139" spans="1:25" ht="14.25" customHeight="1" x14ac:dyDescent="0.2">
      <c r="A139" s="118"/>
      <c r="B139" s="119"/>
      <c r="C139" s="15"/>
      <c r="D139" s="16"/>
      <c r="E139" s="16"/>
      <c r="F139" s="118"/>
      <c r="G139" s="118"/>
      <c r="H139" s="118"/>
      <c r="I139" s="118"/>
      <c r="J139" s="118"/>
      <c r="K139" s="118"/>
      <c r="L139" s="118"/>
      <c r="M139" s="118"/>
      <c r="N139" s="118"/>
      <c r="O139" s="118"/>
      <c r="P139" s="118"/>
      <c r="Q139" s="118"/>
      <c r="R139" s="118"/>
      <c r="S139" s="118"/>
      <c r="T139" s="118"/>
      <c r="U139" s="118"/>
      <c r="V139" s="118"/>
      <c r="W139" s="118"/>
      <c r="X139" s="118"/>
      <c r="Y139" s="118"/>
    </row>
    <row r="140" spans="1:25" ht="14.25" customHeight="1" x14ac:dyDescent="0.2">
      <c r="A140" s="118"/>
      <c r="B140" s="119"/>
      <c r="C140" s="15"/>
      <c r="D140" s="16"/>
      <c r="E140" s="16"/>
      <c r="F140" s="118"/>
      <c r="G140" s="118"/>
      <c r="H140" s="118"/>
      <c r="I140" s="118"/>
      <c r="J140" s="118"/>
      <c r="K140" s="118"/>
      <c r="L140" s="118"/>
      <c r="M140" s="118"/>
      <c r="N140" s="118"/>
      <c r="O140" s="118"/>
      <c r="P140" s="118"/>
      <c r="Q140" s="118"/>
      <c r="R140" s="118"/>
      <c r="S140" s="118"/>
      <c r="T140" s="118"/>
      <c r="U140" s="118"/>
      <c r="V140" s="118"/>
      <c r="W140" s="118"/>
      <c r="X140" s="118"/>
      <c r="Y140" s="118"/>
    </row>
    <row r="141" spans="1:25" ht="14.25" customHeight="1" x14ac:dyDescent="0.2">
      <c r="A141" s="118"/>
      <c r="B141" s="119"/>
      <c r="C141" s="15"/>
      <c r="D141" s="16"/>
      <c r="E141" s="16"/>
      <c r="F141" s="118"/>
      <c r="G141" s="118"/>
      <c r="H141" s="118"/>
      <c r="I141" s="118"/>
      <c r="J141" s="118"/>
      <c r="K141" s="118"/>
      <c r="L141" s="118"/>
      <c r="M141" s="118"/>
      <c r="N141" s="118"/>
      <c r="O141" s="118"/>
      <c r="P141" s="118"/>
      <c r="Q141" s="118"/>
      <c r="R141" s="118"/>
      <c r="S141" s="118"/>
      <c r="T141" s="118"/>
      <c r="U141" s="118"/>
      <c r="V141" s="118"/>
      <c r="W141" s="118"/>
      <c r="X141" s="118"/>
      <c r="Y141" s="118"/>
    </row>
    <row r="142" spans="1:25" ht="14.25" customHeight="1" x14ac:dyDescent="0.2">
      <c r="A142" s="118"/>
      <c r="B142" s="119"/>
      <c r="C142" s="15"/>
      <c r="D142" s="16"/>
      <c r="E142" s="16"/>
      <c r="F142" s="118"/>
      <c r="G142" s="118"/>
      <c r="H142" s="118"/>
      <c r="I142" s="118"/>
      <c r="J142" s="118"/>
      <c r="K142" s="118"/>
      <c r="L142" s="118"/>
      <c r="M142" s="118"/>
      <c r="N142" s="118"/>
      <c r="O142" s="118"/>
      <c r="P142" s="118"/>
      <c r="Q142" s="118"/>
      <c r="R142" s="118"/>
      <c r="S142" s="118"/>
      <c r="T142" s="118"/>
      <c r="U142" s="118"/>
      <c r="V142" s="118"/>
      <c r="W142" s="118"/>
      <c r="X142" s="118"/>
      <c r="Y142" s="118"/>
    </row>
    <row r="143" spans="1:25" ht="14.25" customHeight="1" x14ac:dyDescent="0.2">
      <c r="A143" s="118"/>
      <c r="B143" s="119"/>
      <c r="C143" s="15"/>
      <c r="D143" s="16"/>
      <c r="E143" s="16"/>
      <c r="F143" s="118"/>
      <c r="G143" s="118"/>
      <c r="H143" s="118"/>
      <c r="I143" s="118"/>
      <c r="J143" s="118"/>
      <c r="K143" s="118"/>
      <c r="L143" s="118"/>
      <c r="M143" s="118"/>
      <c r="N143" s="118"/>
      <c r="O143" s="118"/>
      <c r="P143" s="118"/>
      <c r="Q143" s="118"/>
      <c r="R143" s="118"/>
      <c r="S143" s="118"/>
      <c r="T143" s="118"/>
      <c r="U143" s="118"/>
      <c r="V143" s="118"/>
      <c r="W143" s="118"/>
      <c r="X143" s="118"/>
      <c r="Y143" s="118"/>
    </row>
    <row r="144" spans="1:25" ht="14.25" customHeight="1" x14ac:dyDescent="0.2">
      <c r="A144" s="118"/>
      <c r="B144" s="119"/>
      <c r="C144" s="15"/>
      <c r="D144" s="16"/>
      <c r="E144" s="16"/>
      <c r="F144" s="118"/>
      <c r="G144" s="118"/>
      <c r="H144" s="118"/>
      <c r="I144" s="118"/>
      <c r="J144" s="118"/>
      <c r="K144" s="118"/>
      <c r="L144" s="118"/>
      <c r="M144" s="118"/>
      <c r="N144" s="118"/>
      <c r="O144" s="118"/>
      <c r="P144" s="118"/>
      <c r="Q144" s="118"/>
      <c r="R144" s="118"/>
      <c r="S144" s="118"/>
      <c r="T144" s="118"/>
      <c r="U144" s="118"/>
      <c r="V144" s="118"/>
      <c r="W144" s="118"/>
      <c r="X144" s="118"/>
      <c r="Y144" s="118"/>
    </row>
    <row r="145" spans="1:25" ht="14.25" customHeight="1" x14ac:dyDescent="0.2">
      <c r="A145" s="118"/>
      <c r="B145" s="119"/>
      <c r="C145" s="15"/>
      <c r="D145" s="16"/>
      <c r="E145" s="16"/>
      <c r="F145" s="118"/>
      <c r="G145" s="118"/>
      <c r="H145" s="118"/>
      <c r="I145" s="118"/>
      <c r="J145" s="118"/>
      <c r="K145" s="118"/>
      <c r="L145" s="118"/>
      <c r="M145" s="118"/>
      <c r="N145" s="118"/>
      <c r="O145" s="118"/>
      <c r="P145" s="118"/>
      <c r="Q145" s="118"/>
      <c r="R145" s="118"/>
      <c r="S145" s="118"/>
      <c r="T145" s="118"/>
      <c r="U145" s="118"/>
      <c r="V145" s="118"/>
      <c r="W145" s="118"/>
      <c r="X145" s="118"/>
      <c r="Y145" s="118"/>
    </row>
    <row r="146" spans="1:25" ht="14.25" customHeight="1" x14ac:dyDescent="0.2">
      <c r="A146" s="118"/>
      <c r="B146" s="119"/>
      <c r="C146" s="15"/>
      <c r="D146" s="16"/>
      <c r="E146" s="16"/>
      <c r="F146" s="118"/>
      <c r="G146" s="118"/>
      <c r="H146" s="118"/>
      <c r="I146" s="118"/>
      <c r="J146" s="118"/>
      <c r="K146" s="118"/>
      <c r="L146" s="118"/>
      <c r="M146" s="118"/>
      <c r="N146" s="118"/>
      <c r="O146" s="118"/>
      <c r="P146" s="118"/>
      <c r="Q146" s="118"/>
      <c r="R146" s="118"/>
      <c r="S146" s="118"/>
      <c r="T146" s="118"/>
      <c r="U146" s="118"/>
      <c r="V146" s="118"/>
      <c r="W146" s="118"/>
      <c r="X146" s="118"/>
      <c r="Y146" s="118"/>
    </row>
    <row r="147" spans="1:25" ht="14.25" customHeight="1" x14ac:dyDescent="0.2">
      <c r="A147" s="118"/>
      <c r="B147" s="119"/>
      <c r="C147" s="15"/>
      <c r="D147" s="16"/>
      <c r="E147" s="16"/>
      <c r="F147" s="118"/>
      <c r="G147" s="118"/>
      <c r="H147" s="118"/>
      <c r="I147" s="118"/>
      <c r="J147" s="118"/>
      <c r="K147" s="118"/>
      <c r="L147" s="118"/>
      <c r="M147" s="118"/>
      <c r="N147" s="118"/>
      <c r="O147" s="118"/>
      <c r="P147" s="118"/>
      <c r="Q147" s="118"/>
      <c r="R147" s="118"/>
      <c r="S147" s="118"/>
      <c r="T147" s="118"/>
      <c r="U147" s="118"/>
      <c r="V147" s="118"/>
      <c r="W147" s="118"/>
      <c r="X147" s="118"/>
      <c r="Y147" s="118"/>
    </row>
    <row r="148" spans="1:25" ht="14.25" customHeight="1" x14ac:dyDescent="0.2">
      <c r="A148" s="118"/>
      <c r="B148" s="119"/>
      <c r="C148" s="15"/>
      <c r="D148" s="16"/>
      <c r="E148" s="16"/>
      <c r="F148" s="118"/>
      <c r="G148" s="118"/>
      <c r="H148" s="118"/>
      <c r="I148" s="118"/>
      <c r="J148" s="118"/>
      <c r="K148" s="118"/>
      <c r="L148" s="118"/>
      <c r="M148" s="118"/>
      <c r="N148" s="118"/>
      <c r="O148" s="118"/>
      <c r="P148" s="118"/>
      <c r="Q148" s="118"/>
      <c r="R148" s="118"/>
      <c r="S148" s="118"/>
      <c r="T148" s="118"/>
      <c r="U148" s="118"/>
      <c r="V148" s="118"/>
      <c r="W148" s="118"/>
      <c r="X148" s="118"/>
      <c r="Y148" s="118"/>
    </row>
    <row r="149" spans="1:25" ht="14.25" customHeight="1" x14ac:dyDescent="0.2">
      <c r="A149" s="118"/>
      <c r="B149" s="119"/>
      <c r="C149" s="15"/>
      <c r="D149" s="16"/>
      <c r="E149" s="16"/>
      <c r="F149" s="118"/>
      <c r="G149" s="118"/>
      <c r="H149" s="118"/>
      <c r="I149" s="118"/>
      <c r="J149" s="118"/>
      <c r="K149" s="118"/>
      <c r="L149" s="118"/>
      <c r="M149" s="118"/>
      <c r="N149" s="118"/>
      <c r="O149" s="118"/>
      <c r="P149" s="118"/>
      <c r="Q149" s="118"/>
      <c r="R149" s="118"/>
      <c r="S149" s="118"/>
      <c r="T149" s="118"/>
      <c r="U149" s="118"/>
      <c r="V149" s="118"/>
      <c r="W149" s="118"/>
      <c r="X149" s="118"/>
      <c r="Y149" s="118"/>
    </row>
    <row r="150" spans="1:25" ht="14.25" customHeight="1" x14ac:dyDescent="0.2">
      <c r="A150" s="118"/>
      <c r="B150" s="119"/>
      <c r="C150" s="15"/>
      <c r="D150" s="16"/>
      <c r="E150" s="16"/>
      <c r="F150" s="118"/>
      <c r="G150" s="118"/>
      <c r="H150" s="118"/>
      <c r="I150" s="118"/>
      <c r="J150" s="118"/>
      <c r="K150" s="118"/>
      <c r="L150" s="118"/>
      <c r="M150" s="118"/>
      <c r="N150" s="118"/>
      <c r="O150" s="118"/>
      <c r="P150" s="118"/>
      <c r="Q150" s="118"/>
      <c r="R150" s="118"/>
      <c r="S150" s="118"/>
      <c r="T150" s="118"/>
      <c r="U150" s="118"/>
      <c r="V150" s="118"/>
      <c r="W150" s="118"/>
      <c r="X150" s="118"/>
      <c r="Y150" s="118"/>
    </row>
    <row r="151" spans="1:25" ht="14.25" customHeight="1" x14ac:dyDescent="0.2">
      <c r="A151" s="118"/>
      <c r="B151" s="119"/>
      <c r="C151" s="15"/>
      <c r="D151" s="16"/>
      <c r="E151" s="16"/>
      <c r="F151" s="118"/>
      <c r="G151" s="118"/>
      <c r="H151" s="118"/>
      <c r="I151" s="118"/>
      <c r="J151" s="118"/>
      <c r="K151" s="118"/>
      <c r="L151" s="118"/>
      <c r="M151" s="118"/>
      <c r="N151" s="118"/>
      <c r="O151" s="118"/>
      <c r="P151" s="118"/>
      <c r="Q151" s="118"/>
      <c r="R151" s="118"/>
      <c r="S151" s="118"/>
      <c r="T151" s="118"/>
      <c r="U151" s="118"/>
      <c r="V151" s="118"/>
      <c r="W151" s="118"/>
      <c r="X151" s="118"/>
      <c r="Y151" s="118"/>
    </row>
    <row r="152" spans="1:25" ht="14.25" customHeight="1" x14ac:dyDescent="0.2">
      <c r="A152" s="118"/>
      <c r="B152" s="119"/>
      <c r="C152" s="15"/>
      <c r="D152" s="16"/>
      <c r="E152" s="16"/>
      <c r="F152" s="118"/>
      <c r="G152" s="118"/>
      <c r="H152" s="118"/>
      <c r="I152" s="118"/>
      <c r="J152" s="118"/>
      <c r="K152" s="118"/>
      <c r="L152" s="118"/>
      <c r="M152" s="118"/>
      <c r="N152" s="118"/>
      <c r="O152" s="118"/>
      <c r="P152" s="118"/>
      <c r="Q152" s="118"/>
      <c r="R152" s="118"/>
      <c r="S152" s="118"/>
      <c r="T152" s="118"/>
      <c r="U152" s="118"/>
      <c r="V152" s="118"/>
      <c r="W152" s="118"/>
      <c r="X152" s="118"/>
      <c r="Y152" s="118"/>
    </row>
    <row r="153" spans="1:25" ht="14.25" customHeight="1" x14ac:dyDescent="0.2">
      <c r="A153" s="118"/>
      <c r="B153" s="119"/>
      <c r="C153" s="15"/>
      <c r="D153" s="16"/>
      <c r="E153" s="16"/>
      <c r="F153" s="118"/>
      <c r="G153" s="118"/>
      <c r="H153" s="118"/>
      <c r="I153" s="118"/>
      <c r="J153" s="118"/>
      <c r="K153" s="118"/>
      <c r="L153" s="118"/>
      <c r="M153" s="118"/>
      <c r="N153" s="118"/>
      <c r="O153" s="118"/>
      <c r="P153" s="118"/>
      <c r="Q153" s="118"/>
      <c r="R153" s="118"/>
      <c r="S153" s="118"/>
      <c r="T153" s="118"/>
      <c r="U153" s="118"/>
      <c r="V153" s="118"/>
      <c r="W153" s="118"/>
      <c r="X153" s="118"/>
      <c r="Y153" s="118"/>
    </row>
    <row r="154" spans="1:25" ht="14.25" customHeight="1" x14ac:dyDescent="0.2">
      <c r="A154" s="118"/>
      <c r="B154" s="119"/>
      <c r="C154" s="15"/>
      <c r="D154" s="16"/>
      <c r="E154" s="16"/>
      <c r="F154" s="118"/>
      <c r="G154" s="118"/>
      <c r="H154" s="118"/>
      <c r="I154" s="118"/>
      <c r="J154" s="118"/>
      <c r="K154" s="118"/>
      <c r="L154" s="118"/>
      <c r="M154" s="118"/>
      <c r="N154" s="118"/>
      <c r="O154" s="118"/>
      <c r="P154" s="118"/>
      <c r="Q154" s="118"/>
      <c r="R154" s="118"/>
      <c r="S154" s="118"/>
      <c r="T154" s="118"/>
      <c r="U154" s="118"/>
      <c r="V154" s="118"/>
      <c r="W154" s="118"/>
      <c r="X154" s="118"/>
      <c r="Y154" s="118"/>
    </row>
    <row r="155" spans="1:25" ht="14.25" customHeight="1" x14ac:dyDescent="0.2">
      <c r="A155" s="118"/>
      <c r="B155" s="119"/>
      <c r="C155" s="15"/>
      <c r="D155" s="16"/>
      <c r="E155" s="16"/>
      <c r="F155" s="118"/>
      <c r="G155" s="118"/>
      <c r="H155" s="118"/>
      <c r="I155" s="118"/>
      <c r="J155" s="118"/>
      <c r="K155" s="118"/>
      <c r="L155" s="118"/>
      <c r="M155" s="118"/>
      <c r="N155" s="118"/>
      <c r="O155" s="118"/>
      <c r="P155" s="118"/>
      <c r="Q155" s="118"/>
      <c r="R155" s="118"/>
      <c r="S155" s="118"/>
      <c r="T155" s="118"/>
      <c r="U155" s="118"/>
      <c r="V155" s="118"/>
      <c r="W155" s="118"/>
      <c r="X155" s="118"/>
      <c r="Y155" s="118"/>
    </row>
    <row r="156" spans="1:25" ht="14.25" customHeight="1" x14ac:dyDescent="0.2">
      <c r="A156" s="118"/>
      <c r="B156" s="119"/>
      <c r="C156" s="15"/>
      <c r="D156" s="16"/>
      <c r="E156" s="16"/>
      <c r="F156" s="118"/>
      <c r="G156" s="118"/>
      <c r="H156" s="118"/>
      <c r="I156" s="118"/>
      <c r="J156" s="118"/>
      <c r="K156" s="118"/>
      <c r="L156" s="118"/>
      <c r="M156" s="118"/>
      <c r="N156" s="118"/>
      <c r="O156" s="118"/>
      <c r="P156" s="118"/>
      <c r="Q156" s="118"/>
      <c r="R156" s="118"/>
      <c r="S156" s="118"/>
      <c r="T156" s="118"/>
      <c r="U156" s="118"/>
      <c r="V156" s="118"/>
      <c r="W156" s="118"/>
      <c r="X156" s="118"/>
      <c r="Y156" s="118"/>
    </row>
    <row r="157" spans="1:25" ht="14.25" customHeight="1" x14ac:dyDescent="0.2">
      <c r="A157" s="118"/>
      <c r="B157" s="119"/>
      <c r="C157" s="15"/>
      <c r="D157" s="16"/>
      <c r="E157" s="16"/>
      <c r="F157" s="118"/>
      <c r="G157" s="118"/>
      <c r="H157" s="118"/>
      <c r="I157" s="118"/>
      <c r="J157" s="118"/>
      <c r="K157" s="118"/>
      <c r="L157" s="118"/>
      <c r="M157" s="118"/>
      <c r="N157" s="118"/>
      <c r="O157" s="118"/>
      <c r="P157" s="118"/>
      <c r="Q157" s="118"/>
      <c r="R157" s="118"/>
      <c r="S157" s="118"/>
      <c r="T157" s="118"/>
      <c r="U157" s="118"/>
      <c r="V157" s="118"/>
      <c r="W157" s="118"/>
      <c r="X157" s="118"/>
      <c r="Y157" s="118"/>
    </row>
    <row r="158" spans="1:25" ht="14.25" customHeight="1" x14ac:dyDescent="0.2">
      <c r="A158" s="118"/>
      <c r="B158" s="119"/>
      <c r="C158" s="15"/>
      <c r="D158" s="16"/>
      <c r="E158" s="16"/>
      <c r="F158" s="118"/>
      <c r="G158" s="118"/>
      <c r="H158" s="118"/>
      <c r="I158" s="118"/>
      <c r="J158" s="118"/>
      <c r="K158" s="118"/>
      <c r="L158" s="118"/>
      <c r="M158" s="118"/>
      <c r="N158" s="118"/>
      <c r="O158" s="118"/>
      <c r="P158" s="118"/>
      <c r="Q158" s="118"/>
      <c r="R158" s="118"/>
      <c r="S158" s="118"/>
      <c r="T158" s="118"/>
      <c r="U158" s="118"/>
      <c r="V158" s="118"/>
      <c r="W158" s="118"/>
      <c r="X158" s="118"/>
      <c r="Y158" s="118"/>
    </row>
    <row r="159" spans="1:25" ht="14.25" customHeight="1" x14ac:dyDescent="0.2">
      <c r="A159" s="118"/>
      <c r="B159" s="119"/>
      <c r="C159" s="15"/>
      <c r="D159" s="16"/>
      <c r="E159" s="16"/>
      <c r="F159" s="118"/>
      <c r="G159" s="118"/>
      <c r="H159" s="118"/>
      <c r="I159" s="118"/>
      <c r="J159" s="118"/>
      <c r="K159" s="118"/>
      <c r="L159" s="118"/>
      <c r="M159" s="118"/>
      <c r="N159" s="118"/>
      <c r="O159" s="118"/>
      <c r="P159" s="118"/>
      <c r="Q159" s="118"/>
      <c r="R159" s="118"/>
      <c r="S159" s="118"/>
      <c r="T159" s="118"/>
      <c r="U159" s="118"/>
      <c r="V159" s="118"/>
      <c r="W159" s="118"/>
      <c r="X159" s="118"/>
      <c r="Y159" s="118"/>
    </row>
    <row r="160" spans="1:25" ht="14.25" customHeight="1" x14ac:dyDescent="0.2">
      <c r="A160" s="118"/>
      <c r="B160" s="119"/>
      <c r="C160" s="15"/>
      <c r="D160" s="16"/>
      <c r="E160" s="16"/>
      <c r="F160" s="118"/>
      <c r="G160" s="118"/>
      <c r="H160" s="118"/>
      <c r="I160" s="118"/>
      <c r="J160" s="118"/>
      <c r="K160" s="118"/>
      <c r="L160" s="118"/>
      <c r="M160" s="118"/>
      <c r="N160" s="118"/>
      <c r="O160" s="118"/>
      <c r="P160" s="118"/>
      <c r="Q160" s="118"/>
      <c r="R160" s="118"/>
      <c r="S160" s="118"/>
      <c r="T160" s="118"/>
      <c r="U160" s="118"/>
      <c r="V160" s="118"/>
      <c r="W160" s="118"/>
      <c r="X160" s="118"/>
      <c r="Y160" s="118"/>
    </row>
    <row r="161" spans="1:25" ht="14.25" customHeight="1" x14ac:dyDescent="0.2">
      <c r="A161" s="118"/>
      <c r="B161" s="119"/>
      <c r="C161" s="15"/>
      <c r="D161" s="16"/>
      <c r="E161" s="16"/>
      <c r="F161" s="118"/>
      <c r="G161" s="118"/>
      <c r="H161" s="118"/>
      <c r="I161" s="118"/>
      <c r="J161" s="118"/>
      <c r="K161" s="118"/>
      <c r="L161" s="118"/>
      <c r="M161" s="118"/>
      <c r="N161" s="118"/>
      <c r="O161" s="118"/>
      <c r="P161" s="118"/>
      <c r="Q161" s="118"/>
      <c r="R161" s="118"/>
      <c r="S161" s="118"/>
      <c r="T161" s="118"/>
      <c r="U161" s="118"/>
      <c r="V161" s="118"/>
      <c r="W161" s="118"/>
      <c r="X161" s="118"/>
      <c r="Y161" s="118"/>
    </row>
    <row r="162" spans="1:25" ht="14.25" customHeight="1" x14ac:dyDescent="0.2">
      <c r="A162" s="118"/>
      <c r="B162" s="119"/>
      <c r="C162" s="15"/>
      <c r="D162" s="16"/>
      <c r="E162" s="16"/>
      <c r="F162" s="118"/>
      <c r="G162" s="118"/>
      <c r="H162" s="118"/>
      <c r="I162" s="118"/>
      <c r="J162" s="118"/>
      <c r="K162" s="118"/>
      <c r="L162" s="118"/>
      <c r="M162" s="118"/>
      <c r="N162" s="118"/>
      <c r="O162" s="118"/>
      <c r="P162" s="118"/>
      <c r="Q162" s="118"/>
      <c r="R162" s="118"/>
      <c r="S162" s="118"/>
      <c r="T162" s="118"/>
      <c r="U162" s="118"/>
      <c r="V162" s="118"/>
      <c r="W162" s="118"/>
      <c r="X162" s="118"/>
      <c r="Y162" s="118"/>
    </row>
    <row r="163" spans="1:25" ht="14.25" customHeight="1" x14ac:dyDescent="0.2">
      <c r="A163" s="118"/>
      <c r="B163" s="119"/>
      <c r="C163" s="15"/>
      <c r="D163" s="16"/>
      <c r="E163" s="16"/>
      <c r="F163" s="118"/>
      <c r="G163" s="118"/>
      <c r="H163" s="118"/>
      <c r="I163" s="118"/>
      <c r="J163" s="118"/>
      <c r="K163" s="118"/>
      <c r="L163" s="118"/>
      <c r="M163" s="118"/>
      <c r="N163" s="118"/>
      <c r="O163" s="118"/>
      <c r="P163" s="118"/>
      <c r="Q163" s="118"/>
      <c r="R163" s="118"/>
      <c r="S163" s="118"/>
      <c r="T163" s="118"/>
      <c r="U163" s="118"/>
      <c r="V163" s="118"/>
      <c r="W163" s="118"/>
      <c r="X163" s="118"/>
      <c r="Y163" s="118"/>
    </row>
    <row r="164" spans="1:25" ht="14.25" customHeight="1" x14ac:dyDescent="0.2">
      <c r="A164" s="118"/>
      <c r="B164" s="119"/>
      <c r="C164" s="15"/>
      <c r="D164" s="16"/>
      <c r="E164" s="16"/>
      <c r="F164" s="118"/>
      <c r="G164" s="118"/>
      <c r="H164" s="118"/>
      <c r="I164" s="118"/>
      <c r="J164" s="118"/>
      <c r="K164" s="118"/>
      <c r="L164" s="118"/>
      <c r="M164" s="118"/>
      <c r="N164" s="118"/>
      <c r="O164" s="118"/>
      <c r="P164" s="118"/>
      <c r="Q164" s="118"/>
      <c r="R164" s="118"/>
      <c r="S164" s="118"/>
      <c r="T164" s="118"/>
      <c r="U164" s="118"/>
      <c r="V164" s="118"/>
      <c r="W164" s="118"/>
      <c r="X164" s="118"/>
      <c r="Y164" s="118"/>
    </row>
    <row r="165" spans="1:25" ht="14.25" customHeight="1" x14ac:dyDescent="0.2">
      <c r="A165" s="118"/>
      <c r="B165" s="119"/>
      <c r="C165" s="15"/>
      <c r="D165" s="16"/>
      <c r="E165" s="16"/>
      <c r="F165" s="118"/>
      <c r="G165" s="118"/>
      <c r="H165" s="118"/>
      <c r="I165" s="118"/>
      <c r="J165" s="118"/>
      <c r="K165" s="118"/>
      <c r="L165" s="118"/>
      <c r="M165" s="118"/>
      <c r="N165" s="118"/>
      <c r="O165" s="118"/>
      <c r="P165" s="118"/>
      <c r="Q165" s="118"/>
      <c r="R165" s="118"/>
      <c r="S165" s="118"/>
      <c r="T165" s="118"/>
      <c r="U165" s="118"/>
      <c r="V165" s="118"/>
      <c r="W165" s="118"/>
      <c r="X165" s="118"/>
      <c r="Y165" s="118"/>
    </row>
    <row r="166" spans="1:25" ht="14.25" customHeight="1" x14ac:dyDescent="0.2">
      <c r="A166" s="118"/>
      <c r="B166" s="119"/>
      <c r="C166" s="15"/>
      <c r="D166" s="16"/>
      <c r="E166" s="16"/>
      <c r="F166" s="118"/>
      <c r="G166" s="118"/>
      <c r="H166" s="118"/>
      <c r="I166" s="118"/>
      <c r="J166" s="118"/>
      <c r="K166" s="118"/>
      <c r="L166" s="118"/>
      <c r="M166" s="118"/>
      <c r="N166" s="118"/>
      <c r="O166" s="118"/>
      <c r="P166" s="118"/>
      <c r="Q166" s="118"/>
      <c r="R166" s="118"/>
      <c r="S166" s="118"/>
      <c r="T166" s="118"/>
      <c r="U166" s="118"/>
      <c r="V166" s="118"/>
      <c r="W166" s="118"/>
      <c r="X166" s="118"/>
      <c r="Y166" s="118"/>
    </row>
    <row r="167" spans="1:25" ht="14.25" customHeight="1" x14ac:dyDescent="0.2">
      <c r="A167" s="118"/>
      <c r="B167" s="119"/>
      <c r="C167" s="15"/>
      <c r="D167" s="16"/>
      <c r="E167" s="16"/>
      <c r="F167" s="118"/>
      <c r="G167" s="118"/>
      <c r="H167" s="118"/>
      <c r="I167" s="118"/>
      <c r="J167" s="118"/>
      <c r="K167" s="118"/>
      <c r="L167" s="118"/>
      <c r="M167" s="118"/>
      <c r="N167" s="118"/>
      <c r="O167" s="118"/>
      <c r="P167" s="118"/>
      <c r="Q167" s="118"/>
      <c r="R167" s="118"/>
      <c r="S167" s="118"/>
      <c r="T167" s="118"/>
      <c r="U167" s="118"/>
      <c r="V167" s="118"/>
      <c r="W167" s="118"/>
      <c r="X167" s="118"/>
      <c r="Y167" s="118"/>
    </row>
    <row r="168" spans="1:25" ht="14.25" customHeight="1" x14ac:dyDescent="0.2">
      <c r="A168" s="118"/>
      <c r="B168" s="119"/>
      <c r="C168" s="15"/>
      <c r="D168" s="16"/>
      <c r="E168" s="16"/>
      <c r="F168" s="118"/>
      <c r="G168" s="118"/>
      <c r="H168" s="118"/>
      <c r="I168" s="118"/>
      <c r="J168" s="118"/>
      <c r="K168" s="118"/>
      <c r="L168" s="118"/>
      <c r="M168" s="118"/>
      <c r="N168" s="118"/>
      <c r="O168" s="118"/>
      <c r="P168" s="118"/>
      <c r="Q168" s="118"/>
      <c r="R168" s="118"/>
      <c r="S168" s="118"/>
      <c r="T168" s="118"/>
      <c r="U168" s="118"/>
      <c r="V168" s="118"/>
      <c r="W168" s="118"/>
      <c r="X168" s="118"/>
      <c r="Y168" s="118"/>
    </row>
    <row r="169" spans="1:25" ht="14.25" customHeight="1" x14ac:dyDescent="0.2">
      <c r="A169" s="118"/>
      <c r="B169" s="119"/>
      <c r="C169" s="15"/>
      <c r="D169" s="16"/>
      <c r="E169" s="16"/>
      <c r="F169" s="118"/>
      <c r="G169" s="118"/>
      <c r="H169" s="118"/>
      <c r="I169" s="118"/>
      <c r="J169" s="118"/>
      <c r="K169" s="118"/>
      <c r="L169" s="118"/>
      <c r="M169" s="118"/>
      <c r="N169" s="118"/>
      <c r="O169" s="118"/>
      <c r="P169" s="118"/>
      <c r="Q169" s="118"/>
      <c r="R169" s="118"/>
      <c r="S169" s="118"/>
      <c r="T169" s="118"/>
      <c r="U169" s="118"/>
      <c r="V169" s="118"/>
      <c r="W169" s="118"/>
      <c r="X169" s="118"/>
      <c r="Y169" s="118"/>
    </row>
    <row r="170" spans="1:25" ht="14.25" customHeight="1" x14ac:dyDescent="0.2">
      <c r="A170" s="118"/>
      <c r="B170" s="119"/>
      <c r="C170" s="15"/>
      <c r="D170" s="16"/>
      <c r="E170" s="16"/>
      <c r="F170" s="118"/>
      <c r="G170" s="118"/>
      <c r="H170" s="118"/>
      <c r="I170" s="118"/>
      <c r="J170" s="118"/>
      <c r="K170" s="118"/>
      <c r="L170" s="118"/>
      <c r="M170" s="118"/>
      <c r="N170" s="118"/>
      <c r="O170" s="118"/>
      <c r="P170" s="118"/>
      <c r="Q170" s="118"/>
      <c r="R170" s="118"/>
      <c r="S170" s="118"/>
      <c r="T170" s="118"/>
      <c r="U170" s="118"/>
      <c r="V170" s="118"/>
      <c r="W170" s="118"/>
      <c r="X170" s="118"/>
      <c r="Y170" s="118"/>
    </row>
    <row r="171" spans="1:25" ht="14.25" customHeight="1" x14ac:dyDescent="0.2">
      <c r="A171" s="118"/>
      <c r="B171" s="119"/>
      <c r="C171" s="15"/>
      <c r="D171" s="16"/>
      <c r="E171" s="16"/>
      <c r="F171" s="118"/>
      <c r="G171" s="118"/>
      <c r="H171" s="118"/>
      <c r="I171" s="118"/>
      <c r="J171" s="118"/>
      <c r="K171" s="118"/>
      <c r="L171" s="118"/>
      <c r="M171" s="118"/>
      <c r="N171" s="118"/>
      <c r="O171" s="118"/>
      <c r="P171" s="118"/>
      <c r="Q171" s="118"/>
      <c r="R171" s="118"/>
      <c r="S171" s="118"/>
      <c r="T171" s="118"/>
      <c r="U171" s="118"/>
      <c r="V171" s="118"/>
      <c r="W171" s="118"/>
      <c r="X171" s="118"/>
      <c r="Y171" s="118"/>
    </row>
    <row r="172" spans="1:25" ht="14.25" customHeight="1" x14ac:dyDescent="0.2">
      <c r="A172" s="118"/>
      <c r="B172" s="119"/>
      <c r="C172" s="15"/>
      <c r="D172" s="16"/>
      <c r="E172" s="16"/>
      <c r="F172" s="118"/>
      <c r="G172" s="118"/>
      <c r="H172" s="118"/>
      <c r="I172" s="118"/>
      <c r="J172" s="118"/>
      <c r="K172" s="118"/>
      <c r="L172" s="118"/>
      <c r="M172" s="118"/>
      <c r="N172" s="118"/>
      <c r="O172" s="118"/>
      <c r="P172" s="118"/>
      <c r="Q172" s="118"/>
      <c r="R172" s="118"/>
      <c r="S172" s="118"/>
      <c r="T172" s="118"/>
      <c r="U172" s="118"/>
      <c r="V172" s="118"/>
      <c r="W172" s="118"/>
      <c r="X172" s="118"/>
      <c r="Y172" s="118"/>
    </row>
    <row r="173" spans="1:25" ht="14.25" customHeight="1" x14ac:dyDescent="0.2">
      <c r="A173" s="118"/>
      <c r="B173" s="119"/>
      <c r="C173" s="15"/>
      <c r="D173" s="16"/>
      <c r="E173" s="16"/>
      <c r="F173" s="118"/>
      <c r="G173" s="118"/>
      <c r="H173" s="118"/>
      <c r="I173" s="118"/>
      <c r="J173" s="118"/>
      <c r="K173" s="118"/>
      <c r="L173" s="118"/>
      <c r="M173" s="118"/>
      <c r="N173" s="118"/>
      <c r="O173" s="118"/>
      <c r="P173" s="118"/>
      <c r="Q173" s="118"/>
      <c r="R173" s="118"/>
      <c r="S173" s="118"/>
      <c r="T173" s="118"/>
      <c r="U173" s="118"/>
      <c r="V173" s="118"/>
      <c r="W173" s="118"/>
      <c r="X173" s="118"/>
      <c r="Y173" s="118"/>
    </row>
    <row r="174" spans="1:25" ht="14.25" customHeight="1" x14ac:dyDescent="0.2">
      <c r="A174" s="118"/>
      <c r="B174" s="119"/>
      <c r="C174" s="15"/>
      <c r="D174" s="16"/>
      <c r="E174" s="16"/>
      <c r="F174" s="118"/>
      <c r="G174" s="118"/>
      <c r="H174" s="118"/>
      <c r="I174" s="118"/>
      <c r="J174" s="118"/>
      <c r="K174" s="118"/>
      <c r="L174" s="118"/>
      <c r="M174" s="118"/>
      <c r="N174" s="118"/>
      <c r="O174" s="118"/>
      <c r="P174" s="118"/>
      <c r="Q174" s="118"/>
      <c r="R174" s="118"/>
      <c r="S174" s="118"/>
      <c r="T174" s="118"/>
      <c r="U174" s="118"/>
      <c r="V174" s="118"/>
      <c r="W174" s="118"/>
      <c r="X174" s="118"/>
      <c r="Y174" s="118"/>
    </row>
    <row r="175" spans="1:25" ht="14.25" customHeight="1" x14ac:dyDescent="0.2">
      <c r="A175" s="118"/>
      <c r="B175" s="119"/>
      <c r="C175" s="15"/>
      <c r="D175" s="16"/>
      <c r="E175" s="16"/>
      <c r="F175" s="118"/>
      <c r="G175" s="118"/>
      <c r="H175" s="118"/>
      <c r="I175" s="118"/>
      <c r="J175" s="118"/>
      <c r="K175" s="118"/>
      <c r="L175" s="118"/>
      <c r="M175" s="118"/>
      <c r="N175" s="118"/>
      <c r="O175" s="118"/>
      <c r="P175" s="118"/>
      <c r="Q175" s="118"/>
      <c r="R175" s="118"/>
      <c r="S175" s="118"/>
      <c r="T175" s="118"/>
      <c r="U175" s="118"/>
      <c r="V175" s="118"/>
      <c r="W175" s="118"/>
      <c r="X175" s="118"/>
      <c r="Y175" s="118"/>
    </row>
    <row r="176" spans="1:25" ht="14.25" customHeight="1" x14ac:dyDescent="0.2">
      <c r="A176" s="118"/>
      <c r="B176" s="119"/>
      <c r="C176" s="15"/>
      <c r="D176" s="16"/>
      <c r="E176" s="16"/>
      <c r="F176" s="118"/>
      <c r="G176" s="118"/>
      <c r="H176" s="118"/>
      <c r="I176" s="118"/>
      <c r="J176" s="118"/>
      <c r="K176" s="118"/>
      <c r="L176" s="118"/>
      <c r="M176" s="118"/>
      <c r="N176" s="118"/>
      <c r="O176" s="118"/>
      <c r="P176" s="118"/>
      <c r="Q176" s="118"/>
      <c r="R176" s="118"/>
      <c r="S176" s="118"/>
      <c r="T176" s="118"/>
      <c r="U176" s="118"/>
      <c r="V176" s="118"/>
      <c r="W176" s="118"/>
      <c r="X176" s="118"/>
      <c r="Y176" s="118"/>
    </row>
    <row r="177" spans="1:25" ht="14.25" customHeight="1" x14ac:dyDescent="0.2">
      <c r="A177" s="118"/>
      <c r="B177" s="119"/>
      <c r="C177" s="15"/>
      <c r="D177" s="16"/>
      <c r="E177" s="16"/>
      <c r="F177" s="118"/>
      <c r="G177" s="118"/>
      <c r="H177" s="118"/>
      <c r="I177" s="118"/>
      <c r="J177" s="118"/>
      <c r="K177" s="118"/>
      <c r="L177" s="118"/>
      <c r="M177" s="118"/>
      <c r="N177" s="118"/>
      <c r="O177" s="118"/>
      <c r="P177" s="118"/>
      <c r="Q177" s="118"/>
      <c r="R177" s="118"/>
      <c r="S177" s="118"/>
      <c r="T177" s="118"/>
      <c r="U177" s="118"/>
      <c r="V177" s="118"/>
      <c r="W177" s="118"/>
      <c r="X177" s="118"/>
      <c r="Y177" s="118"/>
    </row>
    <row r="178" spans="1:25" ht="14.25" customHeight="1" x14ac:dyDescent="0.2">
      <c r="A178" s="118"/>
      <c r="B178" s="119"/>
      <c r="C178" s="15"/>
      <c r="D178" s="16"/>
      <c r="E178" s="16"/>
      <c r="F178" s="118"/>
      <c r="G178" s="118"/>
      <c r="H178" s="118"/>
      <c r="I178" s="118"/>
      <c r="J178" s="118"/>
      <c r="K178" s="118"/>
      <c r="L178" s="118"/>
      <c r="M178" s="118"/>
      <c r="N178" s="118"/>
      <c r="O178" s="118"/>
      <c r="P178" s="118"/>
      <c r="Q178" s="118"/>
      <c r="R178" s="118"/>
      <c r="S178" s="118"/>
      <c r="T178" s="118"/>
      <c r="U178" s="118"/>
      <c r="V178" s="118"/>
      <c r="W178" s="118"/>
      <c r="X178" s="118"/>
      <c r="Y178" s="118"/>
    </row>
    <row r="179" spans="1:25" ht="14.25" customHeight="1" x14ac:dyDescent="0.2">
      <c r="A179" s="118"/>
      <c r="B179" s="119"/>
      <c r="C179" s="15"/>
      <c r="D179" s="16"/>
      <c r="E179" s="16"/>
      <c r="F179" s="118"/>
      <c r="G179" s="118"/>
      <c r="H179" s="118"/>
      <c r="I179" s="118"/>
      <c r="J179" s="118"/>
      <c r="K179" s="118"/>
      <c r="L179" s="118"/>
      <c r="M179" s="118"/>
      <c r="N179" s="118"/>
      <c r="O179" s="118"/>
      <c r="P179" s="118"/>
      <c r="Q179" s="118"/>
      <c r="R179" s="118"/>
      <c r="S179" s="118"/>
      <c r="T179" s="118"/>
      <c r="U179" s="118"/>
      <c r="V179" s="118"/>
      <c r="W179" s="118"/>
      <c r="X179" s="118"/>
      <c r="Y179" s="118"/>
    </row>
    <row r="180" spans="1:25" ht="14.25" customHeight="1" x14ac:dyDescent="0.2">
      <c r="A180" s="118"/>
      <c r="B180" s="119"/>
      <c r="C180" s="15"/>
      <c r="D180" s="16"/>
      <c r="E180" s="16"/>
      <c r="F180" s="118"/>
      <c r="G180" s="118"/>
      <c r="H180" s="118"/>
      <c r="I180" s="118"/>
      <c r="J180" s="118"/>
      <c r="K180" s="118"/>
      <c r="L180" s="118"/>
      <c r="M180" s="118"/>
      <c r="N180" s="118"/>
      <c r="O180" s="118"/>
      <c r="P180" s="118"/>
      <c r="Q180" s="118"/>
      <c r="R180" s="118"/>
      <c r="S180" s="118"/>
      <c r="T180" s="118"/>
      <c r="U180" s="118"/>
      <c r="V180" s="118"/>
      <c r="W180" s="118"/>
      <c r="X180" s="118"/>
      <c r="Y180" s="118"/>
    </row>
    <row r="181" spans="1:25" ht="14.25" customHeight="1" x14ac:dyDescent="0.2">
      <c r="A181" s="118"/>
      <c r="B181" s="119"/>
      <c r="C181" s="15"/>
      <c r="D181" s="16"/>
      <c r="E181" s="16"/>
      <c r="F181" s="118"/>
      <c r="G181" s="118"/>
      <c r="H181" s="118"/>
      <c r="I181" s="118"/>
      <c r="J181" s="118"/>
      <c r="K181" s="118"/>
      <c r="L181" s="118"/>
      <c r="M181" s="118"/>
      <c r="N181" s="118"/>
      <c r="O181" s="118"/>
      <c r="P181" s="118"/>
      <c r="Q181" s="118"/>
      <c r="R181" s="118"/>
      <c r="S181" s="118"/>
      <c r="T181" s="118"/>
      <c r="U181" s="118"/>
      <c r="V181" s="118"/>
      <c r="W181" s="118"/>
      <c r="X181" s="118"/>
      <c r="Y181" s="118"/>
    </row>
    <row r="182" spans="1:25" ht="14.25" customHeight="1" x14ac:dyDescent="0.2">
      <c r="A182" s="118"/>
      <c r="B182" s="119"/>
      <c r="C182" s="15"/>
      <c r="D182" s="16"/>
      <c r="E182" s="16"/>
      <c r="F182" s="118"/>
      <c r="G182" s="118"/>
      <c r="H182" s="118"/>
      <c r="I182" s="118"/>
      <c r="J182" s="118"/>
      <c r="K182" s="118"/>
      <c r="L182" s="118"/>
      <c r="M182" s="118"/>
      <c r="N182" s="118"/>
      <c r="O182" s="118"/>
      <c r="P182" s="118"/>
      <c r="Q182" s="118"/>
      <c r="R182" s="118"/>
      <c r="S182" s="118"/>
      <c r="T182" s="118"/>
      <c r="U182" s="118"/>
      <c r="V182" s="118"/>
      <c r="W182" s="118"/>
      <c r="X182" s="118"/>
      <c r="Y182" s="118"/>
    </row>
    <row r="183" spans="1:25" ht="14.25" customHeight="1" x14ac:dyDescent="0.2">
      <c r="A183" s="118"/>
      <c r="B183" s="119"/>
      <c r="C183" s="15"/>
      <c r="D183" s="16"/>
      <c r="E183" s="16"/>
      <c r="F183" s="118"/>
      <c r="G183" s="118"/>
      <c r="H183" s="118"/>
      <c r="I183" s="118"/>
      <c r="J183" s="118"/>
      <c r="K183" s="118"/>
      <c r="L183" s="118"/>
      <c r="M183" s="118"/>
      <c r="N183" s="118"/>
      <c r="O183" s="118"/>
      <c r="P183" s="118"/>
      <c r="Q183" s="118"/>
      <c r="R183" s="118"/>
      <c r="S183" s="118"/>
      <c r="T183" s="118"/>
      <c r="U183" s="118"/>
      <c r="V183" s="118"/>
      <c r="W183" s="118"/>
      <c r="X183" s="118"/>
      <c r="Y183" s="118"/>
    </row>
    <row r="184" spans="1:25" ht="14.25" customHeight="1" x14ac:dyDescent="0.2">
      <c r="A184" s="118"/>
      <c r="B184" s="119"/>
      <c r="C184" s="15"/>
      <c r="D184" s="16"/>
      <c r="E184" s="16"/>
      <c r="F184" s="118"/>
      <c r="G184" s="118"/>
      <c r="H184" s="118"/>
      <c r="I184" s="118"/>
      <c r="J184" s="118"/>
      <c r="K184" s="118"/>
      <c r="L184" s="118"/>
      <c r="M184" s="118"/>
      <c r="N184" s="118"/>
      <c r="O184" s="118"/>
      <c r="P184" s="118"/>
      <c r="Q184" s="118"/>
      <c r="R184" s="118"/>
      <c r="S184" s="118"/>
      <c r="T184" s="118"/>
      <c r="U184" s="118"/>
      <c r="V184" s="118"/>
      <c r="W184" s="118"/>
      <c r="X184" s="118"/>
      <c r="Y184" s="118"/>
    </row>
    <row r="185" spans="1:25" ht="14.25" customHeight="1" x14ac:dyDescent="0.2">
      <c r="A185" s="118"/>
      <c r="B185" s="119"/>
      <c r="C185" s="15"/>
      <c r="D185" s="16"/>
      <c r="E185" s="16"/>
      <c r="F185" s="118"/>
      <c r="G185" s="118"/>
      <c r="H185" s="118"/>
      <c r="I185" s="118"/>
      <c r="J185" s="118"/>
      <c r="K185" s="118"/>
      <c r="L185" s="118"/>
      <c r="M185" s="118"/>
      <c r="N185" s="118"/>
      <c r="O185" s="118"/>
      <c r="P185" s="118"/>
      <c r="Q185" s="118"/>
      <c r="R185" s="118"/>
      <c r="S185" s="118"/>
      <c r="T185" s="118"/>
      <c r="U185" s="118"/>
      <c r="V185" s="118"/>
      <c r="W185" s="118"/>
      <c r="X185" s="118"/>
      <c r="Y185" s="118"/>
    </row>
    <row r="186" spans="1:25" ht="14.25" customHeight="1" x14ac:dyDescent="0.2">
      <c r="A186" s="118"/>
      <c r="B186" s="119"/>
      <c r="C186" s="15"/>
      <c r="D186" s="16"/>
      <c r="E186" s="16"/>
      <c r="F186" s="118"/>
      <c r="G186" s="118"/>
      <c r="H186" s="118"/>
      <c r="I186" s="118"/>
      <c r="J186" s="118"/>
      <c r="K186" s="118"/>
      <c r="L186" s="118"/>
      <c r="M186" s="118"/>
      <c r="N186" s="118"/>
      <c r="O186" s="118"/>
      <c r="P186" s="118"/>
      <c r="Q186" s="118"/>
      <c r="R186" s="118"/>
      <c r="S186" s="118"/>
      <c r="T186" s="118"/>
      <c r="U186" s="118"/>
      <c r="V186" s="118"/>
      <c r="W186" s="118"/>
      <c r="X186" s="118"/>
      <c r="Y186" s="118"/>
    </row>
    <row r="187" spans="1:25" ht="14.25" customHeight="1" x14ac:dyDescent="0.2">
      <c r="A187" s="118"/>
      <c r="B187" s="119"/>
      <c r="C187" s="15"/>
      <c r="D187" s="16"/>
      <c r="E187" s="16"/>
      <c r="F187" s="118"/>
      <c r="G187" s="118"/>
      <c r="H187" s="118"/>
      <c r="I187" s="118"/>
      <c r="J187" s="118"/>
      <c r="K187" s="118"/>
      <c r="L187" s="118"/>
      <c r="M187" s="118"/>
      <c r="N187" s="118"/>
      <c r="O187" s="118"/>
      <c r="P187" s="118"/>
      <c r="Q187" s="118"/>
      <c r="R187" s="118"/>
      <c r="S187" s="118"/>
      <c r="T187" s="118"/>
      <c r="U187" s="118"/>
      <c r="V187" s="118"/>
      <c r="W187" s="118"/>
      <c r="X187" s="118"/>
      <c r="Y187" s="118"/>
    </row>
    <row r="188" spans="1:25" ht="14.25" customHeight="1" x14ac:dyDescent="0.2">
      <c r="A188" s="118"/>
      <c r="B188" s="119"/>
      <c r="C188" s="15"/>
      <c r="D188" s="16"/>
      <c r="E188" s="16"/>
      <c r="F188" s="118"/>
      <c r="G188" s="118"/>
      <c r="H188" s="118"/>
      <c r="I188" s="118"/>
      <c r="J188" s="118"/>
      <c r="K188" s="118"/>
      <c r="L188" s="118"/>
      <c r="M188" s="118"/>
      <c r="N188" s="118"/>
      <c r="O188" s="118"/>
      <c r="P188" s="118"/>
      <c r="Q188" s="118"/>
      <c r="R188" s="118"/>
      <c r="S188" s="118"/>
      <c r="T188" s="118"/>
      <c r="U188" s="118"/>
      <c r="V188" s="118"/>
      <c r="W188" s="118"/>
      <c r="X188" s="118"/>
      <c r="Y188" s="118"/>
    </row>
    <row r="189" spans="1:25" ht="14.25" customHeight="1" x14ac:dyDescent="0.2">
      <c r="A189" s="118"/>
      <c r="B189" s="119"/>
      <c r="C189" s="15"/>
      <c r="D189" s="16"/>
      <c r="E189" s="16"/>
      <c r="F189" s="118"/>
      <c r="G189" s="118"/>
      <c r="H189" s="118"/>
      <c r="I189" s="118"/>
      <c r="J189" s="118"/>
      <c r="K189" s="118"/>
      <c r="L189" s="118"/>
      <c r="M189" s="118"/>
      <c r="N189" s="118"/>
      <c r="O189" s="118"/>
      <c r="P189" s="118"/>
      <c r="Q189" s="118"/>
      <c r="R189" s="118"/>
      <c r="S189" s="118"/>
      <c r="T189" s="118"/>
      <c r="U189" s="118"/>
      <c r="V189" s="118"/>
      <c r="W189" s="118"/>
      <c r="X189" s="118"/>
      <c r="Y189" s="118"/>
    </row>
    <row r="190" spans="1:25" ht="14.25" customHeight="1" x14ac:dyDescent="0.2">
      <c r="A190" s="118"/>
      <c r="B190" s="119"/>
      <c r="C190" s="15"/>
      <c r="D190" s="16"/>
      <c r="E190" s="16"/>
      <c r="F190" s="118"/>
      <c r="G190" s="118"/>
      <c r="H190" s="118"/>
      <c r="I190" s="118"/>
      <c r="J190" s="118"/>
      <c r="K190" s="118"/>
      <c r="L190" s="118"/>
      <c r="M190" s="118"/>
      <c r="N190" s="118"/>
      <c r="O190" s="118"/>
      <c r="P190" s="118"/>
      <c r="Q190" s="118"/>
      <c r="R190" s="118"/>
      <c r="S190" s="118"/>
      <c r="T190" s="118"/>
      <c r="U190" s="118"/>
      <c r="V190" s="118"/>
      <c r="W190" s="118"/>
      <c r="X190" s="118"/>
      <c r="Y190" s="118"/>
    </row>
    <row r="191" spans="1:25" ht="14.25" customHeight="1" x14ac:dyDescent="0.2">
      <c r="A191" s="118"/>
      <c r="B191" s="119"/>
      <c r="C191" s="15"/>
      <c r="D191" s="16"/>
      <c r="E191" s="16"/>
      <c r="F191" s="118"/>
      <c r="G191" s="118"/>
      <c r="H191" s="118"/>
      <c r="I191" s="118"/>
      <c r="J191" s="118"/>
      <c r="K191" s="118"/>
      <c r="L191" s="118"/>
      <c r="M191" s="118"/>
      <c r="N191" s="118"/>
      <c r="O191" s="118"/>
      <c r="P191" s="118"/>
      <c r="Q191" s="118"/>
      <c r="R191" s="118"/>
      <c r="S191" s="118"/>
      <c r="T191" s="118"/>
      <c r="U191" s="118"/>
      <c r="V191" s="118"/>
      <c r="W191" s="118"/>
      <c r="X191" s="118"/>
      <c r="Y191" s="118"/>
    </row>
    <row r="192" spans="1:25" ht="14.25" customHeight="1" x14ac:dyDescent="0.2">
      <c r="A192" s="118"/>
      <c r="B192" s="119"/>
      <c r="C192" s="15"/>
      <c r="D192" s="16"/>
      <c r="E192" s="16"/>
      <c r="F192" s="118"/>
      <c r="G192" s="118"/>
      <c r="H192" s="118"/>
      <c r="I192" s="118"/>
      <c r="J192" s="118"/>
      <c r="K192" s="118"/>
      <c r="L192" s="118"/>
      <c r="M192" s="118"/>
      <c r="N192" s="118"/>
      <c r="O192" s="118"/>
      <c r="P192" s="118"/>
      <c r="Q192" s="118"/>
      <c r="R192" s="118"/>
      <c r="S192" s="118"/>
      <c r="T192" s="118"/>
      <c r="U192" s="118"/>
      <c r="V192" s="118"/>
      <c r="W192" s="118"/>
      <c r="X192" s="118"/>
      <c r="Y192" s="118"/>
    </row>
    <row r="193" spans="1:25" ht="14.25" customHeight="1" x14ac:dyDescent="0.2">
      <c r="A193" s="118"/>
      <c r="B193" s="119"/>
      <c r="C193" s="15"/>
      <c r="D193" s="16"/>
      <c r="E193" s="16"/>
      <c r="F193" s="118"/>
      <c r="G193" s="118"/>
      <c r="H193" s="118"/>
      <c r="I193" s="118"/>
      <c r="J193" s="118"/>
      <c r="K193" s="118"/>
      <c r="L193" s="118"/>
      <c r="M193" s="118"/>
      <c r="N193" s="118"/>
      <c r="O193" s="118"/>
      <c r="P193" s="118"/>
      <c r="Q193" s="118"/>
      <c r="R193" s="118"/>
      <c r="S193" s="118"/>
      <c r="T193" s="118"/>
      <c r="U193" s="118"/>
      <c r="V193" s="118"/>
      <c r="W193" s="118"/>
      <c r="X193" s="118"/>
      <c r="Y193" s="118"/>
    </row>
    <row r="194" spans="1:25" ht="14.25" customHeight="1" x14ac:dyDescent="0.2">
      <c r="A194" s="118"/>
      <c r="B194" s="119"/>
      <c r="C194" s="15"/>
      <c r="D194" s="16"/>
      <c r="E194" s="16"/>
      <c r="F194" s="118"/>
      <c r="G194" s="118"/>
      <c r="H194" s="118"/>
      <c r="I194" s="118"/>
      <c r="J194" s="118"/>
      <c r="K194" s="118"/>
      <c r="L194" s="118"/>
      <c r="M194" s="118"/>
      <c r="N194" s="118"/>
      <c r="O194" s="118"/>
      <c r="P194" s="118"/>
      <c r="Q194" s="118"/>
      <c r="R194" s="118"/>
      <c r="S194" s="118"/>
      <c r="T194" s="118"/>
      <c r="U194" s="118"/>
      <c r="V194" s="118"/>
      <c r="W194" s="118"/>
      <c r="X194" s="118"/>
      <c r="Y194" s="118"/>
    </row>
    <row r="195" spans="1:25" ht="14.25" customHeight="1" x14ac:dyDescent="0.2">
      <c r="A195" s="118"/>
      <c r="B195" s="119"/>
      <c r="C195" s="15"/>
      <c r="D195" s="16"/>
      <c r="E195" s="16"/>
      <c r="F195" s="118"/>
      <c r="G195" s="118"/>
      <c r="H195" s="118"/>
      <c r="I195" s="118"/>
      <c r="J195" s="118"/>
      <c r="K195" s="118"/>
      <c r="L195" s="118"/>
      <c r="M195" s="118"/>
      <c r="N195" s="118"/>
      <c r="O195" s="118"/>
      <c r="P195" s="118"/>
      <c r="Q195" s="118"/>
      <c r="R195" s="118"/>
      <c r="S195" s="118"/>
      <c r="T195" s="118"/>
      <c r="U195" s="118"/>
      <c r="V195" s="118"/>
      <c r="W195" s="118"/>
      <c r="X195" s="118"/>
      <c r="Y195" s="118"/>
    </row>
    <row r="196" spans="1:25" ht="14.25" customHeight="1" x14ac:dyDescent="0.2">
      <c r="A196" s="118"/>
      <c r="B196" s="119"/>
      <c r="C196" s="15"/>
      <c r="D196" s="16"/>
      <c r="E196" s="16"/>
      <c r="F196" s="118"/>
      <c r="G196" s="118"/>
      <c r="H196" s="118"/>
      <c r="I196" s="118"/>
      <c r="J196" s="118"/>
      <c r="K196" s="118"/>
      <c r="L196" s="118"/>
      <c r="M196" s="118"/>
      <c r="N196" s="118"/>
      <c r="O196" s="118"/>
      <c r="P196" s="118"/>
      <c r="Q196" s="118"/>
      <c r="R196" s="118"/>
      <c r="S196" s="118"/>
      <c r="T196" s="118"/>
      <c r="U196" s="118"/>
      <c r="V196" s="118"/>
      <c r="W196" s="118"/>
      <c r="X196" s="118"/>
      <c r="Y196" s="118"/>
    </row>
    <row r="197" spans="1:25" ht="14.25" customHeight="1" x14ac:dyDescent="0.2">
      <c r="A197" s="118"/>
      <c r="B197" s="119"/>
      <c r="C197" s="15"/>
      <c r="D197" s="16"/>
      <c r="E197" s="16"/>
      <c r="F197" s="118"/>
      <c r="G197" s="118"/>
      <c r="H197" s="118"/>
      <c r="I197" s="118"/>
      <c r="J197" s="118"/>
      <c r="K197" s="118"/>
      <c r="L197" s="118"/>
      <c r="M197" s="118"/>
      <c r="N197" s="118"/>
      <c r="O197" s="118"/>
      <c r="P197" s="118"/>
      <c r="Q197" s="118"/>
      <c r="R197" s="118"/>
      <c r="S197" s="118"/>
      <c r="T197" s="118"/>
      <c r="U197" s="118"/>
      <c r="V197" s="118"/>
      <c r="W197" s="118"/>
      <c r="X197" s="118"/>
      <c r="Y197" s="118"/>
    </row>
    <row r="198" spans="1:25" ht="14.25" customHeight="1" x14ac:dyDescent="0.2">
      <c r="A198" s="118"/>
      <c r="B198" s="119"/>
      <c r="C198" s="15"/>
      <c r="D198" s="16"/>
      <c r="E198" s="16"/>
      <c r="F198" s="118"/>
      <c r="G198" s="118"/>
      <c r="H198" s="118"/>
      <c r="I198" s="118"/>
      <c r="J198" s="118"/>
      <c r="K198" s="118"/>
      <c r="L198" s="118"/>
      <c r="M198" s="118"/>
      <c r="N198" s="118"/>
      <c r="O198" s="118"/>
      <c r="P198" s="118"/>
      <c r="Q198" s="118"/>
      <c r="R198" s="118"/>
      <c r="S198" s="118"/>
      <c r="T198" s="118"/>
      <c r="U198" s="118"/>
      <c r="V198" s="118"/>
      <c r="W198" s="118"/>
      <c r="X198" s="118"/>
      <c r="Y198" s="118"/>
    </row>
    <row r="199" spans="1:25" ht="14.25" customHeight="1" x14ac:dyDescent="0.2">
      <c r="A199" s="118"/>
      <c r="B199" s="119"/>
      <c r="C199" s="15"/>
      <c r="D199" s="16"/>
      <c r="E199" s="16"/>
      <c r="F199" s="118"/>
      <c r="G199" s="118"/>
      <c r="H199" s="118"/>
      <c r="I199" s="118"/>
      <c r="J199" s="118"/>
      <c r="K199" s="118"/>
      <c r="L199" s="118"/>
      <c r="M199" s="118"/>
      <c r="N199" s="118"/>
      <c r="O199" s="118"/>
      <c r="P199" s="118"/>
      <c r="Q199" s="118"/>
      <c r="R199" s="118"/>
      <c r="S199" s="118"/>
      <c r="T199" s="118"/>
      <c r="U199" s="118"/>
      <c r="V199" s="118"/>
      <c r="W199" s="118"/>
      <c r="X199" s="118"/>
      <c r="Y199" s="118"/>
    </row>
    <row r="200" spans="1:25" ht="14.25" customHeight="1" x14ac:dyDescent="0.2">
      <c r="A200" s="118"/>
      <c r="B200" s="119"/>
      <c r="C200" s="15"/>
      <c r="D200" s="16"/>
      <c r="E200" s="16"/>
      <c r="F200" s="118"/>
      <c r="G200" s="118"/>
      <c r="H200" s="118"/>
      <c r="I200" s="118"/>
      <c r="J200" s="118"/>
      <c r="K200" s="118"/>
      <c r="L200" s="118"/>
      <c r="M200" s="118"/>
      <c r="N200" s="118"/>
      <c r="O200" s="118"/>
      <c r="P200" s="118"/>
      <c r="Q200" s="118"/>
      <c r="R200" s="118"/>
      <c r="S200" s="118"/>
      <c r="T200" s="118"/>
      <c r="U200" s="118"/>
      <c r="V200" s="118"/>
      <c r="W200" s="118"/>
      <c r="X200" s="118"/>
      <c r="Y200" s="118"/>
    </row>
    <row r="201" spans="1:25" ht="14.25" customHeight="1" x14ac:dyDescent="0.2">
      <c r="A201" s="118"/>
      <c r="B201" s="119"/>
      <c r="C201" s="15"/>
      <c r="D201" s="16"/>
      <c r="E201" s="16"/>
      <c r="F201" s="118"/>
      <c r="G201" s="118"/>
      <c r="H201" s="118"/>
      <c r="I201" s="118"/>
      <c r="J201" s="118"/>
      <c r="K201" s="118"/>
      <c r="L201" s="118"/>
      <c r="M201" s="118"/>
      <c r="N201" s="118"/>
      <c r="O201" s="118"/>
      <c r="P201" s="118"/>
      <c r="Q201" s="118"/>
      <c r="R201" s="118"/>
      <c r="S201" s="118"/>
      <c r="T201" s="118"/>
      <c r="U201" s="118"/>
      <c r="V201" s="118"/>
      <c r="W201" s="118"/>
      <c r="X201" s="118"/>
      <c r="Y201" s="118"/>
    </row>
    <row r="202" spans="1:25" ht="14.25" customHeight="1" x14ac:dyDescent="0.2">
      <c r="A202" s="118"/>
      <c r="B202" s="119"/>
      <c r="C202" s="15"/>
      <c r="D202" s="16"/>
      <c r="E202" s="16"/>
      <c r="F202" s="118"/>
      <c r="G202" s="118"/>
      <c r="H202" s="118"/>
      <c r="I202" s="118"/>
      <c r="J202" s="118"/>
      <c r="K202" s="118"/>
      <c r="L202" s="118"/>
      <c r="M202" s="118"/>
      <c r="N202" s="118"/>
      <c r="O202" s="118"/>
      <c r="P202" s="118"/>
      <c r="Q202" s="118"/>
      <c r="R202" s="118"/>
      <c r="S202" s="118"/>
      <c r="T202" s="118"/>
      <c r="U202" s="118"/>
      <c r="V202" s="118"/>
      <c r="W202" s="118"/>
      <c r="X202" s="118"/>
      <c r="Y202" s="118"/>
    </row>
    <row r="203" spans="1:25" ht="14.25" customHeight="1" x14ac:dyDescent="0.2">
      <c r="A203" s="118"/>
      <c r="B203" s="119"/>
      <c r="C203" s="15"/>
      <c r="D203" s="16"/>
      <c r="E203" s="16"/>
      <c r="F203" s="118"/>
      <c r="G203" s="118"/>
      <c r="H203" s="118"/>
      <c r="I203" s="118"/>
      <c r="J203" s="118"/>
      <c r="K203" s="118"/>
      <c r="L203" s="118"/>
      <c r="M203" s="118"/>
      <c r="N203" s="118"/>
      <c r="O203" s="118"/>
      <c r="P203" s="118"/>
      <c r="Q203" s="118"/>
      <c r="R203" s="118"/>
      <c r="S203" s="118"/>
      <c r="T203" s="118"/>
      <c r="U203" s="118"/>
      <c r="V203" s="118"/>
      <c r="W203" s="118"/>
      <c r="X203" s="118"/>
      <c r="Y203" s="118"/>
    </row>
    <row r="204" spans="1:25" ht="14.25" customHeight="1" x14ac:dyDescent="0.2">
      <c r="A204" s="118"/>
      <c r="B204" s="119"/>
      <c r="C204" s="15"/>
      <c r="D204" s="16"/>
      <c r="E204" s="16"/>
      <c r="F204" s="118"/>
      <c r="G204" s="118"/>
      <c r="H204" s="118"/>
      <c r="I204" s="118"/>
      <c r="J204" s="118"/>
      <c r="K204" s="118"/>
      <c r="L204" s="118"/>
      <c r="M204" s="118"/>
      <c r="N204" s="118"/>
      <c r="O204" s="118"/>
      <c r="P204" s="118"/>
      <c r="Q204" s="118"/>
      <c r="R204" s="118"/>
      <c r="S204" s="118"/>
      <c r="T204" s="118"/>
      <c r="U204" s="118"/>
      <c r="V204" s="118"/>
      <c r="W204" s="118"/>
      <c r="X204" s="118"/>
      <c r="Y204" s="118"/>
    </row>
    <row r="205" spans="1:25" ht="14.25" customHeight="1" x14ac:dyDescent="0.2">
      <c r="A205" s="118"/>
      <c r="B205" s="119"/>
      <c r="C205" s="15"/>
      <c r="D205" s="16"/>
      <c r="E205" s="16"/>
      <c r="F205" s="118"/>
      <c r="G205" s="118"/>
      <c r="H205" s="118"/>
      <c r="I205" s="118"/>
      <c r="J205" s="118"/>
      <c r="K205" s="118"/>
      <c r="L205" s="118"/>
      <c r="M205" s="118"/>
      <c r="N205" s="118"/>
      <c r="O205" s="118"/>
      <c r="P205" s="118"/>
      <c r="Q205" s="118"/>
      <c r="R205" s="118"/>
      <c r="S205" s="118"/>
      <c r="T205" s="118"/>
      <c r="U205" s="118"/>
      <c r="V205" s="118"/>
      <c r="W205" s="118"/>
      <c r="X205" s="118"/>
      <c r="Y205" s="118"/>
    </row>
    <row r="206" spans="1:25" ht="14.25" customHeight="1" x14ac:dyDescent="0.2">
      <c r="A206" s="118"/>
      <c r="B206" s="119"/>
      <c r="C206" s="15"/>
      <c r="D206" s="16"/>
      <c r="E206" s="16"/>
      <c r="F206" s="118"/>
      <c r="G206" s="118"/>
      <c r="H206" s="118"/>
      <c r="I206" s="118"/>
      <c r="J206" s="118"/>
      <c r="K206" s="118"/>
      <c r="L206" s="118"/>
      <c r="M206" s="118"/>
      <c r="N206" s="118"/>
      <c r="O206" s="118"/>
      <c r="P206" s="118"/>
      <c r="Q206" s="118"/>
      <c r="R206" s="118"/>
      <c r="S206" s="118"/>
      <c r="T206" s="118"/>
      <c r="U206" s="118"/>
      <c r="V206" s="118"/>
      <c r="W206" s="118"/>
      <c r="X206" s="118"/>
      <c r="Y206" s="118"/>
    </row>
    <row r="207" spans="1:25" ht="14.25" customHeight="1" x14ac:dyDescent="0.2">
      <c r="A207" s="118"/>
      <c r="B207" s="119"/>
      <c r="C207" s="15"/>
      <c r="D207" s="16"/>
      <c r="E207" s="16"/>
      <c r="F207" s="118"/>
      <c r="G207" s="118"/>
      <c r="H207" s="118"/>
      <c r="I207" s="118"/>
      <c r="J207" s="118"/>
      <c r="K207" s="118"/>
      <c r="L207" s="118"/>
      <c r="M207" s="118"/>
      <c r="N207" s="118"/>
      <c r="O207" s="118"/>
      <c r="P207" s="118"/>
      <c r="Q207" s="118"/>
      <c r="R207" s="118"/>
      <c r="S207" s="118"/>
      <c r="T207" s="118"/>
      <c r="U207" s="118"/>
      <c r="V207" s="118"/>
      <c r="W207" s="118"/>
      <c r="X207" s="118"/>
      <c r="Y207" s="118"/>
    </row>
    <row r="208" spans="1:25" ht="14.25" customHeight="1" x14ac:dyDescent="0.2">
      <c r="A208" s="118"/>
      <c r="B208" s="119"/>
      <c r="C208" s="15"/>
      <c r="D208" s="16"/>
      <c r="E208" s="16"/>
      <c r="F208" s="118"/>
      <c r="G208" s="118"/>
      <c r="H208" s="118"/>
      <c r="I208" s="118"/>
      <c r="J208" s="118"/>
      <c r="K208" s="118"/>
      <c r="L208" s="118"/>
      <c r="M208" s="118"/>
      <c r="N208" s="118"/>
      <c r="O208" s="118"/>
      <c r="P208" s="118"/>
      <c r="Q208" s="118"/>
      <c r="R208" s="118"/>
      <c r="S208" s="118"/>
      <c r="T208" s="118"/>
      <c r="U208" s="118"/>
      <c r="V208" s="118"/>
      <c r="W208" s="118"/>
      <c r="X208" s="118"/>
      <c r="Y208" s="118"/>
    </row>
    <row r="209" spans="1:25" ht="14.25" customHeight="1" x14ac:dyDescent="0.2">
      <c r="A209" s="118"/>
      <c r="B209" s="119"/>
      <c r="C209" s="15"/>
      <c r="D209" s="16"/>
      <c r="E209" s="16"/>
      <c r="F209" s="118"/>
      <c r="G209" s="118"/>
      <c r="H209" s="118"/>
      <c r="I209" s="118"/>
      <c r="J209" s="118"/>
      <c r="K209" s="118"/>
      <c r="L209" s="118"/>
      <c r="M209" s="118"/>
      <c r="N209" s="118"/>
      <c r="O209" s="118"/>
      <c r="P209" s="118"/>
      <c r="Q209" s="118"/>
      <c r="R209" s="118"/>
      <c r="S209" s="118"/>
      <c r="T209" s="118"/>
      <c r="U209" s="118"/>
      <c r="V209" s="118"/>
      <c r="W209" s="118"/>
      <c r="X209" s="118"/>
      <c r="Y209" s="118"/>
    </row>
    <row r="210" spans="1:25" ht="14.25" customHeight="1" x14ac:dyDescent="0.2">
      <c r="A210" s="118"/>
      <c r="B210" s="119"/>
      <c r="C210" s="15"/>
      <c r="D210" s="16"/>
      <c r="E210" s="16"/>
      <c r="F210" s="118"/>
      <c r="G210" s="118"/>
      <c r="H210" s="118"/>
      <c r="I210" s="118"/>
      <c r="J210" s="118"/>
      <c r="K210" s="118"/>
      <c r="L210" s="118"/>
      <c r="M210" s="118"/>
      <c r="N210" s="118"/>
      <c r="O210" s="118"/>
      <c r="P210" s="118"/>
      <c r="Q210" s="118"/>
      <c r="R210" s="118"/>
      <c r="S210" s="118"/>
      <c r="T210" s="118"/>
      <c r="U210" s="118"/>
      <c r="V210" s="118"/>
      <c r="W210" s="118"/>
      <c r="X210" s="118"/>
      <c r="Y210" s="118"/>
    </row>
    <row r="211" spans="1:25" ht="14.25" customHeight="1" x14ac:dyDescent="0.2">
      <c r="A211" s="118"/>
      <c r="B211" s="119"/>
      <c r="C211" s="15"/>
      <c r="D211" s="16"/>
      <c r="E211" s="16"/>
      <c r="F211" s="118"/>
      <c r="G211" s="118"/>
      <c r="H211" s="118"/>
      <c r="I211" s="118"/>
      <c r="J211" s="118"/>
      <c r="K211" s="118"/>
      <c r="L211" s="118"/>
      <c r="M211" s="118"/>
      <c r="N211" s="118"/>
      <c r="O211" s="118"/>
      <c r="P211" s="118"/>
      <c r="Q211" s="118"/>
      <c r="R211" s="118"/>
      <c r="S211" s="118"/>
      <c r="T211" s="118"/>
      <c r="U211" s="118"/>
      <c r="V211" s="118"/>
      <c r="W211" s="118"/>
      <c r="X211" s="118"/>
      <c r="Y211" s="118"/>
    </row>
    <row r="212" spans="1:25" ht="14.25" customHeight="1" x14ac:dyDescent="0.2">
      <c r="A212" s="118"/>
      <c r="B212" s="119"/>
      <c r="C212" s="15"/>
      <c r="D212" s="16"/>
      <c r="E212" s="16"/>
      <c r="F212" s="118"/>
      <c r="G212" s="118"/>
      <c r="H212" s="118"/>
      <c r="I212" s="118"/>
      <c r="J212" s="118"/>
      <c r="K212" s="118"/>
      <c r="L212" s="118"/>
      <c r="M212" s="118"/>
      <c r="N212" s="118"/>
      <c r="O212" s="118"/>
      <c r="P212" s="118"/>
      <c r="Q212" s="118"/>
      <c r="R212" s="118"/>
      <c r="S212" s="118"/>
      <c r="T212" s="118"/>
      <c r="U212" s="118"/>
      <c r="V212" s="118"/>
      <c r="W212" s="118"/>
      <c r="X212" s="118"/>
      <c r="Y212" s="118"/>
    </row>
    <row r="213" spans="1:25" ht="14.25" customHeight="1" x14ac:dyDescent="0.2">
      <c r="A213" s="118"/>
      <c r="B213" s="119"/>
      <c r="C213" s="15"/>
      <c r="D213" s="16"/>
      <c r="E213" s="16"/>
      <c r="F213" s="118"/>
      <c r="G213" s="118"/>
      <c r="H213" s="118"/>
      <c r="I213" s="118"/>
      <c r="J213" s="118"/>
      <c r="K213" s="118"/>
      <c r="L213" s="118"/>
      <c r="M213" s="118"/>
      <c r="N213" s="118"/>
      <c r="O213" s="118"/>
      <c r="P213" s="118"/>
      <c r="Q213" s="118"/>
      <c r="R213" s="118"/>
      <c r="S213" s="118"/>
      <c r="T213" s="118"/>
      <c r="U213" s="118"/>
      <c r="V213" s="118"/>
      <c r="W213" s="118"/>
      <c r="X213" s="118"/>
      <c r="Y213" s="118"/>
    </row>
    <row r="214" spans="1:25" ht="14.25" customHeight="1" x14ac:dyDescent="0.2">
      <c r="A214" s="118"/>
      <c r="B214" s="119"/>
      <c r="C214" s="15"/>
      <c r="D214" s="16"/>
      <c r="E214" s="16"/>
      <c r="F214" s="118"/>
      <c r="G214" s="118"/>
      <c r="H214" s="118"/>
      <c r="I214" s="118"/>
      <c r="J214" s="118"/>
      <c r="K214" s="118"/>
      <c r="L214" s="118"/>
      <c r="M214" s="118"/>
      <c r="N214" s="118"/>
      <c r="O214" s="118"/>
      <c r="P214" s="118"/>
      <c r="Q214" s="118"/>
      <c r="R214" s="118"/>
      <c r="S214" s="118"/>
      <c r="T214" s="118"/>
      <c r="U214" s="118"/>
      <c r="V214" s="118"/>
      <c r="W214" s="118"/>
      <c r="X214" s="118"/>
      <c r="Y214" s="118"/>
    </row>
    <row r="215" spans="1:25" ht="14.25" customHeight="1" x14ac:dyDescent="0.2">
      <c r="A215" s="118"/>
      <c r="B215" s="119"/>
      <c r="C215" s="15"/>
      <c r="D215" s="16"/>
      <c r="E215" s="16"/>
      <c r="F215" s="118"/>
      <c r="G215" s="118"/>
      <c r="H215" s="118"/>
      <c r="I215" s="118"/>
      <c r="J215" s="118"/>
      <c r="K215" s="118"/>
      <c r="L215" s="118"/>
      <c r="M215" s="118"/>
      <c r="N215" s="118"/>
      <c r="O215" s="118"/>
      <c r="P215" s="118"/>
      <c r="Q215" s="118"/>
      <c r="R215" s="118"/>
      <c r="S215" s="118"/>
      <c r="T215" s="118"/>
      <c r="U215" s="118"/>
      <c r="V215" s="118"/>
      <c r="W215" s="118"/>
      <c r="X215" s="118"/>
      <c r="Y215" s="118"/>
    </row>
    <row r="216" spans="1:25" ht="14.25" customHeight="1" x14ac:dyDescent="0.2">
      <c r="A216" s="118"/>
      <c r="B216" s="119"/>
      <c r="C216" s="15"/>
      <c r="D216" s="16"/>
      <c r="E216" s="16"/>
      <c r="F216" s="118"/>
      <c r="G216" s="118"/>
      <c r="H216" s="118"/>
      <c r="I216" s="118"/>
      <c r="J216" s="118"/>
      <c r="K216" s="118"/>
      <c r="L216" s="118"/>
      <c r="M216" s="118"/>
      <c r="N216" s="118"/>
      <c r="O216" s="118"/>
      <c r="P216" s="118"/>
      <c r="Q216" s="118"/>
      <c r="R216" s="118"/>
      <c r="S216" s="118"/>
      <c r="T216" s="118"/>
      <c r="U216" s="118"/>
      <c r="V216" s="118"/>
      <c r="W216" s="118"/>
      <c r="X216" s="118"/>
      <c r="Y216" s="118"/>
    </row>
    <row r="217" spans="1:25" ht="14.25" customHeight="1" x14ac:dyDescent="0.2">
      <c r="A217" s="118"/>
      <c r="B217" s="119"/>
      <c r="C217" s="15"/>
      <c r="D217" s="16"/>
      <c r="E217" s="16"/>
      <c r="F217" s="118"/>
      <c r="G217" s="118"/>
      <c r="H217" s="118"/>
      <c r="I217" s="118"/>
      <c r="J217" s="118"/>
      <c r="K217" s="118"/>
      <c r="L217" s="118"/>
      <c r="M217" s="118"/>
      <c r="N217" s="118"/>
      <c r="O217" s="118"/>
      <c r="P217" s="118"/>
      <c r="Q217" s="118"/>
      <c r="R217" s="118"/>
      <c r="S217" s="118"/>
      <c r="T217" s="118"/>
      <c r="U217" s="118"/>
      <c r="V217" s="118"/>
      <c r="W217" s="118"/>
      <c r="X217" s="118"/>
      <c r="Y217" s="118"/>
    </row>
    <row r="218" spans="1:25" ht="14.25" customHeight="1" x14ac:dyDescent="0.2">
      <c r="A218" s="118"/>
      <c r="B218" s="119"/>
      <c r="C218" s="15"/>
      <c r="D218" s="16"/>
      <c r="E218" s="16"/>
      <c r="F218" s="118"/>
      <c r="G218" s="118"/>
      <c r="H218" s="118"/>
      <c r="I218" s="118"/>
      <c r="J218" s="118"/>
      <c r="K218" s="118"/>
      <c r="L218" s="118"/>
      <c r="M218" s="118"/>
      <c r="N218" s="118"/>
      <c r="O218" s="118"/>
      <c r="P218" s="118"/>
      <c r="Q218" s="118"/>
      <c r="R218" s="118"/>
      <c r="S218" s="118"/>
      <c r="T218" s="118"/>
      <c r="U218" s="118"/>
      <c r="V218" s="118"/>
      <c r="W218" s="118"/>
      <c r="X218" s="118"/>
      <c r="Y218" s="118"/>
    </row>
    <row r="219" spans="1:25" ht="14.25" customHeight="1" x14ac:dyDescent="0.2">
      <c r="A219" s="118"/>
      <c r="B219" s="119"/>
      <c r="C219" s="15"/>
      <c r="D219" s="16"/>
      <c r="E219" s="16"/>
      <c r="F219" s="118"/>
      <c r="G219" s="118"/>
      <c r="H219" s="118"/>
      <c r="I219" s="118"/>
      <c r="J219" s="118"/>
      <c r="K219" s="118"/>
      <c r="L219" s="118"/>
      <c r="M219" s="118"/>
      <c r="N219" s="118"/>
      <c r="O219" s="118"/>
      <c r="P219" s="118"/>
      <c r="Q219" s="118"/>
      <c r="R219" s="118"/>
      <c r="S219" s="118"/>
      <c r="T219" s="118"/>
      <c r="U219" s="118"/>
      <c r="V219" s="118"/>
      <c r="W219" s="118"/>
      <c r="X219" s="118"/>
      <c r="Y219" s="118"/>
    </row>
    <row r="220" spans="1:25" ht="14.25" customHeight="1" x14ac:dyDescent="0.2">
      <c r="A220" s="118"/>
      <c r="B220" s="119"/>
      <c r="C220" s="15"/>
      <c r="D220" s="16"/>
      <c r="E220" s="16"/>
      <c r="F220" s="118"/>
      <c r="G220" s="118"/>
      <c r="H220" s="118"/>
      <c r="I220" s="118"/>
      <c r="J220" s="118"/>
      <c r="K220" s="118"/>
      <c r="L220" s="118"/>
      <c r="M220" s="118"/>
      <c r="N220" s="118"/>
      <c r="O220" s="118"/>
      <c r="P220" s="118"/>
      <c r="Q220" s="118"/>
      <c r="R220" s="118"/>
      <c r="S220" s="118"/>
      <c r="T220" s="118"/>
      <c r="U220" s="118"/>
      <c r="V220" s="118"/>
      <c r="W220" s="118"/>
      <c r="X220" s="118"/>
      <c r="Y220" s="118"/>
    </row>
  </sheetData>
  <autoFilter ref="A6:E16" xr:uid="{00000000-0009-0000-0000-000004000000}"/>
  <mergeCells count="2">
    <mergeCell ref="A2:E2"/>
    <mergeCell ref="A3:E3"/>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225"/>
  <sheetViews>
    <sheetView workbookViewId="0">
      <pane ySplit="5" topLeftCell="A6" activePane="bottomLeft" state="frozen"/>
      <selection pane="bottomLeft" activeCell="B7" sqref="B7"/>
    </sheetView>
  </sheetViews>
  <sheetFormatPr defaultColWidth="14.390625" defaultRowHeight="15" customHeight="1" x14ac:dyDescent="0.2"/>
  <cols>
    <col min="1" max="1" width="14.390625" customWidth="1"/>
    <col min="2" max="2" width="34.5703125" customWidth="1"/>
    <col min="3" max="3" width="9.28125" customWidth="1"/>
    <col min="4" max="4" width="20.17578125" customWidth="1"/>
    <col min="5" max="5" width="18.6953125" customWidth="1"/>
    <col min="6" max="27" width="14.390625" customWidth="1"/>
  </cols>
  <sheetData>
    <row r="1" spans="1:27" ht="17.25" x14ac:dyDescent="0.25">
      <c r="A1" s="432" t="s">
        <v>66</v>
      </c>
      <c r="B1" s="426"/>
      <c r="C1" s="426"/>
      <c r="D1" s="426"/>
      <c r="E1" s="426"/>
      <c r="F1" s="426"/>
      <c r="G1" s="426"/>
      <c r="H1" s="426"/>
      <c r="I1" s="426"/>
      <c r="J1" s="426"/>
      <c r="K1" s="426"/>
      <c r="L1" s="426"/>
      <c r="M1" s="426"/>
      <c r="N1" s="3"/>
      <c r="O1" s="3"/>
      <c r="P1" s="3"/>
      <c r="Q1" s="3"/>
      <c r="R1" s="3"/>
      <c r="S1" s="3"/>
      <c r="T1" s="3"/>
      <c r="U1" s="3"/>
      <c r="V1" s="3"/>
      <c r="W1" s="3"/>
      <c r="X1" s="3"/>
      <c r="Y1" s="3"/>
      <c r="Z1" s="3"/>
      <c r="AA1" s="3"/>
    </row>
    <row r="2" spans="1:27" ht="17.25" x14ac:dyDescent="0.25">
      <c r="A2" s="432" t="s">
        <v>74</v>
      </c>
      <c r="B2" s="426"/>
      <c r="C2" s="426"/>
      <c r="D2" s="426"/>
      <c r="E2" s="426"/>
      <c r="F2" s="426"/>
      <c r="G2" s="426"/>
      <c r="H2" s="426"/>
      <c r="I2" s="426"/>
      <c r="J2" s="426"/>
      <c r="K2" s="426"/>
      <c r="L2" s="426"/>
      <c r="M2" s="426"/>
      <c r="N2" s="3"/>
      <c r="O2" s="3"/>
      <c r="P2" s="3"/>
      <c r="Q2" s="3"/>
      <c r="R2" s="3"/>
      <c r="S2" s="3"/>
      <c r="T2" s="3"/>
      <c r="U2" s="3"/>
      <c r="V2" s="3"/>
      <c r="W2" s="3"/>
      <c r="X2" s="3"/>
      <c r="Y2" s="3"/>
      <c r="Z2" s="3"/>
      <c r="AA2" s="3"/>
    </row>
    <row r="3" spans="1:27" ht="17.25" x14ac:dyDescent="0.25">
      <c r="A3" s="3"/>
      <c r="B3" s="3"/>
      <c r="C3" s="2"/>
      <c r="D3" s="3"/>
      <c r="E3" s="3"/>
      <c r="F3" s="3"/>
      <c r="G3" s="3"/>
      <c r="H3" s="3"/>
      <c r="I3" s="3"/>
      <c r="J3" s="3"/>
      <c r="K3" s="3"/>
      <c r="L3" s="3"/>
      <c r="M3" s="3"/>
      <c r="N3" s="3"/>
      <c r="O3" s="3"/>
      <c r="P3" s="3"/>
      <c r="Q3" s="3"/>
      <c r="R3" s="3"/>
      <c r="S3" s="3"/>
      <c r="T3" s="3"/>
      <c r="U3" s="3"/>
      <c r="V3" s="3"/>
      <c r="W3" s="3"/>
      <c r="X3" s="3"/>
      <c r="Y3" s="3"/>
      <c r="Z3" s="3"/>
      <c r="AA3" s="3"/>
    </row>
    <row r="4" spans="1:27" ht="23.25" customHeight="1" x14ac:dyDescent="0.2">
      <c r="A4" s="453" t="s">
        <v>5</v>
      </c>
      <c r="B4" s="453" t="s">
        <v>6</v>
      </c>
      <c r="C4" s="133"/>
      <c r="D4" s="455" t="s">
        <v>75</v>
      </c>
      <c r="E4" s="456"/>
      <c r="F4" s="455" t="s">
        <v>76</v>
      </c>
      <c r="G4" s="456"/>
      <c r="H4" s="455" t="s">
        <v>77</v>
      </c>
      <c r="I4" s="456"/>
      <c r="J4" s="455" t="s">
        <v>78</v>
      </c>
      <c r="K4" s="456"/>
      <c r="L4" s="455" t="s">
        <v>79</v>
      </c>
      <c r="M4" s="456"/>
      <c r="N4" s="23"/>
      <c r="O4" s="23"/>
      <c r="P4" s="23"/>
      <c r="Q4" s="23"/>
      <c r="R4" s="23"/>
      <c r="S4" s="23"/>
      <c r="T4" s="23"/>
      <c r="U4" s="23"/>
      <c r="V4" s="23"/>
      <c r="W4" s="23"/>
      <c r="X4" s="23"/>
      <c r="Y4" s="23"/>
      <c r="Z4" s="23"/>
      <c r="AA4" s="23"/>
    </row>
    <row r="5" spans="1:27" ht="24" customHeight="1" x14ac:dyDescent="0.25">
      <c r="A5" s="454"/>
      <c r="B5" s="454"/>
      <c r="C5" s="134"/>
      <c r="D5" s="135" t="s">
        <v>33</v>
      </c>
      <c r="E5" s="134" t="s">
        <v>34</v>
      </c>
      <c r="F5" s="134" t="s">
        <v>33</v>
      </c>
      <c r="G5" s="134" t="s">
        <v>34</v>
      </c>
      <c r="H5" s="135" t="s">
        <v>33</v>
      </c>
      <c r="I5" s="135" t="s">
        <v>34</v>
      </c>
      <c r="J5" s="134" t="s">
        <v>33</v>
      </c>
      <c r="K5" s="134" t="s">
        <v>34</v>
      </c>
      <c r="L5" s="135" t="s">
        <v>33</v>
      </c>
      <c r="M5" s="135" t="s">
        <v>34</v>
      </c>
      <c r="N5" s="3"/>
      <c r="O5" s="3"/>
      <c r="P5" s="3"/>
      <c r="Q5" s="3"/>
      <c r="R5" s="3"/>
      <c r="S5" s="3"/>
      <c r="T5" s="3"/>
      <c r="U5" s="3"/>
      <c r="V5" s="3"/>
      <c r="W5" s="3"/>
      <c r="X5" s="3"/>
      <c r="Y5" s="3"/>
      <c r="Z5" s="3"/>
      <c r="AA5" s="3"/>
    </row>
    <row r="6" spans="1:27" ht="17.25" x14ac:dyDescent="0.25">
      <c r="A6" s="136">
        <v>101</v>
      </c>
      <c r="B6" s="137" t="s">
        <v>9</v>
      </c>
      <c r="C6" s="138" t="s">
        <v>80</v>
      </c>
      <c r="D6" s="139">
        <f>'Day 2.1 Informasi'!C4</f>
        <v>290000</v>
      </c>
      <c r="E6" s="140"/>
      <c r="F6" s="137"/>
      <c r="G6" s="141"/>
      <c r="H6" s="142">
        <f t="shared" ref="H6:H22" si="0">IF(C6="D",D6+F6-G6,0)</f>
        <v>290000</v>
      </c>
      <c r="I6" s="142">
        <f t="shared" ref="I6:I22" si="1">IF(C6="K",E6-F6+G6,0)</f>
        <v>0</v>
      </c>
      <c r="J6" s="143"/>
      <c r="K6" s="141"/>
      <c r="L6" s="142">
        <f t="shared" ref="L6:L16" si="2">IF(C6="D",H6,0)</f>
        <v>290000</v>
      </c>
      <c r="M6" s="142">
        <f t="shared" ref="M6:M16" si="3">IF(C6="K",I6,0)</f>
        <v>0</v>
      </c>
      <c r="N6" s="3"/>
      <c r="O6" s="3"/>
      <c r="P6" s="3"/>
      <c r="Q6" s="3"/>
      <c r="R6" s="3"/>
      <c r="S6" s="3"/>
      <c r="T6" s="3"/>
      <c r="U6" s="3"/>
      <c r="V6" s="3"/>
      <c r="W6" s="3"/>
      <c r="X6" s="3"/>
      <c r="Y6" s="3"/>
      <c r="Z6" s="3"/>
      <c r="AA6" s="3"/>
    </row>
    <row r="7" spans="1:27" ht="17.25" x14ac:dyDescent="0.25">
      <c r="A7" s="144">
        <v>102</v>
      </c>
      <c r="B7" s="145" t="s">
        <v>51</v>
      </c>
      <c r="C7" s="146" t="s">
        <v>80</v>
      </c>
      <c r="D7" s="139">
        <f>'Day 2.1 Informasi'!C5</f>
        <v>126000</v>
      </c>
      <c r="E7" s="147"/>
      <c r="F7" s="145"/>
      <c r="G7" s="148"/>
      <c r="H7" s="142">
        <f t="shared" si="0"/>
        <v>126000</v>
      </c>
      <c r="I7" s="142">
        <f t="shared" si="1"/>
        <v>0</v>
      </c>
      <c r="J7" s="149"/>
      <c r="K7" s="148"/>
      <c r="L7" s="142">
        <f t="shared" si="2"/>
        <v>126000</v>
      </c>
      <c r="M7" s="142">
        <f t="shared" si="3"/>
        <v>0</v>
      </c>
      <c r="N7" s="3"/>
      <c r="O7" s="3"/>
      <c r="P7" s="3"/>
      <c r="Q7" s="3"/>
      <c r="R7" s="3"/>
      <c r="S7" s="3"/>
      <c r="T7" s="3"/>
      <c r="U7" s="3"/>
      <c r="V7" s="3"/>
      <c r="W7" s="3"/>
      <c r="X7" s="3"/>
      <c r="Y7" s="3"/>
      <c r="Z7" s="3"/>
      <c r="AA7" s="3"/>
    </row>
    <row r="8" spans="1:27" ht="17.25" x14ac:dyDescent="0.25">
      <c r="A8" s="144">
        <v>103</v>
      </c>
      <c r="B8" s="145" t="s">
        <v>53</v>
      </c>
      <c r="C8" s="146" t="s">
        <v>80</v>
      </c>
      <c r="D8" s="139">
        <f>'Day 2.1 Informasi'!C6</f>
        <v>200000</v>
      </c>
      <c r="E8" s="147"/>
      <c r="F8" s="145"/>
      <c r="G8" s="148"/>
      <c r="H8" s="142">
        <f t="shared" si="0"/>
        <v>200000</v>
      </c>
      <c r="I8" s="142">
        <f t="shared" si="1"/>
        <v>0</v>
      </c>
      <c r="J8" s="149"/>
      <c r="K8" s="148"/>
      <c r="L8" s="142">
        <f t="shared" si="2"/>
        <v>200000</v>
      </c>
      <c r="M8" s="142">
        <f t="shared" si="3"/>
        <v>0</v>
      </c>
      <c r="N8" s="3"/>
      <c r="O8" s="3"/>
      <c r="P8" s="3"/>
      <c r="Q8" s="3"/>
      <c r="R8" s="3"/>
      <c r="S8" s="3"/>
      <c r="T8" s="3"/>
      <c r="U8" s="3"/>
      <c r="V8" s="3"/>
      <c r="W8" s="3"/>
      <c r="X8" s="3"/>
      <c r="Y8" s="3"/>
      <c r="Z8" s="3"/>
      <c r="AA8" s="3"/>
    </row>
    <row r="9" spans="1:27" ht="17.25" x14ac:dyDescent="0.25">
      <c r="A9" s="144">
        <v>104</v>
      </c>
      <c r="B9" s="145" t="s">
        <v>55</v>
      </c>
      <c r="C9" s="146" t="s">
        <v>80</v>
      </c>
      <c r="D9" s="139">
        <f>'Day 2.1 Informasi'!C7</f>
        <v>24000</v>
      </c>
      <c r="E9" s="147"/>
      <c r="F9" s="145"/>
      <c r="G9" s="150">
        <f>'Day 2.2 Jurnal Penyesuian'!E14</f>
        <v>24000</v>
      </c>
      <c r="H9" s="142">
        <f t="shared" si="0"/>
        <v>0</v>
      </c>
      <c r="I9" s="142">
        <f t="shared" si="1"/>
        <v>0</v>
      </c>
      <c r="J9" s="149"/>
      <c r="K9" s="148"/>
      <c r="L9" s="142">
        <f t="shared" si="2"/>
        <v>0</v>
      </c>
      <c r="M9" s="142">
        <f t="shared" si="3"/>
        <v>0</v>
      </c>
      <c r="N9" s="3"/>
      <c r="O9" s="3"/>
      <c r="P9" s="3"/>
      <c r="Q9" s="3"/>
      <c r="R9" s="3"/>
      <c r="S9" s="3"/>
      <c r="T9" s="3"/>
      <c r="U9" s="3"/>
      <c r="V9" s="3"/>
      <c r="W9" s="3"/>
      <c r="X9" s="3"/>
      <c r="Y9" s="3"/>
      <c r="Z9" s="3"/>
      <c r="AA9" s="3"/>
    </row>
    <row r="10" spans="1:27" ht="17.25" x14ac:dyDescent="0.25">
      <c r="A10" s="144">
        <v>105</v>
      </c>
      <c r="B10" s="145" t="s">
        <v>13</v>
      </c>
      <c r="C10" s="146" t="s">
        <v>80</v>
      </c>
      <c r="D10" s="139">
        <f>'Day 2.1 Informasi'!C8</f>
        <v>11000</v>
      </c>
      <c r="E10" s="147"/>
      <c r="F10" s="145"/>
      <c r="G10" s="150">
        <f>'Day 2.2 Jurnal Penyesuian'!E12</f>
        <v>9000</v>
      </c>
      <c r="H10" s="142">
        <f t="shared" si="0"/>
        <v>2000</v>
      </c>
      <c r="I10" s="142">
        <f t="shared" si="1"/>
        <v>0</v>
      </c>
      <c r="J10" s="149"/>
      <c r="K10" s="148"/>
      <c r="L10" s="142">
        <f t="shared" si="2"/>
        <v>2000</v>
      </c>
      <c r="M10" s="142">
        <f t="shared" si="3"/>
        <v>0</v>
      </c>
      <c r="N10" s="3"/>
      <c r="O10" s="3"/>
      <c r="P10" s="3"/>
      <c r="Q10" s="3"/>
      <c r="R10" s="3"/>
      <c r="S10" s="3"/>
      <c r="T10" s="3"/>
      <c r="U10" s="3"/>
      <c r="V10" s="3"/>
      <c r="W10" s="3"/>
      <c r="X10" s="3"/>
      <c r="Y10" s="3"/>
      <c r="Z10" s="3"/>
      <c r="AA10" s="3"/>
    </row>
    <row r="11" spans="1:27" ht="17.25" x14ac:dyDescent="0.25">
      <c r="A11" s="144">
        <v>105</v>
      </c>
      <c r="B11" s="145" t="s">
        <v>57</v>
      </c>
      <c r="C11" s="146" t="s">
        <v>80</v>
      </c>
      <c r="D11" s="139">
        <f>'Day 2.1 Informasi'!C9</f>
        <v>180000</v>
      </c>
      <c r="E11" s="147"/>
      <c r="F11" s="145"/>
      <c r="G11" s="148"/>
      <c r="H11" s="142">
        <f t="shared" si="0"/>
        <v>180000</v>
      </c>
      <c r="I11" s="142">
        <f t="shared" si="1"/>
        <v>0</v>
      </c>
      <c r="J11" s="149"/>
      <c r="K11" s="148"/>
      <c r="L11" s="142">
        <f t="shared" si="2"/>
        <v>180000</v>
      </c>
      <c r="M11" s="142">
        <f t="shared" si="3"/>
        <v>0</v>
      </c>
      <c r="N11" s="3"/>
      <c r="O11" s="3"/>
      <c r="P11" s="3"/>
      <c r="Q11" s="3"/>
      <c r="R11" s="3"/>
      <c r="S11" s="3"/>
      <c r="T11" s="3"/>
      <c r="U11" s="3"/>
      <c r="V11" s="3"/>
      <c r="W11" s="3"/>
      <c r="X11" s="3"/>
      <c r="Y11" s="3"/>
      <c r="Z11" s="3"/>
      <c r="AA11" s="3"/>
    </row>
    <row r="12" spans="1:27" ht="17.25" x14ac:dyDescent="0.25">
      <c r="A12" s="144">
        <v>106</v>
      </c>
      <c r="B12" s="145" t="s">
        <v>58</v>
      </c>
      <c r="C12" s="151" t="s">
        <v>81</v>
      </c>
      <c r="D12" s="152"/>
      <c r="E12" s="153">
        <f>'Day 2.1 Informasi'!D10</f>
        <v>10000</v>
      </c>
      <c r="F12" s="145"/>
      <c r="G12" s="150">
        <f>'Day 2.2 Jurnal Penyesuian'!E8</f>
        <v>5000</v>
      </c>
      <c r="H12" s="142">
        <f t="shared" si="0"/>
        <v>0</v>
      </c>
      <c r="I12" s="142">
        <f t="shared" si="1"/>
        <v>15000</v>
      </c>
      <c r="J12" s="149"/>
      <c r="K12" s="148"/>
      <c r="L12" s="142">
        <f t="shared" si="2"/>
        <v>0</v>
      </c>
      <c r="M12" s="142">
        <f t="shared" si="3"/>
        <v>15000</v>
      </c>
      <c r="N12" s="3"/>
      <c r="O12" s="3"/>
      <c r="P12" s="3"/>
      <c r="Q12" s="3"/>
      <c r="R12" s="3"/>
      <c r="S12" s="3"/>
      <c r="T12" s="3"/>
      <c r="U12" s="3"/>
      <c r="V12" s="3"/>
      <c r="W12" s="3"/>
      <c r="X12" s="3"/>
      <c r="Y12" s="3"/>
      <c r="Z12" s="3"/>
      <c r="AA12" s="3"/>
    </row>
    <row r="13" spans="1:27" ht="17.25" x14ac:dyDescent="0.25">
      <c r="A13" s="144">
        <v>201</v>
      </c>
      <c r="B13" s="145" t="s">
        <v>59</v>
      </c>
      <c r="C13" s="151" t="s">
        <v>81</v>
      </c>
      <c r="D13" s="154"/>
      <c r="E13" s="153">
        <f>'Day 2.1 Informasi'!D11</f>
        <v>90000</v>
      </c>
      <c r="F13" s="145"/>
      <c r="G13" s="148"/>
      <c r="H13" s="142">
        <f t="shared" si="0"/>
        <v>0</v>
      </c>
      <c r="I13" s="142">
        <f t="shared" si="1"/>
        <v>90000</v>
      </c>
      <c r="J13" s="149"/>
      <c r="K13" s="148"/>
      <c r="L13" s="142">
        <f t="shared" si="2"/>
        <v>0</v>
      </c>
      <c r="M13" s="142">
        <f t="shared" si="3"/>
        <v>90000</v>
      </c>
      <c r="N13" s="3"/>
      <c r="O13" s="3"/>
      <c r="P13" s="3"/>
      <c r="Q13" s="3"/>
      <c r="R13" s="3"/>
      <c r="S13" s="3"/>
      <c r="T13" s="3"/>
      <c r="U13" s="3"/>
      <c r="V13" s="3"/>
      <c r="W13" s="3"/>
      <c r="X13" s="3"/>
      <c r="Y13" s="3"/>
      <c r="Z13" s="3"/>
      <c r="AA13" s="3"/>
    </row>
    <row r="14" spans="1:27" ht="17.25" x14ac:dyDescent="0.25">
      <c r="A14" s="144">
        <v>202</v>
      </c>
      <c r="B14" s="145" t="s">
        <v>60</v>
      </c>
      <c r="C14" s="151" t="s">
        <v>81</v>
      </c>
      <c r="D14" s="154"/>
      <c r="E14" s="153">
        <f>'Day 2.1 Informasi'!D12</f>
        <v>20000</v>
      </c>
      <c r="F14" s="145"/>
      <c r="G14" s="150">
        <f>'Day 2.2 Jurnal Penyesuian'!E10</f>
        <v>25000</v>
      </c>
      <c r="H14" s="142">
        <f t="shared" si="0"/>
        <v>0</v>
      </c>
      <c r="I14" s="142">
        <f t="shared" si="1"/>
        <v>45000</v>
      </c>
      <c r="J14" s="149"/>
      <c r="K14" s="148"/>
      <c r="L14" s="142">
        <f t="shared" si="2"/>
        <v>0</v>
      </c>
      <c r="M14" s="142">
        <f t="shared" si="3"/>
        <v>45000</v>
      </c>
      <c r="N14" s="3"/>
      <c r="O14" s="3"/>
      <c r="P14" s="3"/>
      <c r="Q14" s="3"/>
      <c r="R14" s="3"/>
      <c r="S14" s="3"/>
      <c r="T14" s="3"/>
      <c r="U14" s="3"/>
      <c r="V14" s="3"/>
      <c r="W14" s="3"/>
      <c r="X14" s="3"/>
      <c r="Y14" s="3"/>
      <c r="Z14" s="3"/>
      <c r="AA14" s="3"/>
    </row>
    <row r="15" spans="1:27" ht="17.25" x14ac:dyDescent="0.25">
      <c r="A15" s="144">
        <v>301</v>
      </c>
      <c r="B15" s="145" t="s">
        <v>61</v>
      </c>
      <c r="C15" s="151" t="s">
        <v>81</v>
      </c>
      <c r="D15" s="154"/>
      <c r="E15" s="153">
        <f>'Day 2.1 Informasi'!D13</f>
        <v>560000</v>
      </c>
      <c r="F15" s="145"/>
      <c r="G15" s="148"/>
      <c r="H15" s="142">
        <f t="shared" si="0"/>
        <v>0</v>
      </c>
      <c r="I15" s="142">
        <f t="shared" si="1"/>
        <v>560000</v>
      </c>
      <c r="J15" s="149"/>
      <c r="K15" s="148"/>
      <c r="L15" s="142">
        <f t="shared" si="2"/>
        <v>0</v>
      </c>
      <c r="M15" s="142">
        <f t="shared" si="3"/>
        <v>560000</v>
      </c>
      <c r="N15" s="3"/>
      <c r="O15" s="3"/>
      <c r="P15" s="3"/>
      <c r="Q15" s="3"/>
      <c r="R15" s="3"/>
      <c r="S15" s="3"/>
      <c r="T15" s="3"/>
      <c r="U15" s="3"/>
      <c r="V15" s="3"/>
      <c r="W15" s="3"/>
      <c r="X15" s="3"/>
      <c r="Y15" s="3"/>
      <c r="Z15" s="3"/>
      <c r="AA15" s="3"/>
    </row>
    <row r="16" spans="1:27" ht="17.25" x14ac:dyDescent="0.25">
      <c r="A16" s="144">
        <v>302</v>
      </c>
      <c r="B16" s="145" t="s">
        <v>62</v>
      </c>
      <c r="C16" s="151" t="s">
        <v>81</v>
      </c>
      <c r="D16" s="154"/>
      <c r="E16" s="153">
        <f>'Day 2.1 Informasi'!D14</f>
        <v>40000</v>
      </c>
      <c r="F16" s="145"/>
      <c r="G16" s="148"/>
      <c r="H16" s="142">
        <f t="shared" si="0"/>
        <v>0</v>
      </c>
      <c r="I16" s="142">
        <f t="shared" si="1"/>
        <v>40000</v>
      </c>
      <c r="J16" s="149"/>
      <c r="K16" s="148"/>
      <c r="L16" s="142">
        <f t="shared" si="2"/>
        <v>0</v>
      </c>
      <c r="M16" s="142">
        <f t="shared" si="3"/>
        <v>40000</v>
      </c>
      <c r="N16" s="3"/>
      <c r="O16" s="3"/>
      <c r="P16" s="3"/>
      <c r="Q16" s="3"/>
      <c r="R16" s="3"/>
      <c r="S16" s="3"/>
      <c r="T16" s="3"/>
      <c r="U16" s="3"/>
      <c r="V16" s="3"/>
      <c r="W16" s="3"/>
      <c r="X16" s="3"/>
      <c r="Y16" s="3"/>
      <c r="Z16" s="3"/>
      <c r="AA16" s="3"/>
    </row>
    <row r="17" spans="1:27" ht="17.25" x14ac:dyDescent="0.25">
      <c r="A17" s="144">
        <v>401</v>
      </c>
      <c r="B17" s="145" t="s">
        <v>63</v>
      </c>
      <c r="C17" s="151" t="s">
        <v>81</v>
      </c>
      <c r="D17" s="154"/>
      <c r="E17" s="153">
        <f>'Day 2.1 Informasi'!D15</f>
        <v>200000</v>
      </c>
      <c r="F17" s="145"/>
      <c r="G17" s="148"/>
      <c r="H17" s="142">
        <f t="shared" si="0"/>
        <v>0</v>
      </c>
      <c r="I17" s="142">
        <f t="shared" si="1"/>
        <v>200000</v>
      </c>
      <c r="J17" s="155">
        <f t="shared" ref="J17:J22" si="4">IF(C17="D",H17,0)</f>
        <v>0</v>
      </c>
      <c r="K17" s="155">
        <f t="shared" ref="K17:K22" si="5">IF(C17="K",I17,0)</f>
        <v>200000</v>
      </c>
      <c r="L17" s="156"/>
      <c r="M17" s="156"/>
      <c r="N17" s="3"/>
      <c r="O17" s="3"/>
      <c r="P17" s="3"/>
      <c r="Q17" s="3"/>
      <c r="R17" s="3"/>
      <c r="S17" s="3"/>
      <c r="T17" s="3"/>
      <c r="U17" s="3"/>
      <c r="V17" s="3"/>
      <c r="W17" s="3"/>
      <c r="X17" s="3"/>
      <c r="Y17" s="3"/>
      <c r="Z17" s="3"/>
      <c r="AA17" s="3"/>
    </row>
    <row r="18" spans="1:27" ht="17.25" x14ac:dyDescent="0.25">
      <c r="A18" s="144">
        <v>501</v>
      </c>
      <c r="B18" s="145" t="s">
        <v>64</v>
      </c>
      <c r="C18" s="151" t="s">
        <v>80</v>
      </c>
      <c r="D18" s="153">
        <f>'Day 2.1 Informasi'!C16</f>
        <v>70000</v>
      </c>
      <c r="E18" s="154"/>
      <c r="F18" s="145"/>
      <c r="G18" s="148"/>
      <c r="H18" s="142">
        <f t="shared" si="0"/>
        <v>70000</v>
      </c>
      <c r="I18" s="142">
        <f t="shared" si="1"/>
        <v>0</v>
      </c>
      <c r="J18" s="155">
        <f t="shared" si="4"/>
        <v>70000</v>
      </c>
      <c r="K18" s="155">
        <f t="shared" si="5"/>
        <v>0</v>
      </c>
      <c r="L18" s="145"/>
      <c r="M18" s="145"/>
      <c r="N18" s="3"/>
      <c r="O18" s="3"/>
      <c r="P18" s="3"/>
      <c r="Q18" s="3"/>
      <c r="R18" s="3"/>
      <c r="S18" s="3"/>
      <c r="T18" s="3"/>
      <c r="U18" s="3"/>
      <c r="V18" s="3"/>
      <c r="W18" s="3"/>
      <c r="X18" s="3"/>
      <c r="Y18" s="3"/>
      <c r="Z18" s="3"/>
      <c r="AA18" s="3"/>
    </row>
    <row r="19" spans="1:27" ht="17.25" x14ac:dyDescent="0.25">
      <c r="A19" s="144">
        <v>601</v>
      </c>
      <c r="B19" s="145" t="s">
        <v>27</v>
      </c>
      <c r="C19" s="151" t="s">
        <v>80</v>
      </c>
      <c r="D19" s="153">
        <f>'Day 2.1 Informasi'!C17</f>
        <v>15000</v>
      </c>
      <c r="E19" s="154"/>
      <c r="F19" s="154">
        <f>'Day 2.2 Jurnal Penyesuian'!D9</f>
        <v>25000</v>
      </c>
      <c r="G19" s="148"/>
      <c r="H19" s="142">
        <f t="shared" si="0"/>
        <v>40000</v>
      </c>
      <c r="I19" s="142">
        <f t="shared" si="1"/>
        <v>0</v>
      </c>
      <c r="J19" s="155">
        <f t="shared" si="4"/>
        <v>40000</v>
      </c>
      <c r="K19" s="155">
        <f t="shared" si="5"/>
        <v>0</v>
      </c>
      <c r="L19" s="145"/>
      <c r="M19" s="145"/>
      <c r="N19" s="3"/>
      <c r="O19" s="3"/>
      <c r="P19" s="3"/>
      <c r="Q19" s="3"/>
      <c r="R19" s="3"/>
      <c r="S19" s="3"/>
      <c r="T19" s="3"/>
      <c r="U19" s="3"/>
      <c r="V19" s="3"/>
      <c r="W19" s="3"/>
      <c r="X19" s="3"/>
      <c r="Y19" s="3"/>
      <c r="Z19" s="3"/>
      <c r="AA19" s="3"/>
    </row>
    <row r="20" spans="1:27" ht="17.25" x14ac:dyDescent="0.25">
      <c r="A20" s="157">
        <v>602</v>
      </c>
      <c r="B20" s="158" t="s">
        <v>65</v>
      </c>
      <c r="C20" s="159" t="s">
        <v>80</v>
      </c>
      <c r="D20" s="153">
        <f>'Day 2.1 Informasi'!C18</f>
        <v>4000</v>
      </c>
      <c r="E20" s="160"/>
      <c r="F20" s="160">
        <f>'Day 2.2 Jurnal Penyesuian'!D13</f>
        <v>24000</v>
      </c>
      <c r="G20" s="161"/>
      <c r="H20" s="142">
        <f t="shared" si="0"/>
        <v>28000</v>
      </c>
      <c r="I20" s="142">
        <f t="shared" si="1"/>
        <v>0</v>
      </c>
      <c r="J20" s="155">
        <f t="shared" si="4"/>
        <v>28000</v>
      </c>
      <c r="K20" s="155">
        <f t="shared" si="5"/>
        <v>0</v>
      </c>
      <c r="L20" s="158"/>
      <c r="M20" s="158"/>
      <c r="N20" s="3"/>
      <c r="O20" s="3"/>
      <c r="P20" s="3"/>
      <c r="Q20" s="3"/>
      <c r="R20" s="3"/>
      <c r="S20" s="3"/>
      <c r="T20" s="3"/>
      <c r="U20" s="3"/>
      <c r="V20" s="3"/>
      <c r="W20" s="3"/>
      <c r="X20" s="3"/>
      <c r="Y20" s="3"/>
      <c r="Z20" s="3"/>
      <c r="AA20" s="3"/>
    </row>
    <row r="21" spans="1:27" ht="15.75" customHeight="1" x14ac:dyDescent="0.25">
      <c r="A21" s="162">
        <v>603</v>
      </c>
      <c r="B21" s="163" t="s">
        <v>82</v>
      </c>
      <c r="C21" s="164" t="s">
        <v>80</v>
      </c>
      <c r="D21" s="165"/>
      <c r="E21" s="165"/>
      <c r="F21" s="165">
        <f>'Day 2.2 Jurnal Penyesuian'!D11</f>
        <v>9000</v>
      </c>
      <c r="G21" s="166"/>
      <c r="H21" s="142">
        <f t="shared" si="0"/>
        <v>9000</v>
      </c>
      <c r="I21" s="142">
        <f t="shared" si="1"/>
        <v>0</v>
      </c>
      <c r="J21" s="155">
        <f t="shared" si="4"/>
        <v>9000</v>
      </c>
      <c r="K21" s="155">
        <f t="shared" si="5"/>
        <v>0</v>
      </c>
      <c r="L21" s="163"/>
      <c r="M21" s="163"/>
      <c r="N21" s="3"/>
      <c r="O21" s="3"/>
      <c r="P21" s="3"/>
      <c r="Q21" s="3"/>
      <c r="R21" s="3"/>
      <c r="S21" s="3"/>
      <c r="T21" s="3"/>
      <c r="U21" s="3"/>
      <c r="V21" s="3"/>
      <c r="W21" s="3"/>
      <c r="X21" s="3"/>
      <c r="Y21" s="3"/>
      <c r="Z21" s="3"/>
      <c r="AA21" s="3"/>
    </row>
    <row r="22" spans="1:27" ht="15.75" customHeight="1" x14ac:dyDescent="0.25">
      <c r="A22" s="162">
        <v>604</v>
      </c>
      <c r="B22" s="163" t="s">
        <v>83</v>
      </c>
      <c r="C22" s="164" t="s">
        <v>80</v>
      </c>
      <c r="D22" s="165"/>
      <c r="E22" s="165"/>
      <c r="F22" s="165">
        <f>'Day 2.2 Jurnal Penyesuian'!D7</f>
        <v>5000</v>
      </c>
      <c r="G22" s="166"/>
      <c r="H22" s="142">
        <f t="shared" si="0"/>
        <v>5000</v>
      </c>
      <c r="I22" s="142">
        <f t="shared" si="1"/>
        <v>0</v>
      </c>
      <c r="J22" s="155">
        <f t="shared" si="4"/>
        <v>5000</v>
      </c>
      <c r="K22" s="155">
        <f t="shared" si="5"/>
        <v>0</v>
      </c>
      <c r="L22" s="163"/>
      <c r="M22" s="163"/>
      <c r="N22" s="3"/>
      <c r="O22" s="3"/>
      <c r="P22" s="3"/>
      <c r="Q22" s="3"/>
      <c r="R22" s="3"/>
      <c r="S22" s="3"/>
      <c r="T22" s="3"/>
      <c r="U22" s="3"/>
      <c r="V22" s="3"/>
      <c r="W22" s="3"/>
      <c r="X22" s="3"/>
      <c r="Y22" s="3"/>
      <c r="Z22" s="3"/>
      <c r="AA22" s="3"/>
    </row>
    <row r="23" spans="1:27" ht="15.75" customHeight="1" x14ac:dyDescent="0.25">
      <c r="A23" s="451" t="s">
        <v>38</v>
      </c>
      <c r="B23" s="452"/>
      <c r="C23" s="167"/>
      <c r="D23" s="167">
        <f t="shared" ref="D23:M23" si="6">SUM(D6:D22)</f>
        <v>920000</v>
      </c>
      <c r="E23" s="167">
        <f t="shared" si="6"/>
        <v>920000</v>
      </c>
      <c r="F23" s="167">
        <f t="shared" si="6"/>
        <v>63000</v>
      </c>
      <c r="G23" s="167">
        <f t="shared" si="6"/>
        <v>63000</v>
      </c>
      <c r="H23" s="167">
        <f t="shared" si="6"/>
        <v>950000</v>
      </c>
      <c r="I23" s="167">
        <f t="shared" si="6"/>
        <v>950000</v>
      </c>
      <c r="J23" s="167">
        <f t="shared" si="6"/>
        <v>152000</v>
      </c>
      <c r="K23" s="167">
        <f t="shared" si="6"/>
        <v>200000</v>
      </c>
      <c r="L23" s="167">
        <f t="shared" si="6"/>
        <v>798000</v>
      </c>
      <c r="M23" s="167">
        <f t="shared" si="6"/>
        <v>750000</v>
      </c>
      <c r="N23" s="3"/>
      <c r="O23" s="3"/>
      <c r="P23" s="3"/>
      <c r="Q23" s="3"/>
      <c r="R23" s="3"/>
      <c r="S23" s="3"/>
      <c r="T23" s="3"/>
      <c r="U23" s="3"/>
      <c r="V23" s="3"/>
      <c r="W23" s="3"/>
      <c r="X23" s="3"/>
      <c r="Y23" s="3"/>
      <c r="Z23" s="3"/>
      <c r="AA23" s="3"/>
    </row>
    <row r="24" spans="1:27" ht="15.75" customHeight="1" x14ac:dyDescent="0.25">
      <c r="A24" s="451" t="s">
        <v>84</v>
      </c>
      <c r="B24" s="452"/>
      <c r="C24" s="168"/>
      <c r="D24" s="169"/>
      <c r="E24" s="169"/>
      <c r="F24" s="169"/>
      <c r="G24" s="169"/>
      <c r="H24" s="170"/>
      <c r="I24" s="170"/>
      <c r="J24" s="171">
        <f>K23-J23</f>
        <v>48000</v>
      </c>
      <c r="K24" s="172"/>
      <c r="L24" s="172"/>
      <c r="M24" s="173">
        <f>L23-M23</f>
        <v>48000</v>
      </c>
      <c r="N24" s="3"/>
      <c r="O24" s="3"/>
      <c r="P24" s="3"/>
      <c r="Q24" s="3"/>
      <c r="R24" s="3"/>
      <c r="S24" s="3"/>
      <c r="T24" s="3"/>
      <c r="U24" s="3"/>
      <c r="V24" s="3"/>
      <c r="W24" s="3"/>
      <c r="X24" s="3"/>
      <c r="Y24" s="3"/>
      <c r="Z24" s="3"/>
      <c r="AA24" s="3"/>
    </row>
    <row r="25" spans="1:27" ht="15.75" customHeight="1" x14ac:dyDescent="0.25">
      <c r="A25" s="451" t="s">
        <v>85</v>
      </c>
      <c r="B25" s="452"/>
      <c r="C25" s="167"/>
      <c r="D25" s="167">
        <f t="shared" ref="D25:M25" si="7">D23+D24</f>
        <v>920000</v>
      </c>
      <c r="E25" s="167">
        <f t="shared" si="7"/>
        <v>920000</v>
      </c>
      <c r="F25" s="167">
        <f t="shared" si="7"/>
        <v>63000</v>
      </c>
      <c r="G25" s="167">
        <f t="shared" si="7"/>
        <v>63000</v>
      </c>
      <c r="H25" s="167">
        <f t="shared" si="7"/>
        <v>950000</v>
      </c>
      <c r="I25" s="167">
        <f t="shared" si="7"/>
        <v>950000</v>
      </c>
      <c r="J25" s="167">
        <f t="shared" si="7"/>
        <v>200000</v>
      </c>
      <c r="K25" s="167">
        <f t="shared" si="7"/>
        <v>200000</v>
      </c>
      <c r="L25" s="167">
        <f t="shared" si="7"/>
        <v>798000</v>
      </c>
      <c r="M25" s="167">
        <f t="shared" si="7"/>
        <v>798000</v>
      </c>
      <c r="N25" s="3"/>
      <c r="O25" s="3"/>
      <c r="P25" s="3"/>
      <c r="Q25" s="3"/>
      <c r="R25" s="3"/>
      <c r="S25" s="3"/>
      <c r="T25" s="3"/>
      <c r="U25" s="3"/>
      <c r="V25" s="3"/>
      <c r="W25" s="3"/>
      <c r="X25" s="3"/>
      <c r="Y25" s="3"/>
      <c r="Z25" s="3"/>
      <c r="AA25" s="3"/>
    </row>
    <row r="26" spans="1:27" ht="15.75" customHeight="1" x14ac:dyDescent="0.25">
      <c r="A26" s="3"/>
      <c r="B26" s="3"/>
      <c r="C26" s="2"/>
      <c r="D26" s="3"/>
      <c r="E26" s="3"/>
      <c r="F26" s="3"/>
      <c r="G26" s="3"/>
      <c r="H26" s="3"/>
      <c r="I26" s="3"/>
      <c r="J26" s="3"/>
      <c r="K26" s="3"/>
      <c r="L26" s="3"/>
      <c r="M26" s="3"/>
      <c r="N26" s="3"/>
      <c r="O26" s="3"/>
      <c r="P26" s="3"/>
      <c r="Q26" s="3"/>
      <c r="R26" s="3"/>
      <c r="S26" s="3"/>
      <c r="T26" s="3"/>
      <c r="U26" s="3"/>
      <c r="V26" s="3"/>
      <c r="W26" s="3"/>
      <c r="X26" s="3"/>
      <c r="Y26" s="3"/>
      <c r="Z26" s="3"/>
      <c r="AA26" s="3"/>
    </row>
    <row r="27" spans="1:27" ht="15.75" customHeight="1" x14ac:dyDescent="0.25">
      <c r="A27" s="3"/>
      <c r="B27" s="3"/>
      <c r="C27" s="2"/>
      <c r="D27" s="3"/>
      <c r="E27" s="3"/>
      <c r="F27" s="3"/>
      <c r="G27" s="3"/>
      <c r="H27" s="3"/>
      <c r="I27" s="3"/>
      <c r="J27" s="3"/>
      <c r="K27" s="3"/>
      <c r="L27" s="3"/>
      <c r="M27" s="3"/>
      <c r="N27" s="3"/>
      <c r="O27" s="3"/>
      <c r="P27" s="3"/>
      <c r="Q27" s="3"/>
      <c r="R27" s="3"/>
      <c r="S27" s="3"/>
      <c r="T27" s="3"/>
      <c r="U27" s="3"/>
      <c r="V27" s="3"/>
      <c r="W27" s="3"/>
      <c r="X27" s="3"/>
      <c r="Y27" s="3"/>
      <c r="Z27" s="3"/>
      <c r="AA27" s="3"/>
    </row>
    <row r="28" spans="1:27" ht="15.75" customHeight="1" x14ac:dyDescent="0.25">
      <c r="A28" s="3"/>
      <c r="B28" s="3"/>
      <c r="C28" s="2"/>
      <c r="D28" s="3"/>
      <c r="E28" s="3"/>
      <c r="F28" s="3"/>
      <c r="G28" s="3"/>
      <c r="H28" s="3"/>
      <c r="I28" s="3"/>
      <c r="J28" s="3"/>
      <c r="K28" s="3"/>
      <c r="L28" s="3"/>
      <c r="M28" s="3"/>
      <c r="N28" s="3"/>
      <c r="O28" s="3"/>
      <c r="P28" s="3"/>
      <c r="Q28" s="3"/>
      <c r="R28" s="3"/>
      <c r="S28" s="3"/>
      <c r="T28" s="3"/>
      <c r="U28" s="3"/>
      <c r="V28" s="3"/>
      <c r="W28" s="3"/>
      <c r="X28" s="3"/>
      <c r="Y28" s="3"/>
      <c r="Z28" s="3"/>
      <c r="AA28" s="3"/>
    </row>
    <row r="29" spans="1:27" ht="15.75" customHeight="1" x14ac:dyDescent="0.25">
      <c r="A29" s="3"/>
      <c r="B29" s="3"/>
      <c r="C29" s="2"/>
      <c r="D29" s="3"/>
      <c r="E29" s="3"/>
      <c r="F29" s="3"/>
      <c r="G29" s="3"/>
      <c r="H29" s="3"/>
      <c r="I29" s="3"/>
      <c r="J29" s="3"/>
      <c r="K29" s="3"/>
      <c r="L29" s="3"/>
      <c r="M29" s="3"/>
      <c r="N29" s="3"/>
      <c r="O29" s="3"/>
      <c r="P29" s="3"/>
      <c r="Q29" s="3"/>
      <c r="R29" s="3"/>
      <c r="S29" s="3"/>
      <c r="T29" s="3"/>
      <c r="U29" s="3"/>
      <c r="V29" s="3"/>
      <c r="W29" s="3"/>
      <c r="X29" s="3"/>
      <c r="Y29" s="3"/>
      <c r="Z29" s="3"/>
      <c r="AA29" s="3"/>
    </row>
    <row r="30" spans="1:27" ht="15.75" customHeight="1" x14ac:dyDescent="0.25">
      <c r="A30" s="3"/>
      <c r="B30" s="3"/>
      <c r="C30" s="2"/>
      <c r="D30" s="3"/>
      <c r="E30" s="3"/>
      <c r="F30" s="3"/>
      <c r="G30" s="3"/>
      <c r="H30" s="3"/>
      <c r="I30" s="3"/>
      <c r="J30" s="3"/>
      <c r="K30" s="3"/>
      <c r="L30" s="3"/>
      <c r="M30" s="3"/>
      <c r="N30" s="3"/>
      <c r="O30" s="3"/>
      <c r="P30" s="3"/>
      <c r="Q30" s="3"/>
      <c r="R30" s="3"/>
      <c r="S30" s="3"/>
      <c r="T30" s="3"/>
      <c r="U30" s="3"/>
      <c r="V30" s="3"/>
      <c r="W30" s="3"/>
      <c r="X30" s="3"/>
      <c r="Y30" s="3"/>
      <c r="Z30" s="3"/>
      <c r="AA30" s="3"/>
    </row>
    <row r="31" spans="1:27" ht="15.75" customHeight="1" x14ac:dyDescent="0.25">
      <c r="A31" s="3"/>
      <c r="B31" s="3"/>
      <c r="C31" s="2"/>
      <c r="D31" s="3"/>
      <c r="E31" s="3"/>
      <c r="F31" s="3"/>
      <c r="G31" s="3"/>
      <c r="H31" s="3"/>
      <c r="I31" s="3"/>
      <c r="J31" s="3"/>
      <c r="K31" s="3"/>
      <c r="L31" s="3"/>
      <c r="M31" s="3"/>
      <c r="N31" s="3"/>
      <c r="O31" s="3"/>
      <c r="P31" s="3"/>
      <c r="Q31" s="3"/>
      <c r="R31" s="3"/>
      <c r="S31" s="3"/>
      <c r="T31" s="3"/>
      <c r="U31" s="3"/>
      <c r="V31" s="3"/>
      <c r="W31" s="3"/>
      <c r="X31" s="3"/>
      <c r="Y31" s="3"/>
      <c r="Z31" s="3"/>
      <c r="AA31" s="3"/>
    </row>
    <row r="32" spans="1:27" ht="15.75" customHeight="1" x14ac:dyDescent="0.25">
      <c r="A32" s="3"/>
      <c r="B32" s="3"/>
      <c r="C32" s="2"/>
      <c r="D32" s="3"/>
      <c r="E32" s="3"/>
      <c r="F32" s="3"/>
      <c r="G32" s="3"/>
      <c r="H32" s="3"/>
      <c r="I32" s="3"/>
      <c r="J32" s="3"/>
      <c r="K32" s="3"/>
      <c r="L32" s="3"/>
      <c r="M32" s="3"/>
      <c r="N32" s="3"/>
      <c r="O32" s="3"/>
      <c r="P32" s="3"/>
      <c r="Q32" s="3"/>
      <c r="R32" s="3"/>
      <c r="S32" s="3"/>
      <c r="T32" s="3"/>
      <c r="U32" s="3"/>
      <c r="V32" s="3"/>
      <c r="W32" s="3"/>
      <c r="X32" s="3"/>
      <c r="Y32" s="3"/>
      <c r="Z32" s="3"/>
      <c r="AA32" s="3"/>
    </row>
    <row r="33" spans="1:27" ht="15.75" customHeight="1" x14ac:dyDescent="0.25">
      <c r="A33" s="3"/>
      <c r="B33" s="3"/>
      <c r="C33" s="2"/>
      <c r="D33" s="3"/>
      <c r="E33" s="3"/>
      <c r="F33" s="3"/>
      <c r="G33" s="3"/>
      <c r="H33" s="3"/>
      <c r="I33" s="3"/>
      <c r="J33" s="3"/>
      <c r="K33" s="3"/>
      <c r="L33" s="3"/>
      <c r="M33" s="3"/>
      <c r="N33" s="3"/>
      <c r="O33" s="3"/>
      <c r="P33" s="3"/>
      <c r="Q33" s="3"/>
      <c r="R33" s="3"/>
      <c r="S33" s="3"/>
      <c r="T33" s="3"/>
      <c r="U33" s="3"/>
      <c r="V33" s="3"/>
      <c r="W33" s="3"/>
      <c r="X33" s="3"/>
      <c r="Y33" s="3"/>
      <c r="Z33" s="3"/>
      <c r="AA33" s="3"/>
    </row>
    <row r="34" spans="1:27" ht="15.75" customHeight="1" x14ac:dyDescent="0.25">
      <c r="A34" s="3"/>
      <c r="B34" s="3"/>
      <c r="C34" s="2"/>
      <c r="D34" s="3"/>
      <c r="E34" s="3"/>
      <c r="F34" s="3"/>
      <c r="G34" s="3"/>
      <c r="H34" s="3"/>
      <c r="I34" s="3"/>
      <c r="J34" s="3"/>
      <c r="K34" s="3"/>
      <c r="L34" s="3"/>
      <c r="M34" s="3"/>
      <c r="N34" s="3"/>
      <c r="O34" s="3"/>
      <c r="P34" s="3"/>
      <c r="Q34" s="3"/>
      <c r="R34" s="3"/>
      <c r="S34" s="3"/>
      <c r="T34" s="3"/>
      <c r="U34" s="3"/>
      <c r="V34" s="3"/>
      <c r="W34" s="3"/>
      <c r="X34" s="3"/>
      <c r="Y34" s="3"/>
      <c r="Z34" s="3"/>
      <c r="AA34" s="3"/>
    </row>
    <row r="35" spans="1:27" ht="15.75" customHeight="1" x14ac:dyDescent="0.25">
      <c r="A35" s="3"/>
      <c r="B35" s="3"/>
      <c r="C35" s="2"/>
      <c r="D35" s="3"/>
      <c r="E35" s="3"/>
      <c r="F35" s="3"/>
      <c r="G35" s="3"/>
      <c r="H35" s="3"/>
      <c r="I35" s="3"/>
      <c r="J35" s="3"/>
      <c r="K35" s="3"/>
      <c r="L35" s="3"/>
      <c r="M35" s="3"/>
      <c r="N35" s="3"/>
      <c r="O35" s="3"/>
      <c r="P35" s="3"/>
      <c r="Q35" s="3"/>
      <c r="R35" s="3"/>
      <c r="S35" s="3"/>
      <c r="T35" s="3"/>
      <c r="U35" s="3"/>
      <c r="V35" s="3"/>
      <c r="W35" s="3"/>
      <c r="X35" s="3"/>
      <c r="Y35" s="3"/>
      <c r="Z35" s="3"/>
      <c r="AA35" s="3"/>
    </row>
    <row r="36" spans="1:27" ht="15.75" customHeight="1" x14ac:dyDescent="0.25">
      <c r="A36" s="3"/>
      <c r="B36" s="3"/>
      <c r="C36" s="2"/>
      <c r="D36" s="3"/>
      <c r="E36" s="3"/>
      <c r="F36" s="3"/>
      <c r="G36" s="3"/>
      <c r="H36" s="3"/>
      <c r="I36" s="3"/>
      <c r="J36" s="3"/>
      <c r="K36" s="3"/>
      <c r="L36" s="3"/>
      <c r="M36" s="3"/>
      <c r="N36" s="3"/>
      <c r="O36" s="3"/>
      <c r="P36" s="3"/>
      <c r="Q36" s="3"/>
      <c r="R36" s="3"/>
      <c r="S36" s="3"/>
      <c r="T36" s="3"/>
      <c r="U36" s="3"/>
      <c r="V36" s="3"/>
      <c r="W36" s="3"/>
      <c r="X36" s="3"/>
      <c r="Y36" s="3"/>
      <c r="Z36" s="3"/>
      <c r="AA36" s="3"/>
    </row>
    <row r="37" spans="1:27" ht="15.75" customHeight="1" x14ac:dyDescent="0.25">
      <c r="A37" s="3"/>
      <c r="B37" s="3"/>
      <c r="C37" s="2"/>
      <c r="D37" s="3"/>
      <c r="E37" s="3"/>
      <c r="F37" s="3"/>
      <c r="G37" s="3"/>
      <c r="H37" s="3"/>
      <c r="I37" s="3"/>
      <c r="J37" s="3"/>
      <c r="K37" s="3"/>
      <c r="L37" s="3"/>
      <c r="M37" s="3"/>
      <c r="N37" s="3"/>
      <c r="O37" s="3"/>
      <c r="P37" s="3"/>
      <c r="Q37" s="3"/>
      <c r="R37" s="3"/>
      <c r="S37" s="3"/>
      <c r="T37" s="3"/>
      <c r="U37" s="3"/>
      <c r="V37" s="3"/>
      <c r="W37" s="3"/>
      <c r="X37" s="3"/>
      <c r="Y37" s="3"/>
      <c r="Z37" s="3"/>
      <c r="AA37" s="3"/>
    </row>
    <row r="38" spans="1:27" ht="15.75" customHeight="1" x14ac:dyDescent="0.25">
      <c r="A38" s="3"/>
      <c r="B38" s="3"/>
      <c r="C38" s="2"/>
      <c r="D38" s="3"/>
      <c r="E38" s="3"/>
      <c r="F38" s="3"/>
      <c r="G38" s="3"/>
      <c r="H38" s="3"/>
      <c r="I38" s="3"/>
      <c r="J38" s="3"/>
      <c r="K38" s="3"/>
      <c r="L38" s="3"/>
      <c r="M38" s="3"/>
      <c r="N38" s="3"/>
      <c r="O38" s="3"/>
      <c r="P38" s="3"/>
      <c r="Q38" s="3"/>
      <c r="R38" s="3"/>
      <c r="S38" s="3"/>
      <c r="T38" s="3"/>
      <c r="U38" s="3"/>
      <c r="V38" s="3"/>
      <c r="W38" s="3"/>
      <c r="X38" s="3"/>
      <c r="Y38" s="3"/>
      <c r="Z38" s="3"/>
      <c r="AA38" s="3"/>
    </row>
    <row r="39" spans="1:27" ht="15.75" customHeight="1" x14ac:dyDescent="0.25">
      <c r="A39" s="3"/>
      <c r="B39" s="3"/>
      <c r="C39" s="2"/>
      <c r="D39" s="3"/>
      <c r="E39" s="3"/>
      <c r="F39" s="3"/>
      <c r="G39" s="3"/>
      <c r="H39" s="3"/>
      <c r="I39" s="3"/>
      <c r="J39" s="3"/>
      <c r="K39" s="3"/>
      <c r="L39" s="3"/>
      <c r="M39" s="3"/>
      <c r="N39" s="3"/>
      <c r="O39" s="3"/>
      <c r="P39" s="3"/>
      <c r="Q39" s="3"/>
      <c r="R39" s="3"/>
      <c r="S39" s="3"/>
      <c r="T39" s="3"/>
      <c r="U39" s="3"/>
      <c r="V39" s="3"/>
      <c r="W39" s="3"/>
      <c r="X39" s="3"/>
      <c r="Y39" s="3"/>
      <c r="Z39" s="3"/>
      <c r="AA39" s="3"/>
    </row>
    <row r="40" spans="1:27" ht="15.75" customHeight="1" x14ac:dyDescent="0.25">
      <c r="A40" s="3"/>
      <c r="B40" s="3"/>
      <c r="C40" s="2"/>
      <c r="D40" s="3"/>
      <c r="E40" s="3"/>
      <c r="F40" s="3"/>
      <c r="G40" s="3"/>
      <c r="H40" s="3"/>
      <c r="I40" s="3"/>
      <c r="J40" s="3"/>
      <c r="K40" s="3"/>
      <c r="L40" s="3"/>
      <c r="M40" s="3"/>
      <c r="N40" s="3"/>
      <c r="O40" s="3"/>
      <c r="P40" s="3"/>
      <c r="Q40" s="3"/>
      <c r="R40" s="3"/>
      <c r="S40" s="3"/>
      <c r="T40" s="3"/>
      <c r="U40" s="3"/>
      <c r="V40" s="3"/>
      <c r="W40" s="3"/>
      <c r="X40" s="3"/>
      <c r="Y40" s="3"/>
      <c r="Z40" s="3"/>
      <c r="AA40" s="3"/>
    </row>
    <row r="41" spans="1:27" ht="15.75" customHeight="1" x14ac:dyDescent="0.25">
      <c r="A41" s="3"/>
      <c r="B41" s="3"/>
      <c r="C41" s="2"/>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x14ac:dyDescent="0.25">
      <c r="A42" s="3"/>
      <c r="B42" s="3"/>
      <c r="C42" s="2"/>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x14ac:dyDescent="0.25">
      <c r="A43" s="3"/>
      <c r="B43" s="3"/>
      <c r="C43" s="2"/>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25">
      <c r="A44" s="3"/>
      <c r="B44" s="3"/>
      <c r="C44" s="2"/>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25">
      <c r="A45" s="3"/>
      <c r="B45" s="3"/>
      <c r="C45" s="2"/>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25">
      <c r="A46" s="3"/>
      <c r="B46" s="3"/>
      <c r="C46" s="2"/>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25">
      <c r="A47" s="3"/>
      <c r="B47" s="3"/>
      <c r="C47" s="2"/>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25">
      <c r="A48" s="3"/>
      <c r="B48" s="3"/>
      <c r="C48" s="2"/>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25">
      <c r="A49" s="3"/>
      <c r="B49" s="3"/>
      <c r="C49" s="2"/>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25">
      <c r="A50" s="3"/>
      <c r="B50" s="3"/>
      <c r="C50" s="2"/>
      <c r="D50" s="3"/>
      <c r="E50" s="3"/>
      <c r="F50" s="3"/>
      <c r="G50" s="3"/>
      <c r="H50" s="3"/>
      <c r="I50" s="3"/>
      <c r="J50" s="3"/>
      <c r="K50" s="3"/>
      <c r="L50" s="3"/>
      <c r="M50" s="3"/>
      <c r="N50" s="3"/>
      <c r="O50" s="3"/>
      <c r="P50" s="3"/>
      <c r="Q50" s="3"/>
      <c r="R50" s="3"/>
      <c r="S50" s="3"/>
      <c r="T50" s="3"/>
      <c r="U50" s="3"/>
      <c r="V50" s="3"/>
      <c r="W50" s="3"/>
      <c r="X50" s="3"/>
      <c r="Y50" s="3"/>
      <c r="Z50" s="3"/>
      <c r="AA50" s="3"/>
    </row>
    <row r="51" spans="1:27" ht="15.75" customHeight="1" x14ac:dyDescent="0.25">
      <c r="A51" s="3"/>
      <c r="B51" s="3"/>
      <c r="C51" s="2"/>
      <c r="D51" s="3"/>
      <c r="E51" s="3"/>
      <c r="F51" s="3"/>
      <c r="G51" s="3"/>
      <c r="H51" s="3"/>
      <c r="I51" s="3"/>
      <c r="J51" s="3"/>
      <c r="K51" s="3"/>
      <c r="L51" s="3"/>
      <c r="M51" s="3"/>
      <c r="N51" s="3"/>
      <c r="O51" s="3"/>
      <c r="P51" s="3"/>
      <c r="Q51" s="3"/>
      <c r="R51" s="3"/>
      <c r="S51" s="3"/>
      <c r="T51" s="3"/>
      <c r="U51" s="3"/>
      <c r="V51" s="3"/>
      <c r="W51" s="3"/>
      <c r="X51" s="3"/>
      <c r="Y51" s="3"/>
      <c r="Z51" s="3"/>
      <c r="AA51" s="3"/>
    </row>
    <row r="52" spans="1:27" ht="15.75" customHeight="1" x14ac:dyDescent="0.25">
      <c r="A52" s="3"/>
      <c r="B52" s="3"/>
      <c r="C52" s="2"/>
      <c r="D52" s="3"/>
      <c r="E52" s="3"/>
      <c r="F52" s="3"/>
      <c r="G52" s="3"/>
      <c r="H52" s="3"/>
      <c r="I52" s="3"/>
      <c r="J52" s="3"/>
      <c r="K52" s="3"/>
      <c r="L52" s="3"/>
      <c r="M52" s="3"/>
      <c r="N52" s="3"/>
      <c r="O52" s="3"/>
      <c r="P52" s="3"/>
      <c r="Q52" s="3"/>
      <c r="R52" s="3"/>
      <c r="S52" s="3"/>
      <c r="T52" s="3"/>
      <c r="U52" s="3"/>
      <c r="V52" s="3"/>
      <c r="W52" s="3"/>
      <c r="X52" s="3"/>
      <c r="Y52" s="3"/>
      <c r="Z52" s="3"/>
      <c r="AA52" s="3"/>
    </row>
    <row r="53" spans="1:27" ht="15.75" customHeight="1" x14ac:dyDescent="0.25">
      <c r="A53" s="3"/>
      <c r="B53" s="3"/>
      <c r="C53" s="2"/>
      <c r="D53" s="3"/>
      <c r="E53" s="3"/>
      <c r="F53" s="3"/>
      <c r="G53" s="3"/>
      <c r="H53" s="3"/>
      <c r="I53" s="3"/>
      <c r="J53" s="3"/>
      <c r="K53" s="3"/>
      <c r="L53" s="3"/>
      <c r="M53" s="3"/>
      <c r="N53" s="3"/>
      <c r="O53" s="3"/>
      <c r="P53" s="3"/>
      <c r="Q53" s="3"/>
      <c r="R53" s="3"/>
      <c r="S53" s="3"/>
      <c r="T53" s="3"/>
      <c r="U53" s="3"/>
      <c r="V53" s="3"/>
      <c r="W53" s="3"/>
      <c r="X53" s="3"/>
      <c r="Y53" s="3"/>
      <c r="Z53" s="3"/>
      <c r="AA53" s="3"/>
    </row>
    <row r="54" spans="1:27" ht="15.75" customHeight="1" x14ac:dyDescent="0.25">
      <c r="A54" s="3"/>
      <c r="B54" s="3"/>
      <c r="C54" s="2"/>
      <c r="D54" s="3"/>
      <c r="E54" s="3"/>
      <c r="F54" s="3"/>
      <c r="G54" s="3"/>
      <c r="H54" s="3"/>
      <c r="I54" s="3"/>
      <c r="J54" s="3"/>
      <c r="K54" s="3"/>
      <c r="L54" s="3"/>
      <c r="M54" s="3"/>
      <c r="N54" s="3"/>
      <c r="O54" s="3"/>
      <c r="P54" s="3"/>
      <c r="Q54" s="3"/>
      <c r="R54" s="3"/>
      <c r="S54" s="3"/>
      <c r="T54" s="3"/>
      <c r="U54" s="3"/>
      <c r="V54" s="3"/>
      <c r="W54" s="3"/>
      <c r="X54" s="3"/>
      <c r="Y54" s="3"/>
      <c r="Z54" s="3"/>
      <c r="AA54" s="3"/>
    </row>
    <row r="55" spans="1:27" ht="15.75" customHeight="1" x14ac:dyDescent="0.25">
      <c r="A55" s="3"/>
      <c r="B55" s="3"/>
      <c r="C55" s="2"/>
      <c r="D55" s="3"/>
      <c r="E55" s="3"/>
      <c r="F55" s="3"/>
      <c r="G55" s="3"/>
      <c r="H55" s="3"/>
      <c r="I55" s="3"/>
      <c r="J55" s="3"/>
      <c r="K55" s="3"/>
      <c r="L55" s="3"/>
      <c r="M55" s="3"/>
      <c r="N55" s="3"/>
      <c r="O55" s="3"/>
      <c r="P55" s="3"/>
      <c r="Q55" s="3"/>
      <c r="R55" s="3"/>
      <c r="S55" s="3"/>
      <c r="T55" s="3"/>
      <c r="U55" s="3"/>
      <c r="V55" s="3"/>
      <c r="W55" s="3"/>
      <c r="X55" s="3"/>
      <c r="Y55" s="3"/>
      <c r="Z55" s="3"/>
      <c r="AA55" s="3"/>
    </row>
    <row r="56" spans="1:27" ht="15.75" customHeight="1" x14ac:dyDescent="0.25">
      <c r="A56" s="3"/>
      <c r="B56" s="3"/>
      <c r="C56" s="2"/>
      <c r="D56" s="3"/>
      <c r="E56" s="3"/>
      <c r="F56" s="3"/>
      <c r="G56" s="3"/>
      <c r="H56" s="3"/>
      <c r="I56" s="3"/>
      <c r="J56" s="3"/>
      <c r="K56" s="3"/>
      <c r="L56" s="3"/>
      <c r="M56" s="3"/>
      <c r="N56" s="3"/>
      <c r="O56" s="3"/>
      <c r="P56" s="3"/>
      <c r="Q56" s="3"/>
      <c r="R56" s="3"/>
      <c r="S56" s="3"/>
      <c r="T56" s="3"/>
      <c r="U56" s="3"/>
      <c r="V56" s="3"/>
      <c r="W56" s="3"/>
      <c r="X56" s="3"/>
      <c r="Y56" s="3"/>
      <c r="Z56" s="3"/>
      <c r="AA56" s="3"/>
    </row>
    <row r="57" spans="1:27" ht="15.75" customHeight="1" x14ac:dyDescent="0.25">
      <c r="A57" s="3"/>
      <c r="B57" s="3"/>
      <c r="C57" s="2"/>
      <c r="D57" s="3"/>
      <c r="E57" s="3"/>
      <c r="F57" s="3"/>
      <c r="G57" s="3"/>
      <c r="H57" s="3"/>
      <c r="I57" s="3"/>
      <c r="J57" s="3"/>
      <c r="K57" s="3"/>
      <c r="L57" s="3"/>
      <c r="M57" s="3"/>
      <c r="N57" s="3"/>
      <c r="O57" s="3"/>
      <c r="P57" s="3"/>
      <c r="Q57" s="3"/>
      <c r="R57" s="3"/>
      <c r="S57" s="3"/>
      <c r="T57" s="3"/>
      <c r="U57" s="3"/>
      <c r="V57" s="3"/>
      <c r="W57" s="3"/>
      <c r="X57" s="3"/>
      <c r="Y57" s="3"/>
      <c r="Z57" s="3"/>
      <c r="AA57" s="3"/>
    </row>
    <row r="58" spans="1:27" ht="15.75" customHeight="1" x14ac:dyDescent="0.25">
      <c r="A58" s="3"/>
      <c r="B58" s="3"/>
      <c r="C58" s="2"/>
      <c r="D58" s="3"/>
      <c r="E58" s="3"/>
      <c r="F58" s="3"/>
      <c r="G58" s="3"/>
      <c r="H58" s="3"/>
      <c r="I58" s="3"/>
      <c r="J58" s="3"/>
      <c r="K58" s="3"/>
      <c r="L58" s="3"/>
      <c r="M58" s="3"/>
      <c r="N58" s="3"/>
      <c r="O58" s="3"/>
      <c r="P58" s="3"/>
      <c r="Q58" s="3"/>
      <c r="R58" s="3"/>
      <c r="S58" s="3"/>
      <c r="T58" s="3"/>
      <c r="U58" s="3"/>
      <c r="V58" s="3"/>
      <c r="W58" s="3"/>
      <c r="X58" s="3"/>
      <c r="Y58" s="3"/>
      <c r="Z58" s="3"/>
      <c r="AA58" s="3"/>
    </row>
    <row r="59" spans="1:27" ht="15.75" customHeight="1" x14ac:dyDescent="0.25">
      <c r="A59" s="3"/>
      <c r="B59" s="3"/>
      <c r="C59" s="2"/>
      <c r="D59" s="3"/>
      <c r="E59" s="3"/>
      <c r="F59" s="3"/>
      <c r="G59" s="3"/>
      <c r="H59" s="3"/>
      <c r="I59" s="3"/>
      <c r="J59" s="3"/>
      <c r="K59" s="3"/>
      <c r="L59" s="3"/>
      <c r="M59" s="3"/>
      <c r="N59" s="3"/>
      <c r="O59" s="3"/>
      <c r="P59" s="3"/>
      <c r="Q59" s="3"/>
      <c r="R59" s="3"/>
      <c r="S59" s="3"/>
      <c r="T59" s="3"/>
      <c r="U59" s="3"/>
      <c r="V59" s="3"/>
      <c r="W59" s="3"/>
      <c r="X59" s="3"/>
      <c r="Y59" s="3"/>
      <c r="Z59" s="3"/>
      <c r="AA59" s="3"/>
    </row>
    <row r="60" spans="1:27" ht="15.75" customHeight="1" x14ac:dyDescent="0.25">
      <c r="A60" s="3"/>
      <c r="B60" s="3"/>
      <c r="C60" s="2"/>
      <c r="D60" s="3"/>
      <c r="E60" s="3"/>
      <c r="F60" s="3"/>
      <c r="G60" s="3"/>
      <c r="H60" s="3"/>
      <c r="I60" s="3"/>
      <c r="J60" s="3"/>
      <c r="K60" s="3"/>
      <c r="L60" s="3"/>
      <c r="M60" s="3"/>
      <c r="N60" s="3"/>
      <c r="O60" s="3"/>
      <c r="P60" s="3"/>
      <c r="Q60" s="3"/>
      <c r="R60" s="3"/>
      <c r="S60" s="3"/>
      <c r="T60" s="3"/>
      <c r="U60" s="3"/>
      <c r="V60" s="3"/>
      <c r="W60" s="3"/>
      <c r="X60" s="3"/>
      <c r="Y60" s="3"/>
      <c r="Z60" s="3"/>
      <c r="AA60" s="3"/>
    </row>
    <row r="61" spans="1:27" ht="15.75" customHeight="1" x14ac:dyDescent="0.25">
      <c r="A61" s="3"/>
      <c r="B61" s="3"/>
      <c r="C61" s="2"/>
      <c r="D61" s="3"/>
      <c r="E61" s="3"/>
      <c r="F61" s="3"/>
      <c r="G61" s="3"/>
      <c r="H61" s="3"/>
      <c r="I61" s="3"/>
      <c r="J61" s="3"/>
      <c r="K61" s="3"/>
      <c r="L61" s="3"/>
      <c r="M61" s="3"/>
      <c r="N61" s="3"/>
      <c r="O61" s="3"/>
      <c r="P61" s="3"/>
      <c r="Q61" s="3"/>
      <c r="R61" s="3"/>
      <c r="S61" s="3"/>
      <c r="T61" s="3"/>
      <c r="U61" s="3"/>
      <c r="V61" s="3"/>
      <c r="W61" s="3"/>
      <c r="X61" s="3"/>
      <c r="Y61" s="3"/>
      <c r="Z61" s="3"/>
      <c r="AA61" s="3"/>
    </row>
    <row r="62" spans="1:27" ht="15.75" customHeight="1" x14ac:dyDescent="0.25">
      <c r="A62" s="3"/>
      <c r="B62" s="3"/>
      <c r="C62" s="2"/>
      <c r="D62" s="3"/>
      <c r="E62" s="3"/>
      <c r="F62" s="3"/>
      <c r="G62" s="3"/>
      <c r="H62" s="3"/>
      <c r="I62" s="3"/>
      <c r="J62" s="3"/>
      <c r="K62" s="3"/>
      <c r="L62" s="3"/>
      <c r="M62" s="3"/>
      <c r="N62" s="3"/>
      <c r="O62" s="3"/>
      <c r="P62" s="3"/>
      <c r="Q62" s="3"/>
      <c r="R62" s="3"/>
      <c r="S62" s="3"/>
      <c r="T62" s="3"/>
      <c r="U62" s="3"/>
      <c r="V62" s="3"/>
      <c r="W62" s="3"/>
      <c r="X62" s="3"/>
      <c r="Y62" s="3"/>
      <c r="Z62" s="3"/>
      <c r="AA62" s="3"/>
    </row>
    <row r="63" spans="1:27" ht="15.75" customHeight="1" x14ac:dyDescent="0.25">
      <c r="A63" s="3"/>
      <c r="B63" s="3"/>
      <c r="C63" s="2"/>
      <c r="D63" s="3"/>
      <c r="E63" s="3"/>
      <c r="F63" s="3"/>
      <c r="G63" s="3"/>
      <c r="H63" s="3"/>
      <c r="I63" s="3"/>
      <c r="J63" s="3"/>
      <c r="K63" s="3"/>
      <c r="L63" s="3"/>
      <c r="M63" s="3"/>
      <c r="N63" s="3"/>
      <c r="O63" s="3"/>
      <c r="P63" s="3"/>
      <c r="Q63" s="3"/>
      <c r="R63" s="3"/>
      <c r="S63" s="3"/>
      <c r="T63" s="3"/>
      <c r="U63" s="3"/>
      <c r="V63" s="3"/>
      <c r="W63" s="3"/>
      <c r="X63" s="3"/>
      <c r="Y63" s="3"/>
      <c r="Z63" s="3"/>
      <c r="AA63" s="3"/>
    </row>
    <row r="64" spans="1:27" ht="15.75" customHeight="1" x14ac:dyDescent="0.25">
      <c r="A64" s="3"/>
      <c r="B64" s="3"/>
      <c r="C64" s="2"/>
      <c r="D64" s="3"/>
      <c r="E64" s="3"/>
      <c r="F64" s="3"/>
      <c r="G64" s="3"/>
      <c r="H64" s="3"/>
      <c r="I64" s="3"/>
      <c r="J64" s="3"/>
      <c r="K64" s="3"/>
      <c r="L64" s="3"/>
      <c r="M64" s="3"/>
      <c r="N64" s="3"/>
      <c r="O64" s="3"/>
      <c r="P64" s="3"/>
      <c r="Q64" s="3"/>
      <c r="R64" s="3"/>
      <c r="S64" s="3"/>
      <c r="T64" s="3"/>
      <c r="U64" s="3"/>
      <c r="V64" s="3"/>
      <c r="W64" s="3"/>
      <c r="X64" s="3"/>
      <c r="Y64" s="3"/>
      <c r="Z64" s="3"/>
      <c r="AA64" s="3"/>
    </row>
    <row r="65" spans="1:27" ht="15.75" customHeight="1" x14ac:dyDescent="0.25">
      <c r="A65" s="3"/>
      <c r="B65" s="3"/>
      <c r="C65" s="2"/>
      <c r="D65" s="3"/>
      <c r="E65" s="3"/>
      <c r="F65" s="3"/>
      <c r="G65" s="3"/>
      <c r="H65" s="3"/>
      <c r="I65" s="3"/>
      <c r="J65" s="3"/>
      <c r="K65" s="3"/>
      <c r="L65" s="3"/>
      <c r="M65" s="3"/>
      <c r="N65" s="3"/>
      <c r="O65" s="3"/>
      <c r="P65" s="3"/>
      <c r="Q65" s="3"/>
      <c r="R65" s="3"/>
      <c r="S65" s="3"/>
      <c r="T65" s="3"/>
      <c r="U65" s="3"/>
      <c r="V65" s="3"/>
      <c r="W65" s="3"/>
      <c r="X65" s="3"/>
      <c r="Y65" s="3"/>
      <c r="Z65" s="3"/>
      <c r="AA65" s="3"/>
    </row>
    <row r="66" spans="1:27" ht="15.75" customHeight="1" x14ac:dyDescent="0.25">
      <c r="A66" s="3"/>
      <c r="B66" s="3"/>
      <c r="C66" s="2"/>
      <c r="D66" s="3"/>
      <c r="E66" s="3"/>
      <c r="F66" s="3"/>
      <c r="G66" s="3"/>
      <c r="H66" s="3"/>
      <c r="I66" s="3"/>
      <c r="J66" s="3"/>
      <c r="K66" s="3"/>
      <c r="L66" s="3"/>
      <c r="M66" s="3"/>
      <c r="N66" s="3"/>
      <c r="O66" s="3"/>
      <c r="P66" s="3"/>
      <c r="Q66" s="3"/>
      <c r="R66" s="3"/>
      <c r="S66" s="3"/>
      <c r="T66" s="3"/>
      <c r="U66" s="3"/>
      <c r="V66" s="3"/>
      <c r="W66" s="3"/>
      <c r="X66" s="3"/>
      <c r="Y66" s="3"/>
      <c r="Z66" s="3"/>
      <c r="AA66" s="3"/>
    </row>
    <row r="67" spans="1:27" ht="15.75" customHeight="1" x14ac:dyDescent="0.25">
      <c r="A67" s="3"/>
      <c r="B67" s="3"/>
      <c r="C67" s="2"/>
      <c r="D67" s="3"/>
      <c r="E67" s="3"/>
      <c r="F67" s="3"/>
      <c r="G67" s="3"/>
      <c r="H67" s="3"/>
      <c r="I67" s="3"/>
      <c r="J67" s="3"/>
      <c r="K67" s="3"/>
      <c r="L67" s="3"/>
      <c r="M67" s="3"/>
      <c r="N67" s="3"/>
      <c r="O67" s="3"/>
      <c r="P67" s="3"/>
      <c r="Q67" s="3"/>
      <c r="R67" s="3"/>
      <c r="S67" s="3"/>
      <c r="T67" s="3"/>
      <c r="U67" s="3"/>
      <c r="V67" s="3"/>
      <c r="W67" s="3"/>
      <c r="X67" s="3"/>
      <c r="Y67" s="3"/>
      <c r="Z67" s="3"/>
      <c r="AA67" s="3"/>
    </row>
    <row r="68" spans="1:27" ht="15.75" customHeight="1" x14ac:dyDescent="0.25">
      <c r="A68" s="3"/>
      <c r="B68" s="3"/>
      <c r="C68" s="2"/>
      <c r="D68" s="3"/>
      <c r="E68" s="3"/>
      <c r="F68" s="3"/>
      <c r="G68" s="3"/>
      <c r="H68" s="3"/>
      <c r="I68" s="3"/>
      <c r="J68" s="3"/>
      <c r="K68" s="3"/>
      <c r="L68" s="3"/>
      <c r="M68" s="3"/>
      <c r="N68" s="3"/>
      <c r="O68" s="3"/>
      <c r="P68" s="3"/>
      <c r="Q68" s="3"/>
      <c r="R68" s="3"/>
      <c r="S68" s="3"/>
      <c r="T68" s="3"/>
      <c r="U68" s="3"/>
      <c r="V68" s="3"/>
      <c r="W68" s="3"/>
      <c r="X68" s="3"/>
      <c r="Y68" s="3"/>
      <c r="Z68" s="3"/>
      <c r="AA68" s="3"/>
    </row>
    <row r="69" spans="1:27" ht="15.75" customHeight="1" x14ac:dyDescent="0.25">
      <c r="A69" s="3"/>
      <c r="B69" s="3"/>
      <c r="C69" s="2"/>
      <c r="D69" s="3"/>
      <c r="E69" s="3"/>
      <c r="F69" s="3"/>
      <c r="G69" s="3"/>
      <c r="H69" s="3"/>
      <c r="I69" s="3"/>
      <c r="J69" s="3"/>
      <c r="K69" s="3"/>
      <c r="L69" s="3"/>
      <c r="M69" s="3"/>
      <c r="N69" s="3"/>
      <c r="O69" s="3"/>
      <c r="P69" s="3"/>
      <c r="Q69" s="3"/>
      <c r="R69" s="3"/>
      <c r="S69" s="3"/>
      <c r="T69" s="3"/>
      <c r="U69" s="3"/>
      <c r="V69" s="3"/>
      <c r="W69" s="3"/>
      <c r="X69" s="3"/>
      <c r="Y69" s="3"/>
      <c r="Z69" s="3"/>
      <c r="AA69" s="3"/>
    </row>
    <row r="70" spans="1:27" ht="15.75" customHeight="1" x14ac:dyDescent="0.25">
      <c r="A70" s="3"/>
      <c r="B70" s="3"/>
      <c r="C70" s="2"/>
      <c r="D70" s="3"/>
      <c r="E70" s="3"/>
      <c r="F70" s="3"/>
      <c r="G70" s="3"/>
      <c r="H70" s="3"/>
      <c r="I70" s="3"/>
      <c r="J70" s="3"/>
      <c r="K70" s="3"/>
      <c r="L70" s="3"/>
      <c r="M70" s="3"/>
      <c r="N70" s="3"/>
      <c r="O70" s="3"/>
      <c r="P70" s="3"/>
      <c r="Q70" s="3"/>
      <c r="R70" s="3"/>
      <c r="S70" s="3"/>
      <c r="T70" s="3"/>
      <c r="U70" s="3"/>
      <c r="V70" s="3"/>
      <c r="W70" s="3"/>
      <c r="X70" s="3"/>
      <c r="Y70" s="3"/>
      <c r="Z70" s="3"/>
      <c r="AA70" s="3"/>
    </row>
    <row r="71" spans="1:27" ht="15.75" customHeight="1" x14ac:dyDescent="0.25">
      <c r="A71" s="3"/>
      <c r="B71" s="3"/>
      <c r="C71" s="2"/>
      <c r="D71" s="3"/>
      <c r="E71" s="3"/>
      <c r="F71" s="3"/>
      <c r="G71" s="3"/>
      <c r="H71" s="3"/>
      <c r="I71" s="3"/>
      <c r="J71" s="3"/>
      <c r="K71" s="3"/>
      <c r="L71" s="3"/>
      <c r="M71" s="3"/>
      <c r="N71" s="3"/>
      <c r="O71" s="3"/>
      <c r="P71" s="3"/>
      <c r="Q71" s="3"/>
      <c r="R71" s="3"/>
      <c r="S71" s="3"/>
      <c r="T71" s="3"/>
      <c r="U71" s="3"/>
      <c r="V71" s="3"/>
      <c r="W71" s="3"/>
      <c r="X71" s="3"/>
      <c r="Y71" s="3"/>
      <c r="Z71" s="3"/>
      <c r="AA71" s="3"/>
    </row>
    <row r="72" spans="1:27" ht="15.75" customHeight="1" x14ac:dyDescent="0.25">
      <c r="A72" s="3"/>
      <c r="B72" s="3"/>
      <c r="C72" s="2"/>
      <c r="D72" s="3"/>
      <c r="E72" s="3"/>
      <c r="F72" s="3"/>
      <c r="G72" s="3"/>
      <c r="H72" s="3"/>
      <c r="I72" s="3"/>
      <c r="J72" s="3"/>
      <c r="K72" s="3"/>
      <c r="L72" s="3"/>
      <c r="M72" s="3"/>
      <c r="N72" s="3"/>
      <c r="O72" s="3"/>
      <c r="P72" s="3"/>
      <c r="Q72" s="3"/>
      <c r="R72" s="3"/>
      <c r="S72" s="3"/>
      <c r="T72" s="3"/>
      <c r="U72" s="3"/>
      <c r="V72" s="3"/>
      <c r="W72" s="3"/>
      <c r="X72" s="3"/>
      <c r="Y72" s="3"/>
      <c r="Z72" s="3"/>
      <c r="AA72" s="3"/>
    </row>
    <row r="73" spans="1:27" ht="15.75" customHeight="1" x14ac:dyDescent="0.25">
      <c r="A73" s="3"/>
      <c r="B73" s="3"/>
      <c r="C73" s="2"/>
      <c r="D73" s="3"/>
      <c r="E73" s="3"/>
      <c r="F73" s="3"/>
      <c r="G73" s="3"/>
      <c r="H73" s="3"/>
      <c r="I73" s="3"/>
      <c r="J73" s="3"/>
      <c r="K73" s="3"/>
      <c r="L73" s="3"/>
      <c r="M73" s="3"/>
      <c r="N73" s="3"/>
      <c r="O73" s="3"/>
      <c r="P73" s="3"/>
      <c r="Q73" s="3"/>
      <c r="R73" s="3"/>
      <c r="S73" s="3"/>
      <c r="T73" s="3"/>
      <c r="U73" s="3"/>
      <c r="V73" s="3"/>
      <c r="W73" s="3"/>
      <c r="X73" s="3"/>
      <c r="Y73" s="3"/>
      <c r="Z73" s="3"/>
      <c r="AA73" s="3"/>
    </row>
    <row r="74" spans="1:27" ht="15.75" customHeight="1" x14ac:dyDescent="0.25">
      <c r="A74" s="3"/>
      <c r="B74" s="3"/>
      <c r="C74" s="2"/>
      <c r="D74" s="3"/>
      <c r="E74" s="3"/>
      <c r="F74" s="3"/>
      <c r="G74" s="3"/>
      <c r="H74" s="3"/>
      <c r="I74" s="3"/>
      <c r="J74" s="3"/>
      <c r="K74" s="3"/>
      <c r="L74" s="3"/>
      <c r="M74" s="3"/>
      <c r="N74" s="3"/>
      <c r="O74" s="3"/>
      <c r="P74" s="3"/>
      <c r="Q74" s="3"/>
      <c r="R74" s="3"/>
      <c r="S74" s="3"/>
      <c r="T74" s="3"/>
      <c r="U74" s="3"/>
      <c r="V74" s="3"/>
      <c r="W74" s="3"/>
      <c r="X74" s="3"/>
      <c r="Y74" s="3"/>
      <c r="Z74" s="3"/>
      <c r="AA74" s="3"/>
    </row>
    <row r="75" spans="1:27" ht="15.75" customHeight="1" x14ac:dyDescent="0.25">
      <c r="A75" s="3"/>
      <c r="B75" s="3"/>
      <c r="C75" s="2"/>
      <c r="D75" s="3"/>
      <c r="E75" s="3"/>
      <c r="F75" s="3"/>
      <c r="G75" s="3"/>
      <c r="H75" s="3"/>
      <c r="I75" s="3"/>
      <c r="J75" s="3"/>
      <c r="K75" s="3"/>
      <c r="L75" s="3"/>
      <c r="M75" s="3"/>
      <c r="N75" s="3"/>
      <c r="O75" s="3"/>
      <c r="P75" s="3"/>
      <c r="Q75" s="3"/>
      <c r="R75" s="3"/>
      <c r="S75" s="3"/>
      <c r="T75" s="3"/>
      <c r="U75" s="3"/>
      <c r="V75" s="3"/>
      <c r="W75" s="3"/>
      <c r="X75" s="3"/>
      <c r="Y75" s="3"/>
      <c r="Z75" s="3"/>
      <c r="AA75" s="3"/>
    </row>
    <row r="76" spans="1:27" ht="15.75" customHeight="1" x14ac:dyDescent="0.25">
      <c r="A76" s="3"/>
      <c r="B76" s="3"/>
      <c r="C76" s="2"/>
      <c r="D76" s="3"/>
      <c r="E76" s="3"/>
      <c r="F76" s="3"/>
      <c r="G76" s="3"/>
      <c r="H76" s="3"/>
      <c r="I76" s="3"/>
      <c r="J76" s="3"/>
      <c r="K76" s="3"/>
      <c r="L76" s="3"/>
      <c r="M76" s="3"/>
      <c r="N76" s="3"/>
      <c r="O76" s="3"/>
      <c r="P76" s="3"/>
      <c r="Q76" s="3"/>
      <c r="R76" s="3"/>
      <c r="S76" s="3"/>
      <c r="T76" s="3"/>
      <c r="U76" s="3"/>
      <c r="V76" s="3"/>
      <c r="W76" s="3"/>
      <c r="X76" s="3"/>
      <c r="Y76" s="3"/>
      <c r="Z76" s="3"/>
      <c r="AA76" s="3"/>
    </row>
    <row r="77" spans="1:27" ht="15.75" customHeight="1" x14ac:dyDescent="0.25">
      <c r="A77" s="3"/>
      <c r="B77" s="3"/>
      <c r="C77" s="2"/>
      <c r="D77" s="3"/>
      <c r="E77" s="3"/>
      <c r="F77" s="3"/>
      <c r="G77" s="3"/>
      <c r="H77" s="3"/>
      <c r="I77" s="3"/>
      <c r="J77" s="3"/>
      <c r="K77" s="3"/>
      <c r="L77" s="3"/>
      <c r="M77" s="3"/>
      <c r="N77" s="3"/>
      <c r="O77" s="3"/>
      <c r="P77" s="3"/>
      <c r="Q77" s="3"/>
      <c r="R77" s="3"/>
      <c r="S77" s="3"/>
      <c r="T77" s="3"/>
      <c r="U77" s="3"/>
      <c r="V77" s="3"/>
      <c r="W77" s="3"/>
      <c r="X77" s="3"/>
      <c r="Y77" s="3"/>
      <c r="Z77" s="3"/>
      <c r="AA77" s="3"/>
    </row>
    <row r="78" spans="1:27" ht="15.75" customHeight="1" x14ac:dyDescent="0.25">
      <c r="A78" s="3"/>
      <c r="B78" s="3"/>
      <c r="C78" s="2"/>
      <c r="D78" s="3"/>
      <c r="E78" s="3"/>
      <c r="F78" s="3"/>
      <c r="G78" s="3"/>
      <c r="H78" s="3"/>
      <c r="I78" s="3"/>
      <c r="J78" s="3"/>
      <c r="K78" s="3"/>
      <c r="L78" s="3"/>
      <c r="M78" s="3"/>
      <c r="N78" s="3"/>
      <c r="O78" s="3"/>
      <c r="P78" s="3"/>
      <c r="Q78" s="3"/>
      <c r="R78" s="3"/>
      <c r="S78" s="3"/>
      <c r="T78" s="3"/>
      <c r="U78" s="3"/>
      <c r="V78" s="3"/>
      <c r="W78" s="3"/>
      <c r="X78" s="3"/>
      <c r="Y78" s="3"/>
      <c r="Z78" s="3"/>
      <c r="AA78" s="3"/>
    </row>
    <row r="79" spans="1:27" ht="15.75" customHeight="1" x14ac:dyDescent="0.25">
      <c r="A79" s="3"/>
      <c r="B79" s="3"/>
      <c r="C79" s="2"/>
      <c r="D79" s="3"/>
      <c r="E79" s="3"/>
      <c r="F79" s="3"/>
      <c r="G79" s="3"/>
      <c r="H79" s="3"/>
      <c r="I79" s="3"/>
      <c r="J79" s="3"/>
      <c r="K79" s="3"/>
      <c r="L79" s="3"/>
      <c r="M79" s="3"/>
      <c r="N79" s="3"/>
      <c r="O79" s="3"/>
      <c r="P79" s="3"/>
      <c r="Q79" s="3"/>
      <c r="R79" s="3"/>
      <c r="S79" s="3"/>
      <c r="T79" s="3"/>
      <c r="U79" s="3"/>
      <c r="V79" s="3"/>
      <c r="W79" s="3"/>
      <c r="X79" s="3"/>
      <c r="Y79" s="3"/>
      <c r="Z79" s="3"/>
      <c r="AA79" s="3"/>
    </row>
    <row r="80" spans="1:27" ht="15.75" customHeight="1" x14ac:dyDescent="0.25">
      <c r="A80" s="3"/>
      <c r="B80" s="3"/>
      <c r="C80" s="2"/>
      <c r="D80" s="3"/>
      <c r="E80" s="3"/>
      <c r="F80" s="3"/>
      <c r="G80" s="3"/>
      <c r="H80" s="3"/>
      <c r="I80" s="3"/>
      <c r="J80" s="3"/>
      <c r="K80" s="3"/>
      <c r="L80" s="3"/>
      <c r="M80" s="3"/>
      <c r="N80" s="3"/>
      <c r="O80" s="3"/>
      <c r="P80" s="3"/>
      <c r="Q80" s="3"/>
      <c r="R80" s="3"/>
      <c r="S80" s="3"/>
      <c r="T80" s="3"/>
      <c r="U80" s="3"/>
      <c r="V80" s="3"/>
      <c r="W80" s="3"/>
      <c r="X80" s="3"/>
      <c r="Y80" s="3"/>
      <c r="Z80" s="3"/>
      <c r="AA80" s="3"/>
    </row>
    <row r="81" spans="1:27" ht="15.75" customHeight="1" x14ac:dyDescent="0.25">
      <c r="A81" s="3"/>
      <c r="B81" s="3"/>
      <c r="C81" s="2"/>
      <c r="D81" s="3"/>
      <c r="E81" s="3"/>
      <c r="F81" s="3"/>
      <c r="G81" s="3"/>
      <c r="H81" s="3"/>
      <c r="I81" s="3"/>
      <c r="J81" s="3"/>
      <c r="K81" s="3"/>
      <c r="L81" s="3"/>
      <c r="M81" s="3"/>
      <c r="N81" s="3"/>
      <c r="O81" s="3"/>
      <c r="P81" s="3"/>
      <c r="Q81" s="3"/>
      <c r="R81" s="3"/>
      <c r="S81" s="3"/>
      <c r="T81" s="3"/>
      <c r="U81" s="3"/>
      <c r="V81" s="3"/>
      <c r="W81" s="3"/>
      <c r="X81" s="3"/>
      <c r="Y81" s="3"/>
      <c r="Z81" s="3"/>
      <c r="AA81" s="3"/>
    </row>
    <row r="82" spans="1:27" ht="15.75" customHeight="1" x14ac:dyDescent="0.25">
      <c r="A82" s="3"/>
      <c r="B82" s="3"/>
      <c r="C82" s="2"/>
      <c r="D82" s="3"/>
      <c r="E82" s="3"/>
      <c r="F82" s="3"/>
      <c r="G82" s="3"/>
      <c r="H82" s="3"/>
      <c r="I82" s="3"/>
      <c r="J82" s="3"/>
      <c r="K82" s="3"/>
      <c r="L82" s="3"/>
      <c r="M82" s="3"/>
      <c r="N82" s="3"/>
      <c r="O82" s="3"/>
      <c r="P82" s="3"/>
      <c r="Q82" s="3"/>
      <c r="R82" s="3"/>
      <c r="S82" s="3"/>
      <c r="T82" s="3"/>
      <c r="U82" s="3"/>
      <c r="V82" s="3"/>
      <c r="W82" s="3"/>
      <c r="X82" s="3"/>
      <c r="Y82" s="3"/>
      <c r="Z82" s="3"/>
      <c r="AA82" s="3"/>
    </row>
    <row r="83" spans="1:27" ht="15.75" customHeight="1" x14ac:dyDescent="0.25">
      <c r="A83" s="3"/>
      <c r="B83" s="3"/>
      <c r="C83" s="2"/>
      <c r="D83" s="3"/>
      <c r="E83" s="3"/>
      <c r="F83" s="3"/>
      <c r="G83" s="3"/>
      <c r="H83" s="3"/>
      <c r="I83" s="3"/>
      <c r="J83" s="3"/>
      <c r="K83" s="3"/>
      <c r="L83" s="3"/>
      <c r="M83" s="3"/>
      <c r="N83" s="3"/>
      <c r="O83" s="3"/>
      <c r="P83" s="3"/>
      <c r="Q83" s="3"/>
      <c r="R83" s="3"/>
      <c r="S83" s="3"/>
      <c r="T83" s="3"/>
      <c r="U83" s="3"/>
      <c r="V83" s="3"/>
      <c r="W83" s="3"/>
      <c r="X83" s="3"/>
      <c r="Y83" s="3"/>
      <c r="Z83" s="3"/>
      <c r="AA83" s="3"/>
    </row>
    <row r="84" spans="1:27" ht="15.75" customHeight="1" x14ac:dyDescent="0.25">
      <c r="A84" s="3"/>
      <c r="B84" s="3"/>
      <c r="C84" s="2"/>
      <c r="D84" s="3"/>
      <c r="E84" s="3"/>
      <c r="F84" s="3"/>
      <c r="G84" s="3"/>
      <c r="H84" s="3"/>
      <c r="I84" s="3"/>
      <c r="J84" s="3"/>
      <c r="K84" s="3"/>
      <c r="L84" s="3"/>
      <c r="M84" s="3"/>
      <c r="N84" s="3"/>
      <c r="O84" s="3"/>
      <c r="P84" s="3"/>
      <c r="Q84" s="3"/>
      <c r="R84" s="3"/>
      <c r="S84" s="3"/>
      <c r="T84" s="3"/>
      <c r="U84" s="3"/>
      <c r="V84" s="3"/>
      <c r="W84" s="3"/>
      <c r="X84" s="3"/>
      <c r="Y84" s="3"/>
      <c r="Z84" s="3"/>
      <c r="AA84" s="3"/>
    </row>
    <row r="85" spans="1:27" ht="15.75" customHeight="1" x14ac:dyDescent="0.25">
      <c r="A85" s="3"/>
      <c r="B85" s="3"/>
      <c r="C85" s="2"/>
      <c r="D85" s="3"/>
      <c r="E85" s="3"/>
      <c r="F85" s="3"/>
      <c r="G85" s="3"/>
      <c r="H85" s="3"/>
      <c r="I85" s="3"/>
      <c r="J85" s="3"/>
      <c r="K85" s="3"/>
      <c r="L85" s="3"/>
      <c r="M85" s="3"/>
      <c r="N85" s="3"/>
      <c r="O85" s="3"/>
      <c r="P85" s="3"/>
      <c r="Q85" s="3"/>
      <c r="R85" s="3"/>
      <c r="S85" s="3"/>
      <c r="T85" s="3"/>
      <c r="U85" s="3"/>
      <c r="V85" s="3"/>
      <c r="W85" s="3"/>
      <c r="X85" s="3"/>
      <c r="Y85" s="3"/>
      <c r="Z85" s="3"/>
      <c r="AA85" s="3"/>
    </row>
    <row r="86" spans="1:27" ht="15.75" customHeight="1" x14ac:dyDescent="0.25">
      <c r="A86" s="3"/>
      <c r="B86" s="3"/>
      <c r="C86" s="2"/>
      <c r="D86" s="3"/>
      <c r="E86" s="3"/>
      <c r="F86" s="3"/>
      <c r="G86" s="3"/>
      <c r="H86" s="3"/>
      <c r="I86" s="3"/>
      <c r="J86" s="3"/>
      <c r="K86" s="3"/>
      <c r="L86" s="3"/>
      <c r="M86" s="3"/>
      <c r="N86" s="3"/>
      <c r="O86" s="3"/>
      <c r="P86" s="3"/>
      <c r="Q86" s="3"/>
      <c r="R86" s="3"/>
      <c r="S86" s="3"/>
      <c r="T86" s="3"/>
      <c r="U86" s="3"/>
      <c r="V86" s="3"/>
      <c r="W86" s="3"/>
      <c r="X86" s="3"/>
      <c r="Y86" s="3"/>
      <c r="Z86" s="3"/>
      <c r="AA86" s="3"/>
    </row>
    <row r="87" spans="1:27" ht="15.75" customHeight="1" x14ac:dyDescent="0.25">
      <c r="A87" s="3"/>
      <c r="B87" s="3"/>
      <c r="C87" s="2"/>
      <c r="D87" s="3"/>
      <c r="E87" s="3"/>
      <c r="F87" s="3"/>
      <c r="G87" s="3"/>
      <c r="H87" s="3"/>
      <c r="I87" s="3"/>
      <c r="J87" s="3"/>
      <c r="K87" s="3"/>
      <c r="L87" s="3"/>
      <c r="M87" s="3"/>
      <c r="N87" s="3"/>
      <c r="O87" s="3"/>
      <c r="P87" s="3"/>
      <c r="Q87" s="3"/>
      <c r="R87" s="3"/>
      <c r="S87" s="3"/>
      <c r="T87" s="3"/>
      <c r="U87" s="3"/>
      <c r="V87" s="3"/>
      <c r="W87" s="3"/>
      <c r="X87" s="3"/>
      <c r="Y87" s="3"/>
      <c r="Z87" s="3"/>
      <c r="AA87" s="3"/>
    </row>
    <row r="88" spans="1:27" ht="15.75" customHeight="1" x14ac:dyDescent="0.25">
      <c r="A88" s="3"/>
      <c r="B88" s="3"/>
      <c r="C88" s="2"/>
      <c r="D88" s="3"/>
      <c r="E88" s="3"/>
      <c r="F88" s="3"/>
      <c r="G88" s="3"/>
      <c r="H88" s="3"/>
      <c r="I88" s="3"/>
      <c r="J88" s="3"/>
      <c r="K88" s="3"/>
      <c r="L88" s="3"/>
      <c r="M88" s="3"/>
      <c r="N88" s="3"/>
      <c r="O88" s="3"/>
      <c r="P88" s="3"/>
      <c r="Q88" s="3"/>
      <c r="R88" s="3"/>
      <c r="S88" s="3"/>
      <c r="T88" s="3"/>
      <c r="U88" s="3"/>
      <c r="V88" s="3"/>
      <c r="W88" s="3"/>
      <c r="X88" s="3"/>
      <c r="Y88" s="3"/>
      <c r="Z88" s="3"/>
      <c r="AA88" s="3"/>
    </row>
    <row r="89" spans="1:27" ht="15.75" customHeight="1" x14ac:dyDescent="0.25">
      <c r="A89" s="3"/>
      <c r="B89" s="3"/>
      <c r="C89" s="2"/>
      <c r="D89" s="3"/>
      <c r="E89" s="3"/>
      <c r="F89" s="3"/>
      <c r="G89" s="3"/>
      <c r="H89" s="3"/>
      <c r="I89" s="3"/>
      <c r="J89" s="3"/>
      <c r="K89" s="3"/>
      <c r="L89" s="3"/>
      <c r="M89" s="3"/>
      <c r="N89" s="3"/>
      <c r="O89" s="3"/>
      <c r="P89" s="3"/>
      <c r="Q89" s="3"/>
      <c r="R89" s="3"/>
      <c r="S89" s="3"/>
      <c r="T89" s="3"/>
      <c r="U89" s="3"/>
      <c r="V89" s="3"/>
      <c r="W89" s="3"/>
      <c r="X89" s="3"/>
      <c r="Y89" s="3"/>
      <c r="Z89" s="3"/>
      <c r="AA89" s="3"/>
    </row>
    <row r="90" spans="1:27" ht="15.75" customHeight="1" x14ac:dyDescent="0.25">
      <c r="A90" s="3"/>
      <c r="B90" s="3"/>
      <c r="C90" s="2"/>
      <c r="D90" s="3"/>
      <c r="E90" s="3"/>
      <c r="F90" s="3"/>
      <c r="G90" s="3"/>
      <c r="H90" s="3"/>
      <c r="I90" s="3"/>
      <c r="J90" s="3"/>
      <c r="K90" s="3"/>
      <c r="L90" s="3"/>
      <c r="M90" s="3"/>
      <c r="N90" s="3"/>
      <c r="O90" s="3"/>
      <c r="P90" s="3"/>
      <c r="Q90" s="3"/>
      <c r="R90" s="3"/>
      <c r="S90" s="3"/>
      <c r="T90" s="3"/>
      <c r="U90" s="3"/>
      <c r="V90" s="3"/>
      <c r="W90" s="3"/>
      <c r="X90" s="3"/>
      <c r="Y90" s="3"/>
      <c r="Z90" s="3"/>
      <c r="AA90" s="3"/>
    </row>
    <row r="91" spans="1:27" ht="15.75" customHeight="1" x14ac:dyDescent="0.25">
      <c r="A91" s="3"/>
      <c r="B91" s="3"/>
      <c r="C91" s="2"/>
      <c r="D91" s="3"/>
      <c r="E91" s="3"/>
      <c r="F91" s="3"/>
      <c r="G91" s="3"/>
      <c r="H91" s="3"/>
      <c r="I91" s="3"/>
      <c r="J91" s="3"/>
      <c r="K91" s="3"/>
      <c r="L91" s="3"/>
      <c r="M91" s="3"/>
      <c r="N91" s="3"/>
      <c r="O91" s="3"/>
      <c r="P91" s="3"/>
      <c r="Q91" s="3"/>
      <c r="R91" s="3"/>
      <c r="S91" s="3"/>
      <c r="T91" s="3"/>
      <c r="U91" s="3"/>
      <c r="V91" s="3"/>
      <c r="W91" s="3"/>
      <c r="X91" s="3"/>
      <c r="Y91" s="3"/>
      <c r="Z91" s="3"/>
      <c r="AA91" s="3"/>
    </row>
    <row r="92" spans="1:27" ht="15.75" customHeight="1" x14ac:dyDescent="0.25">
      <c r="A92" s="3"/>
      <c r="B92" s="3"/>
      <c r="C92" s="2"/>
      <c r="D92" s="3"/>
      <c r="E92" s="3"/>
      <c r="F92" s="3"/>
      <c r="G92" s="3"/>
      <c r="H92" s="3"/>
      <c r="I92" s="3"/>
      <c r="J92" s="3"/>
      <c r="K92" s="3"/>
      <c r="L92" s="3"/>
      <c r="M92" s="3"/>
      <c r="N92" s="3"/>
      <c r="O92" s="3"/>
      <c r="P92" s="3"/>
      <c r="Q92" s="3"/>
      <c r="R92" s="3"/>
      <c r="S92" s="3"/>
      <c r="T92" s="3"/>
      <c r="U92" s="3"/>
      <c r="V92" s="3"/>
      <c r="W92" s="3"/>
      <c r="X92" s="3"/>
      <c r="Y92" s="3"/>
      <c r="Z92" s="3"/>
      <c r="AA92" s="3"/>
    </row>
    <row r="93" spans="1:27" ht="15.75" customHeight="1" x14ac:dyDescent="0.25">
      <c r="A93" s="3"/>
      <c r="B93" s="3"/>
      <c r="C93" s="2"/>
      <c r="D93" s="3"/>
      <c r="E93" s="3"/>
      <c r="F93" s="3"/>
      <c r="G93" s="3"/>
      <c r="H93" s="3"/>
      <c r="I93" s="3"/>
      <c r="J93" s="3"/>
      <c r="K93" s="3"/>
      <c r="L93" s="3"/>
      <c r="M93" s="3"/>
      <c r="N93" s="3"/>
      <c r="O93" s="3"/>
      <c r="P93" s="3"/>
      <c r="Q93" s="3"/>
      <c r="R93" s="3"/>
      <c r="S93" s="3"/>
      <c r="T93" s="3"/>
      <c r="U93" s="3"/>
      <c r="V93" s="3"/>
      <c r="W93" s="3"/>
      <c r="X93" s="3"/>
      <c r="Y93" s="3"/>
      <c r="Z93" s="3"/>
      <c r="AA93" s="3"/>
    </row>
    <row r="94" spans="1:27" ht="15.75" customHeight="1" x14ac:dyDescent="0.25">
      <c r="A94" s="3"/>
      <c r="B94" s="3"/>
      <c r="C94" s="2"/>
      <c r="D94" s="3"/>
      <c r="E94" s="3"/>
      <c r="F94" s="3"/>
      <c r="G94" s="3"/>
      <c r="H94" s="3"/>
      <c r="I94" s="3"/>
      <c r="J94" s="3"/>
      <c r="K94" s="3"/>
      <c r="L94" s="3"/>
      <c r="M94" s="3"/>
      <c r="N94" s="3"/>
      <c r="O94" s="3"/>
      <c r="P94" s="3"/>
      <c r="Q94" s="3"/>
      <c r="R94" s="3"/>
      <c r="S94" s="3"/>
      <c r="T94" s="3"/>
      <c r="U94" s="3"/>
      <c r="V94" s="3"/>
      <c r="W94" s="3"/>
      <c r="X94" s="3"/>
      <c r="Y94" s="3"/>
      <c r="Z94" s="3"/>
      <c r="AA94" s="3"/>
    </row>
    <row r="95" spans="1:27" ht="15.75" customHeight="1" x14ac:dyDescent="0.25">
      <c r="A95" s="3"/>
      <c r="B95" s="3"/>
      <c r="C95" s="2"/>
      <c r="D95" s="3"/>
      <c r="E95" s="3"/>
      <c r="F95" s="3"/>
      <c r="G95" s="3"/>
      <c r="H95" s="3"/>
      <c r="I95" s="3"/>
      <c r="J95" s="3"/>
      <c r="K95" s="3"/>
      <c r="L95" s="3"/>
      <c r="M95" s="3"/>
      <c r="N95" s="3"/>
      <c r="O95" s="3"/>
      <c r="P95" s="3"/>
      <c r="Q95" s="3"/>
      <c r="R95" s="3"/>
      <c r="S95" s="3"/>
      <c r="T95" s="3"/>
      <c r="U95" s="3"/>
      <c r="V95" s="3"/>
      <c r="W95" s="3"/>
      <c r="X95" s="3"/>
      <c r="Y95" s="3"/>
      <c r="Z95" s="3"/>
      <c r="AA95" s="3"/>
    </row>
    <row r="96" spans="1:27" ht="15.75" customHeight="1" x14ac:dyDescent="0.25">
      <c r="A96" s="3"/>
      <c r="B96" s="3"/>
      <c r="C96" s="2"/>
      <c r="D96" s="3"/>
      <c r="E96" s="3"/>
      <c r="F96" s="3"/>
      <c r="G96" s="3"/>
      <c r="H96" s="3"/>
      <c r="I96" s="3"/>
      <c r="J96" s="3"/>
      <c r="K96" s="3"/>
      <c r="L96" s="3"/>
      <c r="M96" s="3"/>
      <c r="N96" s="3"/>
      <c r="O96" s="3"/>
      <c r="P96" s="3"/>
      <c r="Q96" s="3"/>
      <c r="R96" s="3"/>
      <c r="S96" s="3"/>
      <c r="T96" s="3"/>
      <c r="U96" s="3"/>
      <c r="V96" s="3"/>
      <c r="W96" s="3"/>
      <c r="X96" s="3"/>
      <c r="Y96" s="3"/>
      <c r="Z96" s="3"/>
      <c r="AA96" s="3"/>
    </row>
    <row r="97" spans="1:27" ht="15.75" customHeight="1" x14ac:dyDescent="0.25">
      <c r="A97" s="3"/>
      <c r="B97" s="3"/>
      <c r="C97" s="2"/>
      <c r="D97" s="3"/>
      <c r="E97" s="3"/>
      <c r="F97" s="3"/>
      <c r="G97" s="3"/>
      <c r="H97" s="3"/>
      <c r="I97" s="3"/>
      <c r="J97" s="3"/>
      <c r="K97" s="3"/>
      <c r="L97" s="3"/>
      <c r="M97" s="3"/>
      <c r="N97" s="3"/>
      <c r="O97" s="3"/>
      <c r="P97" s="3"/>
      <c r="Q97" s="3"/>
      <c r="R97" s="3"/>
      <c r="S97" s="3"/>
      <c r="T97" s="3"/>
      <c r="U97" s="3"/>
      <c r="V97" s="3"/>
      <c r="W97" s="3"/>
      <c r="X97" s="3"/>
      <c r="Y97" s="3"/>
      <c r="Z97" s="3"/>
      <c r="AA97" s="3"/>
    </row>
    <row r="98" spans="1:27" ht="15.75" customHeight="1" x14ac:dyDescent="0.25">
      <c r="A98" s="3"/>
      <c r="B98" s="3"/>
      <c r="C98" s="2"/>
      <c r="D98" s="3"/>
      <c r="E98" s="3"/>
      <c r="F98" s="3"/>
      <c r="G98" s="3"/>
      <c r="H98" s="3"/>
      <c r="I98" s="3"/>
      <c r="J98" s="3"/>
      <c r="K98" s="3"/>
      <c r="L98" s="3"/>
      <c r="M98" s="3"/>
      <c r="N98" s="3"/>
      <c r="O98" s="3"/>
      <c r="P98" s="3"/>
      <c r="Q98" s="3"/>
      <c r="R98" s="3"/>
      <c r="S98" s="3"/>
      <c r="T98" s="3"/>
      <c r="U98" s="3"/>
      <c r="V98" s="3"/>
      <c r="W98" s="3"/>
      <c r="X98" s="3"/>
      <c r="Y98" s="3"/>
      <c r="Z98" s="3"/>
      <c r="AA98" s="3"/>
    </row>
    <row r="99" spans="1:27" ht="15.75" customHeight="1" x14ac:dyDescent="0.25">
      <c r="A99" s="3"/>
      <c r="B99" s="3"/>
      <c r="C99" s="2"/>
      <c r="D99" s="3"/>
      <c r="E99" s="3"/>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25">
      <c r="A100" s="3"/>
      <c r="B100" s="3"/>
      <c r="C100" s="2"/>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25">
      <c r="A101" s="3"/>
      <c r="B101" s="3"/>
      <c r="C101" s="2"/>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25">
      <c r="A102" s="3"/>
      <c r="B102" s="3"/>
      <c r="C102" s="2"/>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25">
      <c r="A103" s="3"/>
      <c r="B103" s="3"/>
      <c r="C103" s="2"/>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25">
      <c r="A104" s="3"/>
      <c r="B104" s="3"/>
      <c r="C104" s="2"/>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25">
      <c r="A105" s="3"/>
      <c r="B105" s="3"/>
      <c r="C105" s="2"/>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25">
      <c r="A106" s="3"/>
      <c r="B106" s="3"/>
      <c r="C106" s="2"/>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25">
      <c r="A107" s="3"/>
      <c r="B107" s="3"/>
      <c r="C107" s="2"/>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25">
      <c r="A108" s="3"/>
      <c r="B108" s="3"/>
      <c r="C108" s="2"/>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25">
      <c r="A109" s="3"/>
      <c r="B109" s="3"/>
      <c r="C109" s="2"/>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25">
      <c r="A110" s="3"/>
      <c r="B110" s="3"/>
      <c r="C110" s="2"/>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25">
      <c r="A111" s="3"/>
      <c r="B111" s="3"/>
      <c r="C111" s="2"/>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25">
      <c r="A112" s="3"/>
      <c r="B112" s="3"/>
      <c r="C112" s="2"/>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25">
      <c r="A113" s="3"/>
      <c r="B113" s="3"/>
      <c r="C113" s="2"/>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25">
      <c r="A114" s="3"/>
      <c r="B114" s="3"/>
      <c r="C114" s="2"/>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25">
      <c r="A115" s="3"/>
      <c r="B115" s="3"/>
      <c r="C115" s="2"/>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25">
      <c r="A116" s="3"/>
      <c r="B116" s="3"/>
      <c r="C116" s="2"/>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25">
      <c r="A117" s="3"/>
      <c r="B117" s="3"/>
      <c r="C117" s="2"/>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25">
      <c r="A118" s="3"/>
      <c r="B118" s="3"/>
      <c r="C118" s="2"/>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25">
      <c r="A119" s="3"/>
      <c r="B119" s="3"/>
      <c r="C119" s="2"/>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25">
      <c r="A120" s="3"/>
      <c r="B120" s="3"/>
      <c r="C120" s="2"/>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25">
      <c r="A121" s="3"/>
      <c r="B121" s="3"/>
      <c r="C121" s="2"/>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25">
      <c r="A122" s="3"/>
      <c r="B122" s="3"/>
      <c r="C122" s="2"/>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25">
      <c r="A123" s="3"/>
      <c r="B123" s="3"/>
      <c r="C123" s="2"/>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25">
      <c r="A124" s="3"/>
      <c r="B124" s="3"/>
      <c r="C124" s="2"/>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25">
      <c r="A125" s="3"/>
      <c r="B125" s="3"/>
      <c r="C125" s="2"/>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25">
      <c r="A126" s="3"/>
      <c r="B126" s="3"/>
      <c r="C126" s="2"/>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25">
      <c r="A127" s="3"/>
      <c r="B127" s="3"/>
      <c r="C127" s="2"/>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25">
      <c r="A128" s="3"/>
      <c r="B128" s="3"/>
      <c r="C128" s="2"/>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25">
      <c r="A129" s="3"/>
      <c r="B129" s="3"/>
      <c r="C129" s="2"/>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25">
      <c r="A130" s="3"/>
      <c r="B130" s="3"/>
      <c r="C130" s="2"/>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25">
      <c r="A131" s="3"/>
      <c r="B131" s="3"/>
      <c r="C131" s="2"/>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25">
      <c r="A132" s="3"/>
      <c r="B132" s="3"/>
      <c r="C132" s="2"/>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25">
      <c r="A133" s="3"/>
      <c r="B133" s="3"/>
      <c r="C133" s="2"/>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25">
      <c r="A134" s="3"/>
      <c r="B134" s="3"/>
      <c r="C134" s="2"/>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25">
      <c r="A135" s="3"/>
      <c r="B135" s="3"/>
      <c r="C135" s="2"/>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25">
      <c r="A136" s="3"/>
      <c r="B136" s="3"/>
      <c r="C136" s="2"/>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25">
      <c r="A137" s="3"/>
      <c r="B137" s="3"/>
      <c r="C137" s="2"/>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25">
      <c r="A138" s="3"/>
      <c r="B138" s="3"/>
      <c r="C138" s="2"/>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25">
      <c r="A139" s="3"/>
      <c r="B139" s="3"/>
      <c r="C139" s="2"/>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25">
      <c r="A140" s="3"/>
      <c r="B140" s="3"/>
      <c r="C140" s="2"/>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25">
      <c r="A141" s="3"/>
      <c r="B141" s="3"/>
      <c r="C141" s="2"/>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25">
      <c r="A142" s="3"/>
      <c r="B142" s="3"/>
      <c r="C142" s="2"/>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25">
      <c r="A143" s="3"/>
      <c r="B143" s="3"/>
      <c r="C143" s="2"/>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25">
      <c r="A144" s="3"/>
      <c r="B144" s="3"/>
      <c r="C144" s="2"/>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25">
      <c r="A145" s="3"/>
      <c r="B145" s="3"/>
      <c r="C145" s="2"/>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25">
      <c r="A146" s="3"/>
      <c r="B146" s="3"/>
      <c r="C146" s="2"/>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25">
      <c r="A147" s="3"/>
      <c r="B147" s="3"/>
      <c r="C147" s="2"/>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25">
      <c r="A148" s="3"/>
      <c r="B148" s="3"/>
      <c r="C148" s="2"/>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25">
      <c r="A149" s="3"/>
      <c r="B149" s="3"/>
      <c r="C149" s="2"/>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25">
      <c r="A150" s="3"/>
      <c r="B150" s="3"/>
      <c r="C150" s="2"/>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25">
      <c r="A151" s="3"/>
      <c r="B151" s="3"/>
      <c r="C151" s="2"/>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25">
      <c r="A152" s="3"/>
      <c r="B152" s="3"/>
      <c r="C152" s="2"/>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25">
      <c r="A153" s="3"/>
      <c r="B153" s="3"/>
      <c r="C153" s="2"/>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25">
      <c r="A154" s="3"/>
      <c r="B154" s="3"/>
      <c r="C154" s="2"/>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25">
      <c r="A155" s="3"/>
      <c r="B155" s="3"/>
      <c r="C155" s="2"/>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25">
      <c r="A156" s="3"/>
      <c r="B156" s="3"/>
      <c r="C156" s="2"/>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25">
      <c r="A157" s="3"/>
      <c r="B157" s="3"/>
      <c r="C157" s="2"/>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25">
      <c r="A158" s="3"/>
      <c r="B158" s="3"/>
      <c r="C158" s="2"/>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25">
      <c r="A159" s="3"/>
      <c r="B159" s="3"/>
      <c r="C159" s="2"/>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25">
      <c r="A160" s="3"/>
      <c r="B160" s="3"/>
      <c r="C160" s="2"/>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25">
      <c r="A161" s="3"/>
      <c r="B161" s="3"/>
      <c r="C161" s="2"/>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25">
      <c r="A162" s="3"/>
      <c r="B162" s="3"/>
      <c r="C162" s="2"/>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25">
      <c r="A163" s="3"/>
      <c r="B163" s="3"/>
      <c r="C163" s="2"/>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25">
      <c r="A164" s="3"/>
      <c r="B164" s="3"/>
      <c r="C164" s="2"/>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25">
      <c r="A165" s="3"/>
      <c r="B165" s="3"/>
      <c r="C165" s="2"/>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25">
      <c r="A166" s="3"/>
      <c r="B166" s="3"/>
      <c r="C166" s="2"/>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25">
      <c r="A167" s="3"/>
      <c r="B167" s="3"/>
      <c r="C167" s="2"/>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25">
      <c r="A168" s="3"/>
      <c r="B168" s="3"/>
      <c r="C168" s="2"/>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25">
      <c r="A169" s="3"/>
      <c r="B169" s="3"/>
      <c r="C169" s="2"/>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25">
      <c r="A170" s="3"/>
      <c r="B170" s="3"/>
      <c r="C170" s="2"/>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25">
      <c r="A171" s="3"/>
      <c r="B171" s="3"/>
      <c r="C171" s="2"/>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25">
      <c r="A172" s="3"/>
      <c r="B172" s="3"/>
      <c r="C172" s="2"/>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25">
      <c r="A173" s="3"/>
      <c r="B173" s="3"/>
      <c r="C173" s="2"/>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25">
      <c r="A174" s="3"/>
      <c r="B174" s="3"/>
      <c r="C174" s="2"/>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25">
      <c r="A175" s="3"/>
      <c r="B175" s="3"/>
      <c r="C175" s="2"/>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25">
      <c r="A176" s="3"/>
      <c r="B176" s="3"/>
      <c r="C176" s="2"/>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25">
      <c r="A177" s="3"/>
      <c r="B177" s="3"/>
      <c r="C177" s="2"/>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25">
      <c r="A178" s="3"/>
      <c r="B178" s="3"/>
      <c r="C178" s="2"/>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25">
      <c r="A179" s="3"/>
      <c r="B179" s="3"/>
      <c r="C179" s="2"/>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25">
      <c r="A180" s="3"/>
      <c r="B180" s="3"/>
      <c r="C180" s="2"/>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25">
      <c r="A181" s="3"/>
      <c r="B181" s="3"/>
      <c r="C181" s="2"/>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25">
      <c r="A182" s="3"/>
      <c r="B182" s="3"/>
      <c r="C182" s="2"/>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25">
      <c r="A183" s="3"/>
      <c r="B183" s="3"/>
      <c r="C183" s="2"/>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25">
      <c r="A184" s="3"/>
      <c r="B184" s="3"/>
      <c r="C184" s="2"/>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25">
      <c r="A185" s="3"/>
      <c r="B185" s="3"/>
      <c r="C185" s="2"/>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25">
      <c r="A186" s="3"/>
      <c r="B186" s="3"/>
      <c r="C186" s="2"/>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25">
      <c r="A187" s="3"/>
      <c r="B187" s="3"/>
      <c r="C187" s="2"/>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25">
      <c r="A188" s="3"/>
      <c r="B188" s="3"/>
      <c r="C188" s="2"/>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25">
      <c r="A189" s="3"/>
      <c r="B189" s="3"/>
      <c r="C189" s="2"/>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25">
      <c r="A190" s="3"/>
      <c r="B190" s="3"/>
      <c r="C190" s="2"/>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25">
      <c r="A191" s="3"/>
      <c r="B191" s="3"/>
      <c r="C191" s="2"/>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25">
      <c r="A192" s="3"/>
      <c r="B192" s="3"/>
      <c r="C192" s="2"/>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25">
      <c r="A193" s="3"/>
      <c r="B193" s="3"/>
      <c r="C193" s="2"/>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25">
      <c r="A194" s="3"/>
      <c r="B194" s="3"/>
      <c r="C194" s="2"/>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25">
      <c r="A195" s="3"/>
      <c r="B195" s="3"/>
      <c r="C195" s="2"/>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25">
      <c r="A196" s="3"/>
      <c r="B196" s="3"/>
      <c r="C196" s="2"/>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25">
      <c r="A197" s="3"/>
      <c r="B197" s="3"/>
      <c r="C197" s="2"/>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25">
      <c r="A198" s="3"/>
      <c r="B198" s="3"/>
      <c r="C198" s="2"/>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25">
      <c r="A199" s="3"/>
      <c r="B199" s="3"/>
      <c r="C199" s="2"/>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25">
      <c r="A200" s="3"/>
      <c r="B200" s="3"/>
      <c r="C200" s="2"/>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25">
      <c r="A201" s="3"/>
      <c r="B201" s="3"/>
      <c r="C201" s="2"/>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25">
      <c r="A202" s="3"/>
      <c r="B202" s="3"/>
      <c r="C202" s="2"/>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25">
      <c r="A203" s="3"/>
      <c r="B203" s="3"/>
      <c r="C203" s="2"/>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25">
      <c r="A204" s="3"/>
      <c r="B204" s="3"/>
      <c r="C204" s="2"/>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25">
      <c r="A205" s="3"/>
      <c r="B205" s="3"/>
      <c r="C205" s="2"/>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25">
      <c r="A206" s="3"/>
      <c r="B206" s="3"/>
      <c r="C206" s="2"/>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25">
      <c r="A207" s="3"/>
      <c r="B207" s="3"/>
      <c r="C207" s="2"/>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25">
      <c r="A208" s="3"/>
      <c r="B208" s="3"/>
      <c r="C208" s="2"/>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25">
      <c r="A209" s="3"/>
      <c r="B209" s="3"/>
      <c r="C209" s="2"/>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25">
      <c r="A210" s="3"/>
      <c r="B210" s="3"/>
      <c r="C210" s="2"/>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25">
      <c r="A211" s="3"/>
      <c r="B211" s="3"/>
      <c r="C211" s="2"/>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25">
      <c r="A212" s="3"/>
      <c r="B212" s="3"/>
      <c r="C212" s="2"/>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25">
      <c r="A213" s="3"/>
      <c r="B213" s="3"/>
      <c r="C213" s="2"/>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25">
      <c r="A214" s="3"/>
      <c r="B214" s="3"/>
      <c r="C214" s="2"/>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25">
      <c r="A215" s="3"/>
      <c r="B215" s="3"/>
      <c r="C215" s="2"/>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25">
      <c r="A216" s="3"/>
      <c r="B216" s="3"/>
      <c r="C216" s="2"/>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25">
      <c r="A217" s="3"/>
      <c r="B217" s="3"/>
      <c r="C217" s="2"/>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25">
      <c r="A218" s="3"/>
      <c r="B218" s="3"/>
      <c r="C218" s="2"/>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25">
      <c r="A219" s="3"/>
      <c r="B219" s="3"/>
      <c r="C219" s="2"/>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25">
      <c r="A220" s="3"/>
      <c r="B220" s="3"/>
      <c r="C220" s="2"/>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25">
      <c r="A221" s="3"/>
      <c r="B221" s="3"/>
      <c r="C221" s="2"/>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25">
      <c r="A222" s="3"/>
      <c r="B222" s="3"/>
      <c r="C222" s="2"/>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25">
      <c r="A223" s="3"/>
      <c r="B223" s="3"/>
      <c r="C223" s="2"/>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25">
      <c r="A224" s="3"/>
      <c r="B224" s="3"/>
      <c r="C224" s="2"/>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25">
      <c r="A225" s="3"/>
      <c r="B225" s="3"/>
      <c r="C225" s="2"/>
      <c r="D225" s="3"/>
      <c r="E225" s="3"/>
      <c r="F225" s="3"/>
      <c r="G225" s="3"/>
      <c r="H225" s="3"/>
      <c r="I225" s="3"/>
      <c r="J225" s="3"/>
      <c r="K225" s="3"/>
      <c r="L225" s="3"/>
      <c r="M225" s="3"/>
      <c r="N225" s="3"/>
      <c r="O225" s="3"/>
      <c r="P225" s="3"/>
      <c r="Q225" s="3"/>
      <c r="R225" s="3"/>
      <c r="S225" s="3"/>
      <c r="T225" s="3"/>
      <c r="U225" s="3"/>
      <c r="V225" s="3"/>
      <c r="W225" s="3"/>
      <c r="X225" s="3"/>
      <c r="Y225" s="3"/>
      <c r="Z225" s="3"/>
      <c r="AA225" s="3"/>
    </row>
  </sheetData>
  <mergeCells count="12">
    <mergeCell ref="A23:B23"/>
    <mergeCell ref="A24:B24"/>
    <mergeCell ref="A25:B25"/>
    <mergeCell ref="A1:M1"/>
    <mergeCell ref="A2:M2"/>
    <mergeCell ref="A4:A5"/>
    <mergeCell ref="B4:B5"/>
    <mergeCell ref="L4:M4"/>
    <mergeCell ref="D4:E4"/>
    <mergeCell ref="F4:G4"/>
    <mergeCell ref="H4:I4"/>
    <mergeCell ref="J4:K4"/>
  </mergeCell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228"/>
  <sheetViews>
    <sheetView workbookViewId="0"/>
  </sheetViews>
  <sheetFormatPr defaultColWidth="14.390625" defaultRowHeight="15" customHeight="1" x14ac:dyDescent="0.2"/>
  <cols>
    <col min="1" max="1" width="61.4765625" customWidth="1"/>
    <col min="2" max="2" width="19.1015625" customWidth="1"/>
    <col min="3" max="3" width="23.13671875" customWidth="1"/>
    <col min="4" max="4" width="10.89453125" customWidth="1"/>
    <col min="5" max="5" width="59.86328125" customWidth="1"/>
    <col min="6" max="6" width="19.1015625" customWidth="1"/>
    <col min="7" max="7" width="38.0703125" customWidth="1"/>
    <col min="8" max="19" width="14.390625" customWidth="1"/>
  </cols>
  <sheetData>
    <row r="1" spans="1:19" ht="22.5" x14ac:dyDescent="0.35">
      <c r="A1" s="3"/>
      <c r="B1" s="3"/>
      <c r="C1" s="3"/>
      <c r="D1" s="3"/>
      <c r="E1" s="174" t="s">
        <v>86</v>
      </c>
      <c r="F1" s="3"/>
      <c r="G1" s="3"/>
      <c r="H1" s="3"/>
      <c r="I1" s="3"/>
      <c r="J1" s="3"/>
      <c r="K1" s="3"/>
      <c r="L1" s="3"/>
      <c r="M1" s="3"/>
      <c r="N1" s="3"/>
      <c r="O1" s="3"/>
      <c r="P1" s="3"/>
      <c r="Q1" s="3"/>
      <c r="R1" s="3"/>
      <c r="S1" s="3"/>
    </row>
    <row r="2" spans="1:19" ht="50.25" customHeight="1" x14ac:dyDescent="0.25">
      <c r="A2" s="457" t="s">
        <v>87</v>
      </c>
      <c r="B2" s="443"/>
      <c r="C2" s="428"/>
      <c r="D2" s="3"/>
      <c r="E2" s="457" t="s">
        <v>88</v>
      </c>
      <c r="F2" s="443"/>
      <c r="G2" s="428"/>
      <c r="H2" s="3"/>
      <c r="I2" s="3"/>
      <c r="J2" s="3"/>
      <c r="K2" s="3"/>
      <c r="L2" s="3"/>
      <c r="M2" s="3"/>
      <c r="N2" s="3"/>
      <c r="O2" s="3"/>
      <c r="P2" s="3"/>
      <c r="Q2" s="3"/>
      <c r="R2" s="3"/>
      <c r="S2" s="3"/>
    </row>
    <row r="3" spans="1:19" ht="17.25" x14ac:dyDescent="0.25">
      <c r="A3" s="175" t="s">
        <v>63</v>
      </c>
      <c r="B3" s="176"/>
      <c r="C3" s="177">
        <f>'Day 2.3 Neraca Lajur'!K17</f>
        <v>200000</v>
      </c>
      <c r="D3" s="3"/>
      <c r="E3" s="175" t="s">
        <v>89</v>
      </c>
      <c r="F3" s="178"/>
      <c r="G3" s="178">
        <f>'Day 2.3 Neraca Lajur'!M15</f>
        <v>560000</v>
      </c>
      <c r="H3" s="3"/>
      <c r="I3" s="3"/>
      <c r="J3" s="3"/>
      <c r="K3" s="3"/>
      <c r="L3" s="3"/>
      <c r="M3" s="3"/>
      <c r="N3" s="3"/>
      <c r="O3" s="3"/>
      <c r="P3" s="3"/>
      <c r="Q3" s="3"/>
      <c r="R3" s="3"/>
      <c r="S3" s="3"/>
    </row>
    <row r="4" spans="1:19" ht="17.25" x14ac:dyDescent="0.25">
      <c r="A4" s="175" t="s">
        <v>64</v>
      </c>
      <c r="B4" s="176"/>
      <c r="C4" s="179">
        <f>'Day 2.3 Neraca Lajur'!J18</f>
        <v>70000</v>
      </c>
      <c r="D4" s="3"/>
      <c r="E4" s="175" t="s">
        <v>90</v>
      </c>
      <c r="F4" s="178"/>
      <c r="G4" s="178"/>
      <c r="H4" s="3"/>
      <c r="I4" s="3"/>
      <c r="J4" s="3"/>
      <c r="K4" s="3"/>
      <c r="L4" s="3"/>
      <c r="M4" s="3"/>
      <c r="N4" s="3"/>
      <c r="O4" s="3"/>
      <c r="P4" s="3"/>
      <c r="Q4" s="3"/>
      <c r="R4" s="3"/>
      <c r="S4" s="3"/>
    </row>
    <row r="5" spans="1:19" ht="17.25" x14ac:dyDescent="0.25">
      <c r="A5" s="180" t="s">
        <v>91</v>
      </c>
      <c r="B5" s="176"/>
      <c r="C5" s="181">
        <f>C3-C4</f>
        <v>130000</v>
      </c>
      <c r="D5" s="3"/>
      <c r="E5" s="175" t="s">
        <v>92</v>
      </c>
      <c r="F5" s="182"/>
      <c r="G5" s="178"/>
      <c r="H5" s="3"/>
      <c r="I5" s="3"/>
      <c r="J5" s="3"/>
      <c r="K5" s="3"/>
      <c r="L5" s="3"/>
      <c r="M5" s="3"/>
      <c r="N5" s="3"/>
      <c r="O5" s="3"/>
      <c r="P5" s="3"/>
      <c r="Q5" s="3"/>
      <c r="R5" s="3"/>
      <c r="S5" s="3"/>
    </row>
    <row r="6" spans="1:19" ht="17.25" x14ac:dyDescent="0.25">
      <c r="A6" s="175"/>
      <c r="B6" s="176"/>
      <c r="C6" s="179"/>
      <c r="D6" s="3"/>
      <c r="E6" s="175" t="s">
        <v>62</v>
      </c>
      <c r="F6" s="182">
        <f>'Day 2.3 Neraca Lajur'!M16</f>
        <v>40000</v>
      </c>
      <c r="G6" s="178"/>
      <c r="H6" s="3"/>
      <c r="I6" s="3"/>
      <c r="J6" s="3"/>
      <c r="K6" s="3"/>
      <c r="L6" s="3"/>
      <c r="M6" s="3"/>
      <c r="N6" s="3"/>
      <c r="O6" s="3"/>
      <c r="P6" s="3"/>
      <c r="Q6" s="3"/>
      <c r="R6" s="3"/>
      <c r="S6" s="3"/>
    </row>
    <row r="7" spans="1:19" ht="17.25" x14ac:dyDescent="0.25">
      <c r="A7" s="175"/>
      <c r="B7" s="176"/>
      <c r="C7" s="179"/>
      <c r="D7" s="3"/>
      <c r="E7" s="175" t="s">
        <v>93</v>
      </c>
      <c r="F7" s="182">
        <f>C15</f>
        <v>48000</v>
      </c>
      <c r="G7" s="178"/>
      <c r="H7" s="3"/>
      <c r="I7" s="3"/>
      <c r="J7" s="3"/>
      <c r="K7" s="3"/>
      <c r="L7" s="3"/>
      <c r="M7" s="3"/>
      <c r="N7" s="3"/>
      <c r="O7" s="3"/>
      <c r="P7" s="3"/>
      <c r="Q7" s="3"/>
      <c r="R7" s="3"/>
      <c r="S7" s="3"/>
    </row>
    <row r="8" spans="1:19" ht="17.25" x14ac:dyDescent="0.25">
      <c r="A8" s="175" t="s">
        <v>94</v>
      </c>
      <c r="B8" s="176"/>
      <c r="C8" s="179"/>
      <c r="D8" s="3"/>
      <c r="E8" s="175" t="s">
        <v>95</v>
      </c>
      <c r="F8" s="182"/>
      <c r="G8" s="178"/>
      <c r="H8" s="3"/>
      <c r="I8" s="3"/>
      <c r="J8" s="3"/>
      <c r="K8" s="3"/>
      <c r="L8" s="3"/>
      <c r="M8" s="3"/>
      <c r="N8" s="3"/>
      <c r="O8" s="3"/>
      <c r="P8" s="3"/>
      <c r="Q8" s="3"/>
      <c r="R8" s="3"/>
      <c r="S8" s="3"/>
    </row>
    <row r="9" spans="1:19" ht="17.25" x14ac:dyDescent="0.25">
      <c r="A9" s="175" t="str">
        <f>'Day 2.3 Neraca Lajur'!B19</f>
        <v>Beban Gaji</v>
      </c>
      <c r="B9" s="183">
        <f>'Day 2.3 Neraca Lajur'!J19</f>
        <v>40000</v>
      </c>
      <c r="C9" s="179"/>
      <c r="D9" s="3"/>
      <c r="E9" s="175" t="s">
        <v>96</v>
      </c>
      <c r="F9" s="178"/>
      <c r="G9" s="182">
        <f>F5+F6+F7-F8</f>
        <v>88000</v>
      </c>
      <c r="H9" s="3"/>
      <c r="I9" s="3"/>
      <c r="J9" s="3"/>
      <c r="K9" s="3"/>
      <c r="L9" s="3"/>
      <c r="M9" s="3"/>
      <c r="N9" s="3"/>
      <c r="O9" s="3"/>
      <c r="P9" s="3"/>
      <c r="Q9" s="3"/>
      <c r="R9" s="3"/>
      <c r="S9" s="3"/>
    </row>
    <row r="10" spans="1:19" ht="17.25" x14ac:dyDescent="0.25">
      <c r="A10" s="175" t="str">
        <f>'Day 2.3 Neraca Lajur'!B20</f>
        <v>Beban Iklan</v>
      </c>
      <c r="B10" s="183">
        <f>'Day 2.3 Neraca Lajur'!J20</f>
        <v>28000</v>
      </c>
      <c r="C10" s="179"/>
      <c r="D10" s="3"/>
      <c r="E10" s="180" t="s">
        <v>97</v>
      </c>
      <c r="F10" s="178"/>
      <c r="G10" s="184">
        <f>G3+G9</f>
        <v>648000</v>
      </c>
      <c r="H10" s="3"/>
      <c r="I10" s="3"/>
      <c r="J10" s="3"/>
      <c r="K10" s="3"/>
      <c r="L10" s="3"/>
      <c r="M10" s="3"/>
      <c r="N10" s="3"/>
      <c r="O10" s="3"/>
      <c r="P10" s="3"/>
      <c r="Q10" s="3"/>
      <c r="R10" s="3"/>
      <c r="S10" s="3"/>
    </row>
    <row r="11" spans="1:19" ht="17.25" x14ac:dyDescent="0.25">
      <c r="A11" s="175" t="str">
        <f>'Day 2.3 Neraca Lajur'!B21</f>
        <v>Beban Perlengkapan</v>
      </c>
      <c r="B11" s="183">
        <f>'Day 2.3 Neraca Lajur'!J21</f>
        <v>9000</v>
      </c>
      <c r="C11" s="179"/>
      <c r="D11" s="3"/>
      <c r="E11" s="3"/>
      <c r="F11" s="3"/>
      <c r="G11" s="3"/>
      <c r="H11" s="3"/>
      <c r="I11" s="3"/>
      <c r="J11" s="3"/>
      <c r="K11" s="3"/>
      <c r="L11" s="3"/>
      <c r="M11" s="3"/>
      <c r="N11" s="3"/>
      <c r="O11" s="3"/>
      <c r="P11" s="3"/>
      <c r="Q11" s="3"/>
      <c r="R11" s="3"/>
      <c r="S11" s="3"/>
    </row>
    <row r="12" spans="1:19" ht="17.25" x14ac:dyDescent="0.25">
      <c r="A12" s="175" t="str">
        <f>'Day 2.3 Neraca Lajur'!B22</f>
        <v>Beban Penyusutan Peralatan</v>
      </c>
      <c r="B12" s="183">
        <f>'Day 2.3 Neraca Lajur'!J22</f>
        <v>5000</v>
      </c>
      <c r="C12" s="179"/>
      <c r="D12" s="3"/>
      <c r="E12" s="3"/>
      <c r="F12" s="185"/>
      <c r="G12" s="3"/>
      <c r="H12" s="3"/>
      <c r="I12" s="3"/>
      <c r="J12" s="3"/>
      <c r="K12" s="3"/>
      <c r="L12" s="3"/>
      <c r="M12" s="3"/>
      <c r="N12" s="3"/>
      <c r="O12" s="3"/>
      <c r="P12" s="3"/>
      <c r="Q12" s="3"/>
      <c r="R12" s="3"/>
      <c r="S12" s="3"/>
    </row>
    <row r="13" spans="1:19" ht="17.25" x14ac:dyDescent="0.25">
      <c r="A13" s="180" t="s">
        <v>98</v>
      </c>
      <c r="B13" s="176"/>
      <c r="C13" s="186">
        <f>SUM(B9:B12)</f>
        <v>82000</v>
      </c>
      <c r="D13" s="3"/>
      <c r="E13" s="3"/>
      <c r="F13" s="3"/>
      <c r="G13" s="3"/>
      <c r="H13" s="3"/>
      <c r="I13" s="3"/>
      <c r="J13" s="3"/>
      <c r="K13" s="3"/>
      <c r="L13" s="3"/>
      <c r="M13" s="3"/>
      <c r="N13" s="3"/>
      <c r="O13" s="3"/>
      <c r="P13" s="3"/>
      <c r="Q13" s="3"/>
      <c r="R13" s="3"/>
      <c r="S13" s="3"/>
    </row>
    <row r="14" spans="1:19" ht="17.25" x14ac:dyDescent="0.25">
      <c r="A14" s="180"/>
      <c r="B14" s="176"/>
      <c r="C14" s="186"/>
      <c r="D14" s="3"/>
      <c r="E14" s="3"/>
      <c r="F14" s="3"/>
      <c r="G14" s="3"/>
      <c r="H14" s="3"/>
      <c r="I14" s="3"/>
      <c r="J14" s="3"/>
      <c r="K14" s="3"/>
      <c r="L14" s="3"/>
      <c r="M14" s="3"/>
      <c r="N14" s="3"/>
      <c r="O14" s="3"/>
      <c r="P14" s="3"/>
      <c r="Q14" s="3"/>
      <c r="R14" s="3"/>
      <c r="S14" s="3"/>
    </row>
    <row r="15" spans="1:19" ht="22.5" x14ac:dyDescent="0.35">
      <c r="A15" s="180" t="s">
        <v>99</v>
      </c>
      <c r="B15" s="176"/>
      <c r="C15" s="186">
        <f>C5-C13</f>
        <v>48000</v>
      </c>
      <c r="D15" s="3"/>
      <c r="E15" s="174" t="s">
        <v>86</v>
      </c>
      <c r="F15" s="3"/>
      <c r="G15" s="3"/>
      <c r="H15" s="3"/>
      <c r="I15" s="3"/>
      <c r="J15" s="3"/>
      <c r="K15" s="3"/>
      <c r="L15" s="3"/>
      <c r="M15" s="3"/>
      <c r="N15" s="3"/>
      <c r="O15" s="3"/>
      <c r="P15" s="3"/>
      <c r="Q15" s="3"/>
      <c r="R15" s="3"/>
      <c r="S15" s="3"/>
    </row>
    <row r="16" spans="1:19" ht="17.25" x14ac:dyDescent="0.25">
      <c r="A16" s="3"/>
      <c r="B16" s="3"/>
      <c r="C16" s="3"/>
      <c r="D16" s="3"/>
      <c r="E16" s="457" t="s">
        <v>100</v>
      </c>
      <c r="F16" s="443"/>
      <c r="G16" s="443"/>
      <c r="H16" s="428"/>
      <c r="I16" s="3"/>
      <c r="J16" s="3"/>
      <c r="K16" s="3"/>
      <c r="L16" s="3"/>
      <c r="M16" s="3"/>
      <c r="N16" s="3"/>
      <c r="O16" s="3"/>
      <c r="P16" s="3"/>
      <c r="Q16" s="3"/>
      <c r="R16" s="3"/>
      <c r="S16" s="3"/>
    </row>
    <row r="17" spans="1:19" ht="17.25" x14ac:dyDescent="0.25">
      <c r="A17" s="3"/>
      <c r="B17" s="3"/>
      <c r="C17" s="3"/>
      <c r="D17" s="3"/>
      <c r="E17" s="180" t="s">
        <v>101</v>
      </c>
      <c r="F17" s="187"/>
      <c r="G17" s="180" t="s">
        <v>102</v>
      </c>
      <c r="H17" s="187"/>
      <c r="I17" s="3"/>
      <c r="J17" s="3"/>
      <c r="K17" s="3"/>
      <c r="L17" s="3"/>
      <c r="M17" s="3"/>
      <c r="N17" s="3"/>
      <c r="O17" s="3"/>
      <c r="P17" s="3"/>
      <c r="Q17" s="3"/>
      <c r="R17" s="3"/>
      <c r="S17" s="3"/>
    </row>
    <row r="18" spans="1:19" ht="17.25" x14ac:dyDescent="0.25">
      <c r="A18" s="3"/>
      <c r="B18" s="3"/>
      <c r="C18" s="3"/>
      <c r="D18" s="3"/>
      <c r="E18" s="175" t="str">
        <f>'Day 2.3 Neraca Lajur'!B6</f>
        <v>Kas</v>
      </c>
      <c r="F18" s="188">
        <f>'Day 2.3 Neraca Lajur'!L6</f>
        <v>290000</v>
      </c>
      <c r="G18" s="175" t="str">
        <f>'Day 2.3 Neraca Lajur'!B13</f>
        <v>Hutang Dagang</v>
      </c>
      <c r="H18" s="182">
        <f>'Day 2.3 Neraca Lajur'!M13</f>
        <v>90000</v>
      </c>
      <c r="I18" s="3"/>
      <c r="J18" s="3"/>
      <c r="K18" s="3"/>
      <c r="L18" s="3"/>
      <c r="M18" s="3"/>
      <c r="N18" s="3"/>
      <c r="O18" s="3"/>
      <c r="P18" s="3"/>
      <c r="Q18" s="3"/>
      <c r="R18" s="3"/>
      <c r="S18" s="3"/>
    </row>
    <row r="19" spans="1:19" ht="17.25" x14ac:dyDescent="0.25">
      <c r="A19" s="3"/>
      <c r="B19" s="3"/>
      <c r="C19" s="3"/>
      <c r="D19" s="3"/>
      <c r="E19" s="175" t="str">
        <f>'Day 2.3 Neraca Lajur'!B7</f>
        <v>Piutang Dagang</v>
      </c>
      <c r="F19" s="188">
        <f>'Day 2.3 Neraca Lajur'!L7</f>
        <v>126000</v>
      </c>
      <c r="G19" s="175" t="str">
        <f>'Day 2.3 Neraca Lajur'!B14</f>
        <v>Hutang Gaji</v>
      </c>
      <c r="H19" s="182">
        <f>'Day 2.3 Neraca Lajur'!M14</f>
        <v>45000</v>
      </c>
      <c r="I19" s="3"/>
      <c r="J19" s="3"/>
      <c r="K19" s="3"/>
      <c r="L19" s="3"/>
      <c r="M19" s="3"/>
      <c r="N19" s="3"/>
      <c r="O19" s="3"/>
      <c r="P19" s="3"/>
      <c r="Q19" s="3"/>
      <c r="R19" s="3"/>
      <c r="S19" s="3"/>
    </row>
    <row r="20" spans="1:19" ht="17.25" x14ac:dyDescent="0.25">
      <c r="A20" s="3"/>
      <c r="B20" s="3"/>
      <c r="C20" s="3"/>
      <c r="D20" s="3"/>
      <c r="E20" s="175" t="str">
        <f>'Day 2.3 Neraca Lajur'!B8</f>
        <v>Persediaan</v>
      </c>
      <c r="F20" s="188">
        <f>'Day 2.3 Neraca Lajur'!L8</f>
        <v>200000</v>
      </c>
      <c r="G20" s="175"/>
      <c r="H20" s="182"/>
      <c r="I20" s="3"/>
      <c r="J20" s="3"/>
      <c r="K20" s="3"/>
      <c r="L20" s="3"/>
      <c r="M20" s="3"/>
      <c r="N20" s="3"/>
      <c r="O20" s="3"/>
      <c r="P20" s="3"/>
      <c r="Q20" s="3"/>
      <c r="R20" s="3"/>
      <c r="S20" s="3"/>
    </row>
    <row r="21" spans="1:19" ht="15.75" customHeight="1" x14ac:dyDescent="0.25">
      <c r="A21" s="3"/>
      <c r="B21" s="3"/>
      <c r="C21" s="3"/>
      <c r="D21" s="3"/>
      <c r="E21" s="175" t="str">
        <f>'Day 2.3 Neraca Lajur'!B9</f>
        <v>Iklan Dibayar Dimuka</v>
      </c>
      <c r="F21" s="188">
        <v>0</v>
      </c>
      <c r="G21" s="180" t="s">
        <v>103</v>
      </c>
      <c r="H21" s="184">
        <f>SUM(H18:H19)</f>
        <v>135000</v>
      </c>
      <c r="I21" s="3"/>
      <c r="J21" s="3"/>
      <c r="K21" s="3"/>
      <c r="L21" s="3"/>
      <c r="M21" s="3"/>
      <c r="N21" s="3"/>
      <c r="O21" s="3"/>
      <c r="P21" s="3"/>
      <c r="Q21" s="3"/>
      <c r="R21" s="3"/>
      <c r="S21" s="3"/>
    </row>
    <row r="22" spans="1:19" ht="15.75" customHeight="1" x14ac:dyDescent="0.25">
      <c r="A22" s="3"/>
      <c r="B22" s="3"/>
      <c r="C22" s="3"/>
      <c r="D22" s="3"/>
      <c r="E22" s="175" t="str">
        <f>'Day 2.3 Neraca Lajur'!B10</f>
        <v>Perlengkapan</v>
      </c>
      <c r="F22" s="188">
        <f>'Day 2.3 Neraca Lajur'!L10</f>
        <v>2000</v>
      </c>
      <c r="G22" s="118"/>
      <c r="H22" s="31"/>
      <c r="I22" s="3"/>
      <c r="J22" s="3"/>
      <c r="K22" s="3"/>
      <c r="L22" s="3"/>
      <c r="M22" s="3"/>
      <c r="N22" s="3"/>
      <c r="O22" s="3"/>
      <c r="P22" s="3"/>
      <c r="Q22" s="3"/>
      <c r="R22" s="3"/>
      <c r="S22" s="3"/>
    </row>
    <row r="23" spans="1:19" ht="15.75" customHeight="1" x14ac:dyDescent="0.25">
      <c r="A23" s="3"/>
      <c r="B23" s="3"/>
      <c r="C23" s="3"/>
      <c r="D23" s="3"/>
      <c r="E23" s="175" t="str">
        <f>'Day 2.3 Neraca Lajur'!B11</f>
        <v>Peralatan</v>
      </c>
      <c r="F23" s="188">
        <f>'Day 2.3 Neraca Lajur'!L11</f>
        <v>180000</v>
      </c>
      <c r="G23" s="180" t="s">
        <v>104</v>
      </c>
      <c r="H23" s="178"/>
      <c r="I23" s="3"/>
      <c r="J23" s="3"/>
      <c r="K23" s="3"/>
      <c r="L23" s="3"/>
      <c r="M23" s="3"/>
      <c r="N23" s="3"/>
      <c r="O23" s="3"/>
      <c r="P23" s="3"/>
      <c r="Q23" s="3"/>
      <c r="R23" s="3"/>
      <c r="S23" s="3"/>
    </row>
    <row r="24" spans="1:19" ht="15.75" customHeight="1" x14ac:dyDescent="0.25">
      <c r="A24" s="3"/>
      <c r="B24" s="3"/>
      <c r="C24" s="3"/>
      <c r="D24" s="3"/>
      <c r="E24" s="175" t="str">
        <f>'Day 2.3 Neraca Lajur'!B12</f>
        <v>Akumulasi Penyusutan Peralatan</v>
      </c>
      <c r="F24" s="189">
        <f>-'Day 2.3 Neraca Lajur'!M12</f>
        <v>-15000</v>
      </c>
      <c r="G24" s="175" t="str">
        <f>'Day 2.3 Neraca Lajur'!B15</f>
        <v>Modal UD Sanjaya</v>
      </c>
      <c r="H24" s="182">
        <f>'Day 2.3 Neraca Lajur'!M15+F7+F6</f>
        <v>648000</v>
      </c>
      <c r="I24" s="3"/>
      <c r="J24" s="3"/>
      <c r="K24" s="3"/>
      <c r="L24" s="3"/>
      <c r="M24" s="3"/>
      <c r="N24" s="3"/>
      <c r="O24" s="3"/>
      <c r="P24" s="3"/>
      <c r="Q24" s="3"/>
      <c r="R24" s="3"/>
      <c r="S24" s="3"/>
    </row>
    <row r="25" spans="1:19" ht="15.75" customHeight="1" x14ac:dyDescent="0.25">
      <c r="A25" s="3"/>
      <c r="B25" s="3"/>
      <c r="C25" s="3"/>
      <c r="D25" s="3"/>
      <c r="E25" s="175"/>
      <c r="F25" s="189"/>
      <c r="G25" s="175"/>
      <c r="H25" s="182"/>
      <c r="I25" s="3"/>
      <c r="J25" s="3"/>
      <c r="K25" s="3"/>
      <c r="L25" s="3"/>
      <c r="M25" s="3"/>
      <c r="N25" s="3"/>
      <c r="O25" s="3"/>
      <c r="P25" s="3"/>
      <c r="Q25" s="3"/>
      <c r="R25" s="3"/>
      <c r="S25" s="3"/>
    </row>
    <row r="26" spans="1:19" ht="15.75" customHeight="1" x14ac:dyDescent="0.25">
      <c r="A26" s="3"/>
      <c r="B26" s="3"/>
      <c r="C26" s="3"/>
      <c r="D26" s="3"/>
      <c r="E26" s="180"/>
      <c r="F26" s="189"/>
      <c r="G26" s="180"/>
      <c r="H26" s="184"/>
      <c r="I26" s="3"/>
      <c r="J26" s="3"/>
      <c r="K26" s="3"/>
      <c r="L26" s="3"/>
      <c r="M26" s="3"/>
      <c r="N26" s="3"/>
      <c r="O26" s="3"/>
      <c r="P26" s="3"/>
      <c r="Q26" s="3"/>
      <c r="R26" s="3"/>
      <c r="S26" s="3"/>
    </row>
    <row r="27" spans="1:19" ht="15.75" customHeight="1" x14ac:dyDescent="0.25">
      <c r="A27" s="3"/>
      <c r="B27" s="3"/>
      <c r="C27" s="3"/>
      <c r="D27" s="3"/>
      <c r="E27" s="180"/>
      <c r="F27" s="189"/>
      <c r="G27" s="180" t="s">
        <v>105</v>
      </c>
      <c r="H27" s="184">
        <f>H24+H25</f>
        <v>648000</v>
      </c>
      <c r="I27" s="3"/>
      <c r="J27" s="3"/>
      <c r="K27" s="3"/>
      <c r="L27" s="3"/>
      <c r="M27" s="3"/>
      <c r="N27" s="3"/>
      <c r="O27" s="3"/>
      <c r="P27" s="3"/>
      <c r="Q27" s="3"/>
      <c r="R27" s="3"/>
      <c r="S27" s="3"/>
    </row>
    <row r="28" spans="1:19" ht="15.75" customHeight="1" x14ac:dyDescent="0.25">
      <c r="A28" s="3"/>
      <c r="B28" s="3"/>
      <c r="C28" s="3"/>
      <c r="D28" s="3"/>
      <c r="E28" s="180" t="s">
        <v>106</v>
      </c>
      <c r="F28" s="189">
        <f>SUM(F18:F24)</f>
        <v>783000</v>
      </c>
      <c r="G28" s="180" t="s">
        <v>107</v>
      </c>
      <c r="H28" s="184">
        <f>H21+H27</f>
        <v>783000</v>
      </c>
      <c r="I28" s="3"/>
      <c r="J28" s="3"/>
      <c r="K28" s="3"/>
      <c r="L28" s="3"/>
      <c r="M28" s="3"/>
      <c r="N28" s="3"/>
      <c r="O28" s="3"/>
      <c r="P28" s="3"/>
      <c r="Q28" s="3"/>
      <c r="R28" s="3"/>
      <c r="S28" s="3"/>
    </row>
    <row r="29" spans="1:19" ht="15.75" customHeight="1" x14ac:dyDescent="0.25">
      <c r="A29" s="3"/>
      <c r="B29" s="3"/>
      <c r="C29" s="3"/>
      <c r="D29" s="3"/>
      <c r="E29" s="3"/>
      <c r="F29" s="3"/>
      <c r="G29" s="3"/>
      <c r="H29" s="3"/>
      <c r="I29" s="3"/>
      <c r="J29" s="3"/>
      <c r="K29" s="3"/>
      <c r="L29" s="3"/>
      <c r="M29" s="3"/>
      <c r="N29" s="3"/>
      <c r="O29" s="3"/>
      <c r="P29" s="3"/>
      <c r="Q29" s="3"/>
      <c r="R29" s="3"/>
      <c r="S29" s="3"/>
    </row>
    <row r="30" spans="1:19" ht="15.75" customHeight="1" x14ac:dyDescent="0.25">
      <c r="A30" s="3"/>
      <c r="B30" s="3"/>
      <c r="C30" s="3"/>
      <c r="D30" s="3"/>
      <c r="E30" s="3"/>
      <c r="F30" s="3"/>
      <c r="G30" s="3"/>
      <c r="H30" s="3"/>
      <c r="I30" s="3"/>
      <c r="J30" s="3"/>
      <c r="K30" s="3"/>
      <c r="L30" s="3"/>
      <c r="M30" s="3"/>
      <c r="N30" s="3"/>
      <c r="O30" s="3"/>
      <c r="P30" s="3"/>
      <c r="Q30" s="3"/>
      <c r="R30" s="3"/>
      <c r="S30" s="3"/>
    </row>
    <row r="31" spans="1:19" ht="15.75" customHeight="1" x14ac:dyDescent="0.25">
      <c r="A31" s="3"/>
      <c r="B31" s="3"/>
      <c r="C31" s="3"/>
      <c r="D31" s="3"/>
      <c r="E31" s="3"/>
      <c r="F31" s="3"/>
      <c r="G31" s="3"/>
      <c r="H31" s="3"/>
      <c r="I31" s="3"/>
      <c r="J31" s="3"/>
      <c r="K31" s="3"/>
      <c r="L31" s="3"/>
      <c r="M31" s="3"/>
      <c r="N31" s="3"/>
      <c r="O31" s="3"/>
      <c r="P31" s="3"/>
      <c r="Q31" s="3"/>
      <c r="R31" s="3"/>
      <c r="S31" s="3"/>
    </row>
    <row r="32" spans="1:19" ht="15.75" customHeight="1" x14ac:dyDescent="0.25">
      <c r="A32" s="3"/>
      <c r="B32" s="3"/>
      <c r="C32" s="3"/>
      <c r="D32" s="3"/>
      <c r="E32" s="3"/>
      <c r="F32" s="3"/>
      <c r="G32" s="3"/>
      <c r="H32" s="3"/>
      <c r="I32" s="3"/>
      <c r="J32" s="3"/>
      <c r="K32" s="3"/>
      <c r="L32" s="3"/>
      <c r="M32" s="3"/>
      <c r="N32" s="3"/>
      <c r="O32" s="3"/>
      <c r="P32" s="3"/>
      <c r="Q32" s="3"/>
      <c r="R32" s="3"/>
      <c r="S32" s="3"/>
    </row>
    <row r="33" spans="1:19" ht="15.75" customHeight="1" x14ac:dyDescent="0.25">
      <c r="A33" s="3"/>
      <c r="B33" s="3"/>
      <c r="C33" s="3"/>
      <c r="D33" s="3"/>
      <c r="E33" s="3"/>
      <c r="F33" s="3"/>
      <c r="G33" s="3"/>
      <c r="H33" s="3"/>
      <c r="I33" s="3"/>
      <c r="J33" s="3"/>
      <c r="K33" s="3"/>
      <c r="L33" s="3"/>
      <c r="M33" s="3"/>
      <c r="N33" s="3"/>
      <c r="O33" s="3"/>
      <c r="P33" s="3"/>
      <c r="Q33" s="3"/>
      <c r="R33" s="3"/>
      <c r="S33" s="3"/>
    </row>
    <row r="34" spans="1:19" ht="15.75" customHeight="1" x14ac:dyDescent="0.25">
      <c r="A34" s="3"/>
      <c r="B34" s="3"/>
      <c r="C34" s="3"/>
      <c r="D34" s="3"/>
      <c r="E34" s="3"/>
      <c r="F34" s="3"/>
      <c r="G34" s="3"/>
      <c r="H34" s="3"/>
      <c r="I34" s="3"/>
      <c r="J34" s="3"/>
      <c r="K34" s="3"/>
      <c r="L34" s="3"/>
      <c r="M34" s="3"/>
      <c r="N34" s="3"/>
      <c r="O34" s="3"/>
      <c r="P34" s="3"/>
      <c r="Q34" s="3"/>
      <c r="R34" s="3"/>
      <c r="S34" s="3"/>
    </row>
    <row r="35" spans="1:19" ht="15.75" customHeight="1" x14ac:dyDescent="0.25">
      <c r="A35" s="3"/>
      <c r="B35" s="3"/>
      <c r="C35" s="3"/>
      <c r="D35" s="3"/>
      <c r="E35" s="3"/>
      <c r="F35" s="3"/>
      <c r="G35" s="3"/>
      <c r="H35" s="3"/>
      <c r="I35" s="3"/>
      <c r="J35" s="3"/>
      <c r="K35" s="3"/>
      <c r="L35" s="3"/>
      <c r="M35" s="3"/>
      <c r="N35" s="3"/>
      <c r="O35" s="3"/>
      <c r="P35" s="3"/>
      <c r="Q35" s="3"/>
      <c r="R35" s="3"/>
      <c r="S35" s="3"/>
    </row>
    <row r="36" spans="1:19" ht="15.75" customHeight="1" x14ac:dyDescent="0.25">
      <c r="A36" s="3"/>
      <c r="B36" s="3"/>
      <c r="C36" s="3"/>
      <c r="D36" s="3"/>
      <c r="E36" s="3"/>
      <c r="F36" s="3"/>
      <c r="G36" s="3"/>
      <c r="H36" s="3"/>
      <c r="I36" s="3"/>
      <c r="J36" s="3"/>
      <c r="K36" s="3"/>
      <c r="L36" s="3"/>
      <c r="M36" s="3"/>
      <c r="N36" s="3"/>
      <c r="O36" s="3"/>
      <c r="P36" s="3"/>
      <c r="Q36" s="3"/>
      <c r="R36" s="3"/>
      <c r="S36" s="3"/>
    </row>
    <row r="37" spans="1:19" ht="15.75" customHeight="1" x14ac:dyDescent="0.25">
      <c r="A37" s="3"/>
      <c r="B37" s="3"/>
      <c r="C37" s="3"/>
      <c r="D37" s="3"/>
      <c r="E37" s="3"/>
      <c r="F37" s="3"/>
      <c r="G37" s="3"/>
      <c r="H37" s="3"/>
      <c r="I37" s="3"/>
      <c r="J37" s="3"/>
      <c r="K37" s="3"/>
      <c r="L37" s="3"/>
      <c r="M37" s="3"/>
      <c r="N37" s="3"/>
      <c r="O37" s="3"/>
      <c r="P37" s="3"/>
      <c r="Q37" s="3"/>
      <c r="R37" s="3"/>
      <c r="S37" s="3"/>
    </row>
    <row r="38" spans="1:19" ht="15.75" customHeight="1" x14ac:dyDescent="0.25">
      <c r="A38" s="3"/>
      <c r="B38" s="3"/>
      <c r="C38" s="3"/>
      <c r="D38" s="3"/>
      <c r="E38" s="3"/>
      <c r="F38" s="3"/>
      <c r="G38" s="3"/>
      <c r="H38" s="3"/>
      <c r="I38" s="3"/>
      <c r="J38" s="3"/>
      <c r="K38" s="3"/>
      <c r="L38" s="3"/>
      <c r="M38" s="3"/>
      <c r="N38" s="3"/>
      <c r="O38" s="3"/>
      <c r="P38" s="3"/>
      <c r="Q38" s="3"/>
      <c r="R38" s="3"/>
      <c r="S38" s="3"/>
    </row>
    <row r="39" spans="1:19" ht="15.75" customHeight="1" x14ac:dyDescent="0.25">
      <c r="A39" s="3"/>
      <c r="B39" s="3"/>
      <c r="C39" s="3"/>
      <c r="D39" s="3"/>
      <c r="E39" s="3"/>
      <c r="F39" s="3"/>
      <c r="G39" s="3"/>
      <c r="H39" s="3"/>
      <c r="I39" s="3"/>
      <c r="J39" s="3"/>
      <c r="K39" s="3"/>
      <c r="L39" s="3"/>
      <c r="M39" s="3"/>
      <c r="N39" s="3"/>
      <c r="O39" s="3"/>
      <c r="P39" s="3"/>
      <c r="Q39" s="3"/>
      <c r="R39" s="3"/>
      <c r="S39" s="3"/>
    </row>
    <row r="40" spans="1:19" ht="15.75" customHeight="1" x14ac:dyDescent="0.25">
      <c r="A40" s="3"/>
      <c r="B40" s="3"/>
      <c r="C40" s="3"/>
      <c r="D40" s="3"/>
      <c r="E40" s="3"/>
      <c r="F40" s="3"/>
      <c r="G40" s="3"/>
      <c r="H40" s="3"/>
      <c r="I40" s="3"/>
      <c r="J40" s="3"/>
      <c r="K40" s="3"/>
      <c r="L40" s="3"/>
      <c r="M40" s="3"/>
      <c r="N40" s="3"/>
      <c r="O40" s="3"/>
      <c r="P40" s="3"/>
      <c r="Q40" s="3"/>
      <c r="R40" s="3"/>
      <c r="S40" s="3"/>
    </row>
    <row r="41" spans="1:19" ht="15.75" customHeight="1" x14ac:dyDescent="0.25">
      <c r="A41" s="3"/>
      <c r="B41" s="3"/>
      <c r="C41" s="3"/>
      <c r="D41" s="3"/>
      <c r="E41" s="3"/>
      <c r="F41" s="3"/>
      <c r="G41" s="3"/>
      <c r="H41" s="3"/>
      <c r="I41" s="3"/>
      <c r="J41" s="3"/>
      <c r="K41" s="3"/>
      <c r="L41" s="3"/>
      <c r="M41" s="3"/>
      <c r="N41" s="3"/>
      <c r="O41" s="3"/>
      <c r="P41" s="3"/>
      <c r="Q41" s="3"/>
      <c r="R41" s="3"/>
      <c r="S41" s="3"/>
    </row>
    <row r="42" spans="1:19" ht="15.75" customHeight="1" x14ac:dyDescent="0.25">
      <c r="A42" s="3"/>
      <c r="B42" s="3"/>
      <c r="C42" s="3"/>
      <c r="D42" s="3"/>
      <c r="E42" s="3"/>
      <c r="F42" s="3"/>
      <c r="G42" s="3"/>
      <c r="H42" s="3"/>
      <c r="I42" s="3"/>
      <c r="J42" s="3"/>
      <c r="K42" s="3"/>
      <c r="L42" s="3"/>
      <c r="M42" s="3"/>
      <c r="N42" s="3"/>
      <c r="O42" s="3"/>
      <c r="P42" s="3"/>
      <c r="Q42" s="3"/>
      <c r="R42" s="3"/>
      <c r="S42" s="3"/>
    </row>
    <row r="43" spans="1:19" ht="15.75" customHeight="1" x14ac:dyDescent="0.25">
      <c r="A43" s="3"/>
      <c r="B43" s="3"/>
      <c r="C43" s="3"/>
      <c r="D43" s="3"/>
      <c r="E43" s="3"/>
      <c r="F43" s="3"/>
      <c r="G43" s="3"/>
      <c r="H43" s="3"/>
      <c r="I43" s="3"/>
      <c r="J43" s="3"/>
      <c r="K43" s="3"/>
      <c r="L43" s="3"/>
      <c r="M43" s="3"/>
      <c r="N43" s="3"/>
      <c r="O43" s="3"/>
      <c r="P43" s="3"/>
      <c r="Q43" s="3"/>
      <c r="R43" s="3"/>
      <c r="S43" s="3"/>
    </row>
    <row r="44" spans="1:19" ht="15.75" customHeight="1" x14ac:dyDescent="0.25">
      <c r="A44" s="3"/>
      <c r="B44" s="3"/>
      <c r="C44" s="3"/>
      <c r="D44" s="3"/>
      <c r="E44" s="3"/>
      <c r="F44" s="3"/>
      <c r="G44" s="3"/>
      <c r="H44" s="3"/>
      <c r="I44" s="3"/>
      <c r="J44" s="3"/>
      <c r="K44" s="3"/>
      <c r="L44" s="3"/>
      <c r="M44" s="3"/>
      <c r="N44" s="3"/>
      <c r="O44" s="3"/>
      <c r="P44" s="3"/>
      <c r="Q44" s="3"/>
      <c r="R44" s="3"/>
      <c r="S44" s="3"/>
    </row>
    <row r="45" spans="1:19" ht="15.75" customHeight="1" x14ac:dyDescent="0.25">
      <c r="A45" s="3"/>
      <c r="B45" s="3"/>
      <c r="C45" s="3"/>
      <c r="D45" s="3"/>
      <c r="E45" s="3"/>
      <c r="F45" s="3"/>
      <c r="G45" s="3"/>
      <c r="H45" s="3"/>
      <c r="I45" s="3"/>
      <c r="J45" s="3"/>
      <c r="K45" s="3"/>
      <c r="L45" s="3"/>
      <c r="M45" s="3"/>
      <c r="N45" s="3"/>
      <c r="O45" s="3"/>
      <c r="P45" s="3"/>
      <c r="Q45" s="3"/>
      <c r="R45" s="3"/>
      <c r="S45" s="3"/>
    </row>
    <row r="46" spans="1:19" ht="15.75" customHeight="1" x14ac:dyDescent="0.25">
      <c r="A46" s="3"/>
      <c r="B46" s="3"/>
      <c r="C46" s="3"/>
      <c r="D46" s="3"/>
      <c r="E46" s="3"/>
      <c r="F46" s="3"/>
      <c r="G46" s="3"/>
      <c r="H46" s="3"/>
      <c r="I46" s="3"/>
      <c r="J46" s="3"/>
      <c r="K46" s="3"/>
      <c r="L46" s="3"/>
      <c r="M46" s="3"/>
      <c r="N46" s="3"/>
      <c r="O46" s="3"/>
      <c r="P46" s="3"/>
      <c r="Q46" s="3"/>
      <c r="R46" s="3"/>
      <c r="S46" s="3"/>
    </row>
    <row r="47" spans="1:19" ht="15.75" customHeight="1" x14ac:dyDescent="0.25">
      <c r="A47" s="3"/>
      <c r="B47" s="3"/>
      <c r="C47" s="3"/>
      <c r="D47" s="3"/>
      <c r="E47" s="3"/>
      <c r="F47" s="3"/>
      <c r="G47" s="3"/>
      <c r="H47" s="3"/>
      <c r="I47" s="3"/>
      <c r="J47" s="3"/>
      <c r="K47" s="3"/>
      <c r="L47" s="3"/>
      <c r="M47" s="3"/>
      <c r="N47" s="3"/>
      <c r="O47" s="3"/>
      <c r="P47" s="3"/>
      <c r="Q47" s="3"/>
      <c r="R47" s="3"/>
      <c r="S47" s="3"/>
    </row>
    <row r="48" spans="1:19" ht="15.75" customHeight="1" x14ac:dyDescent="0.25">
      <c r="A48" s="3"/>
      <c r="B48" s="3"/>
      <c r="C48" s="3"/>
      <c r="D48" s="3"/>
      <c r="E48" s="3"/>
      <c r="F48" s="3"/>
      <c r="G48" s="3"/>
      <c r="H48" s="3"/>
      <c r="I48" s="3"/>
      <c r="J48" s="3"/>
      <c r="K48" s="3"/>
      <c r="L48" s="3"/>
      <c r="M48" s="3"/>
      <c r="N48" s="3"/>
      <c r="O48" s="3"/>
      <c r="P48" s="3"/>
      <c r="Q48" s="3"/>
      <c r="R48" s="3"/>
      <c r="S48" s="3"/>
    </row>
    <row r="49" spans="1:19" ht="15.75" customHeight="1" x14ac:dyDescent="0.25">
      <c r="A49" s="3"/>
      <c r="B49" s="3"/>
      <c r="C49" s="3"/>
      <c r="D49" s="3"/>
      <c r="E49" s="3"/>
      <c r="F49" s="3"/>
      <c r="G49" s="3"/>
      <c r="H49" s="3"/>
      <c r="I49" s="3"/>
      <c r="J49" s="3"/>
      <c r="K49" s="3"/>
      <c r="L49" s="3"/>
      <c r="M49" s="3"/>
      <c r="N49" s="3"/>
      <c r="O49" s="3"/>
      <c r="P49" s="3"/>
      <c r="Q49" s="3"/>
      <c r="R49" s="3"/>
      <c r="S49" s="3"/>
    </row>
    <row r="50" spans="1:19" ht="15.75" customHeight="1" x14ac:dyDescent="0.25">
      <c r="A50" s="3"/>
      <c r="B50" s="3"/>
      <c r="C50" s="3"/>
      <c r="D50" s="3"/>
      <c r="E50" s="3"/>
      <c r="F50" s="3"/>
      <c r="G50" s="3"/>
      <c r="H50" s="3"/>
      <c r="I50" s="3"/>
      <c r="J50" s="3"/>
      <c r="K50" s="3"/>
      <c r="L50" s="3"/>
      <c r="M50" s="3"/>
      <c r="N50" s="3"/>
      <c r="O50" s="3"/>
      <c r="P50" s="3"/>
      <c r="Q50" s="3"/>
      <c r="R50" s="3"/>
      <c r="S50" s="3"/>
    </row>
    <row r="51" spans="1:19" ht="15.75" customHeight="1" x14ac:dyDescent="0.25">
      <c r="A51" s="3"/>
      <c r="B51" s="3"/>
      <c r="C51" s="3"/>
      <c r="D51" s="3"/>
      <c r="E51" s="3"/>
      <c r="F51" s="3"/>
      <c r="G51" s="3"/>
      <c r="H51" s="3"/>
      <c r="I51" s="3"/>
      <c r="J51" s="3"/>
      <c r="K51" s="3"/>
      <c r="L51" s="3"/>
      <c r="M51" s="3"/>
      <c r="N51" s="3"/>
      <c r="O51" s="3"/>
      <c r="P51" s="3"/>
      <c r="Q51" s="3"/>
      <c r="R51" s="3"/>
      <c r="S51" s="3"/>
    </row>
    <row r="52" spans="1:19" ht="15.75" customHeight="1" x14ac:dyDescent="0.25">
      <c r="A52" s="3"/>
      <c r="B52" s="3"/>
      <c r="C52" s="3"/>
      <c r="D52" s="3"/>
      <c r="E52" s="3"/>
      <c r="F52" s="3"/>
      <c r="G52" s="3"/>
      <c r="H52" s="3"/>
      <c r="I52" s="3"/>
      <c r="J52" s="3"/>
      <c r="K52" s="3"/>
      <c r="L52" s="3"/>
      <c r="M52" s="3"/>
      <c r="N52" s="3"/>
      <c r="O52" s="3"/>
      <c r="P52" s="3"/>
      <c r="Q52" s="3"/>
      <c r="R52" s="3"/>
      <c r="S52" s="3"/>
    </row>
    <row r="53" spans="1:19" ht="15.75" customHeight="1" x14ac:dyDescent="0.25">
      <c r="A53" s="3"/>
      <c r="B53" s="3"/>
      <c r="C53" s="3"/>
      <c r="D53" s="3"/>
      <c r="E53" s="3"/>
      <c r="F53" s="3"/>
      <c r="G53" s="3"/>
      <c r="H53" s="3"/>
      <c r="I53" s="3"/>
      <c r="J53" s="3"/>
      <c r="K53" s="3"/>
      <c r="L53" s="3"/>
      <c r="M53" s="3"/>
      <c r="N53" s="3"/>
      <c r="O53" s="3"/>
      <c r="P53" s="3"/>
      <c r="Q53" s="3"/>
      <c r="R53" s="3"/>
      <c r="S53" s="3"/>
    </row>
    <row r="54" spans="1:19" ht="15.75" customHeight="1" x14ac:dyDescent="0.25">
      <c r="A54" s="3"/>
      <c r="B54" s="3"/>
      <c r="C54" s="3"/>
      <c r="D54" s="3"/>
      <c r="E54" s="3"/>
      <c r="F54" s="3"/>
      <c r="G54" s="3"/>
      <c r="H54" s="3"/>
      <c r="I54" s="3"/>
      <c r="J54" s="3"/>
      <c r="K54" s="3"/>
      <c r="L54" s="3"/>
      <c r="M54" s="3"/>
      <c r="N54" s="3"/>
      <c r="O54" s="3"/>
      <c r="P54" s="3"/>
      <c r="Q54" s="3"/>
      <c r="R54" s="3"/>
      <c r="S54" s="3"/>
    </row>
    <row r="55" spans="1:19" ht="15.75" customHeight="1" x14ac:dyDescent="0.25">
      <c r="A55" s="3"/>
      <c r="B55" s="3"/>
      <c r="C55" s="3"/>
      <c r="D55" s="3"/>
      <c r="E55" s="3"/>
      <c r="F55" s="3"/>
      <c r="G55" s="3"/>
      <c r="H55" s="3"/>
      <c r="I55" s="3"/>
      <c r="J55" s="3"/>
      <c r="K55" s="3"/>
      <c r="L55" s="3"/>
      <c r="M55" s="3"/>
      <c r="N55" s="3"/>
      <c r="O55" s="3"/>
      <c r="P55" s="3"/>
      <c r="Q55" s="3"/>
      <c r="R55" s="3"/>
      <c r="S55" s="3"/>
    </row>
    <row r="56" spans="1:19" ht="15.75" customHeight="1" x14ac:dyDescent="0.25">
      <c r="A56" s="3"/>
      <c r="B56" s="3"/>
      <c r="C56" s="3"/>
      <c r="D56" s="3"/>
      <c r="E56" s="3"/>
      <c r="F56" s="3"/>
      <c r="G56" s="3"/>
      <c r="H56" s="3"/>
      <c r="I56" s="3"/>
      <c r="J56" s="3"/>
      <c r="K56" s="3"/>
      <c r="L56" s="3"/>
      <c r="M56" s="3"/>
      <c r="N56" s="3"/>
      <c r="O56" s="3"/>
      <c r="P56" s="3"/>
      <c r="Q56" s="3"/>
      <c r="R56" s="3"/>
      <c r="S56" s="3"/>
    </row>
    <row r="57" spans="1:19" ht="15.75" customHeight="1" x14ac:dyDescent="0.25">
      <c r="A57" s="3"/>
      <c r="B57" s="3"/>
      <c r="C57" s="3"/>
      <c r="D57" s="3"/>
      <c r="E57" s="3"/>
      <c r="F57" s="3"/>
      <c r="G57" s="3"/>
      <c r="H57" s="3"/>
      <c r="I57" s="3"/>
      <c r="J57" s="3"/>
      <c r="K57" s="3"/>
      <c r="L57" s="3"/>
      <c r="M57" s="3"/>
      <c r="N57" s="3"/>
      <c r="O57" s="3"/>
      <c r="P57" s="3"/>
      <c r="Q57" s="3"/>
      <c r="R57" s="3"/>
      <c r="S57" s="3"/>
    </row>
    <row r="58" spans="1:19" ht="15.75" customHeight="1" x14ac:dyDescent="0.25">
      <c r="A58" s="3"/>
      <c r="B58" s="3"/>
      <c r="C58" s="3"/>
      <c r="D58" s="3"/>
      <c r="E58" s="3"/>
      <c r="F58" s="3"/>
      <c r="G58" s="3"/>
      <c r="H58" s="3"/>
      <c r="I58" s="3"/>
      <c r="J58" s="3"/>
      <c r="K58" s="3"/>
      <c r="L58" s="3"/>
      <c r="M58" s="3"/>
      <c r="N58" s="3"/>
      <c r="O58" s="3"/>
      <c r="P58" s="3"/>
      <c r="Q58" s="3"/>
      <c r="R58" s="3"/>
      <c r="S58" s="3"/>
    </row>
    <row r="59" spans="1:19" ht="15.75" customHeight="1" x14ac:dyDescent="0.25">
      <c r="A59" s="3"/>
      <c r="B59" s="3"/>
      <c r="C59" s="3"/>
      <c r="D59" s="3"/>
      <c r="E59" s="3"/>
      <c r="F59" s="3"/>
      <c r="G59" s="3"/>
      <c r="H59" s="3"/>
      <c r="I59" s="3"/>
      <c r="J59" s="3"/>
      <c r="K59" s="3"/>
      <c r="L59" s="3"/>
      <c r="M59" s="3"/>
      <c r="N59" s="3"/>
      <c r="O59" s="3"/>
      <c r="P59" s="3"/>
      <c r="Q59" s="3"/>
      <c r="R59" s="3"/>
      <c r="S59" s="3"/>
    </row>
    <row r="60" spans="1:19" ht="15.75" customHeight="1" x14ac:dyDescent="0.25">
      <c r="A60" s="3"/>
      <c r="B60" s="3"/>
      <c r="C60" s="3"/>
      <c r="D60" s="3"/>
      <c r="E60" s="3"/>
      <c r="F60" s="3"/>
      <c r="G60" s="3"/>
      <c r="H60" s="3"/>
      <c r="I60" s="3"/>
      <c r="J60" s="3"/>
      <c r="K60" s="3"/>
      <c r="L60" s="3"/>
      <c r="M60" s="3"/>
      <c r="N60" s="3"/>
      <c r="O60" s="3"/>
      <c r="P60" s="3"/>
      <c r="Q60" s="3"/>
      <c r="R60" s="3"/>
      <c r="S60" s="3"/>
    </row>
    <row r="61" spans="1:19" ht="15.75" customHeight="1" x14ac:dyDescent="0.25">
      <c r="A61" s="3"/>
      <c r="B61" s="3"/>
      <c r="C61" s="3"/>
      <c r="D61" s="3"/>
      <c r="E61" s="3"/>
      <c r="F61" s="3"/>
      <c r="G61" s="3"/>
      <c r="H61" s="3"/>
      <c r="I61" s="3"/>
      <c r="J61" s="3"/>
      <c r="K61" s="3"/>
      <c r="L61" s="3"/>
      <c r="M61" s="3"/>
      <c r="N61" s="3"/>
      <c r="O61" s="3"/>
      <c r="P61" s="3"/>
      <c r="Q61" s="3"/>
      <c r="R61" s="3"/>
      <c r="S61" s="3"/>
    </row>
    <row r="62" spans="1:19" ht="15.75" customHeight="1" x14ac:dyDescent="0.25">
      <c r="A62" s="3"/>
      <c r="B62" s="3"/>
      <c r="C62" s="3"/>
      <c r="D62" s="3"/>
      <c r="E62" s="3"/>
      <c r="F62" s="3"/>
      <c r="G62" s="3"/>
      <c r="H62" s="3"/>
      <c r="I62" s="3"/>
      <c r="J62" s="3"/>
      <c r="K62" s="3"/>
      <c r="L62" s="3"/>
      <c r="M62" s="3"/>
      <c r="N62" s="3"/>
      <c r="O62" s="3"/>
      <c r="P62" s="3"/>
      <c r="Q62" s="3"/>
      <c r="R62" s="3"/>
      <c r="S62" s="3"/>
    </row>
    <row r="63" spans="1:19" ht="15.75" customHeight="1" x14ac:dyDescent="0.25">
      <c r="A63" s="3"/>
      <c r="B63" s="3"/>
      <c r="C63" s="3"/>
      <c r="D63" s="3"/>
      <c r="E63" s="3"/>
      <c r="F63" s="3"/>
      <c r="G63" s="3"/>
      <c r="H63" s="3"/>
      <c r="I63" s="3"/>
      <c r="J63" s="3"/>
      <c r="K63" s="3"/>
      <c r="L63" s="3"/>
      <c r="M63" s="3"/>
      <c r="N63" s="3"/>
      <c r="O63" s="3"/>
      <c r="P63" s="3"/>
      <c r="Q63" s="3"/>
      <c r="R63" s="3"/>
      <c r="S63" s="3"/>
    </row>
    <row r="64" spans="1:19" ht="15.75" customHeight="1" x14ac:dyDescent="0.25">
      <c r="A64" s="3"/>
      <c r="B64" s="3"/>
      <c r="C64" s="3"/>
      <c r="D64" s="3"/>
      <c r="E64" s="3"/>
      <c r="F64" s="3"/>
      <c r="G64" s="3"/>
      <c r="H64" s="3"/>
      <c r="I64" s="3"/>
      <c r="J64" s="3"/>
      <c r="K64" s="3"/>
      <c r="L64" s="3"/>
      <c r="M64" s="3"/>
      <c r="N64" s="3"/>
      <c r="O64" s="3"/>
      <c r="P64" s="3"/>
      <c r="Q64" s="3"/>
      <c r="R64" s="3"/>
      <c r="S64" s="3"/>
    </row>
    <row r="65" spans="1:19" ht="15.75" customHeight="1" x14ac:dyDescent="0.25">
      <c r="A65" s="3"/>
      <c r="B65" s="3"/>
      <c r="C65" s="3"/>
      <c r="D65" s="3"/>
      <c r="E65" s="3"/>
      <c r="F65" s="3"/>
      <c r="G65" s="3"/>
      <c r="H65" s="3"/>
      <c r="I65" s="3"/>
      <c r="J65" s="3"/>
      <c r="K65" s="3"/>
      <c r="L65" s="3"/>
      <c r="M65" s="3"/>
      <c r="N65" s="3"/>
      <c r="O65" s="3"/>
      <c r="P65" s="3"/>
      <c r="Q65" s="3"/>
      <c r="R65" s="3"/>
      <c r="S65" s="3"/>
    </row>
    <row r="66" spans="1:19" ht="15.75" customHeight="1" x14ac:dyDescent="0.25">
      <c r="A66" s="3"/>
      <c r="B66" s="3"/>
      <c r="C66" s="3"/>
      <c r="D66" s="3"/>
      <c r="E66" s="3"/>
      <c r="F66" s="3"/>
      <c r="G66" s="3"/>
      <c r="H66" s="3"/>
      <c r="I66" s="3"/>
      <c r="J66" s="3"/>
      <c r="K66" s="3"/>
      <c r="L66" s="3"/>
      <c r="M66" s="3"/>
      <c r="N66" s="3"/>
      <c r="O66" s="3"/>
      <c r="P66" s="3"/>
      <c r="Q66" s="3"/>
      <c r="R66" s="3"/>
      <c r="S66" s="3"/>
    </row>
    <row r="67" spans="1:19" ht="15.75" customHeight="1" x14ac:dyDescent="0.25">
      <c r="A67" s="3"/>
      <c r="B67" s="3"/>
      <c r="C67" s="3"/>
      <c r="D67" s="3"/>
      <c r="E67" s="3"/>
      <c r="F67" s="3"/>
      <c r="G67" s="3"/>
      <c r="H67" s="3"/>
      <c r="I67" s="3"/>
      <c r="J67" s="3"/>
      <c r="K67" s="3"/>
      <c r="L67" s="3"/>
      <c r="M67" s="3"/>
      <c r="N67" s="3"/>
      <c r="O67" s="3"/>
      <c r="P67" s="3"/>
      <c r="Q67" s="3"/>
      <c r="R67" s="3"/>
      <c r="S67" s="3"/>
    </row>
    <row r="68" spans="1:19" ht="15.75" customHeight="1" x14ac:dyDescent="0.25">
      <c r="A68" s="3"/>
      <c r="B68" s="3"/>
      <c r="C68" s="3"/>
      <c r="D68" s="3"/>
      <c r="E68" s="3"/>
      <c r="F68" s="3"/>
      <c r="G68" s="3"/>
      <c r="H68" s="3"/>
      <c r="I68" s="3"/>
      <c r="J68" s="3"/>
      <c r="K68" s="3"/>
      <c r="L68" s="3"/>
      <c r="M68" s="3"/>
      <c r="N68" s="3"/>
      <c r="O68" s="3"/>
      <c r="P68" s="3"/>
      <c r="Q68" s="3"/>
      <c r="R68" s="3"/>
      <c r="S68" s="3"/>
    </row>
    <row r="69" spans="1:19" ht="15.75" customHeight="1" x14ac:dyDescent="0.25">
      <c r="A69" s="3"/>
      <c r="B69" s="3"/>
      <c r="C69" s="3"/>
      <c r="D69" s="3"/>
      <c r="E69" s="3"/>
      <c r="F69" s="3"/>
      <c r="G69" s="3"/>
      <c r="H69" s="3"/>
      <c r="I69" s="3"/>
      <c r="J69" s="3"/>
      <c r="K69" s="3"/>
      <c r="L69" s="3"/>
      <c r="M69" s="3"/>
      <c r="N69" s="3"/>
      <c r="O69" s="3"/>
      <c r="P69" s="3"/>
      <c r="Q69" s="3"/>
      <c r="R69" s="3"/>
      <c r="S69" s="3"/>
    </row>
    <row r="70" spans="1:19" ht="15.75" customHeight="1" x14ac:dyDescent="0.25">
      <c r="A70" s="3"/>
      <c r="B70" s="3"/>
      <c r="C70" s="3"/>
      <c r="D70" s="3"/>
      <c r="E70" s="3"/>
      <c r="F70" s="3"/>
      <c r="G70" s="3"/>
      <c r="H70" s="3"/>
      <c r="I70" s="3"/>
      <c r="J70" s="3"/>
      <c r="K70" s="3"/>
      <c r="L70" s="3"/>
      <c r="M70" s="3"/>
      <c r="N70" s="3"/>
      <c r="O70" s="3"/>
      <c r="P70" s="3"/>
      <c r="Q70" s="3"/>
      <c r="R70" s="3"/>
      <c r="S70" s="3"/>
    </row>
    <row r="71" spans="1:19" ht="15.75" customHeight="1" x14ac:dyDescent="0.25">
      <c r="A71" s="3"/>
      <c r="B71" s="3"/>
      <c r="C71" s="3"/>
      <c r="D71" s="3"/>
      <c r="E71" s="3"/>
      <c r="F71" s="3"/>
      <c r="G71" s="3"/>
      <c r="H71" s="3"/>
      <c r="I71" s="3"/>
      <c r="J71" s="3"/>
      <c r="K71" s="3"/>
      <c r="L71" s="3"/>
      <c r="M71" s="3"/>
      <c r="N71" s="3"/>
      <c r="O71" s="3"/>
      <c r="P71" s="3"/>
      <c r="Q71" s="3"/>
      <c r="R71" s="3"/>
      <c r="S71" s="3"/>
    </row>
    <row r="72" spans="1:19" ht="15.75" customHeight="1" x14ac:dyDescent="0.25">
      <c r="A72" s="3"/>
      <c r="B72" s="3"/>
      <c r="C72" s="3"/>
      <c r="D72" s="3"/>
      <c r="E72" s="3"/>
      <c r="F72" s="3"/>
      <c r="G72" s="3"/>
      <c r="H72" s="3"/>
      <c r="I72" s="3"/>
      <c r="J72" s="3"/>
      <c r="K72" s="3"/>
      <c r="L72" s="3"/>
      <c r="M72" s="3"/>
      <c r="N72" s="3"/>
      <c r="O72" s="3"/>
      <c r="P72" s="3"/>
      <c r="Q72" s="3"/>
      <c r="R72" s="3"/>
      <c r="S72" s="3"/>
    </row>
    <row r="73" spans="1:19" ht="15.75" customHeight="1" x14ac:dyDescent="0.25">
      <c r="A73" s="3"/>
      <c r="B73" s="3"/>
      <c r="C73" s="3"/>
      <c r="D73" s="3"/>
      <c r="E73" s="3"/>
      <c r="F73" s="3"/>
      <c r="G73" s="3"/>
      <c r="H73" s="3"/>
      <c r="I73" s="3"/>
      <c r="J73" s="3"/>
      <c r="K73" s="3"/>
      <c r="L73" s="3"/>
      <c r="M73" s="3"/>
      <c r="N73" s="3"/>
      <c r="O73" s="3"/>
      <c r="P73" s="3"/>
      <c r="Q73" s="3"/>
      <c r="R73" s="3"/>
      <c r="S73" s="3"/>
    </row>
    <row r="74" spans="1:19" ht="15.75" customHeight="1" x14ac:dyDescent="0.25">
      <c r="A74" s="3"/>
      <c r="B74" s="3"/>
      <c r="C74" s="3"/>
      <c r="D74" s="3"/>
      <c r="E74" s="3"/>
      <c r="F74" s="3"/>
      <c r="G74" s="3"/>
      <c r="H74" s="3"/>
      <c r="I74" s="3"/>
      <c r="J74" s="3"/>
      <c r="K74" s="3"/>
      <c r="L74" s="3"/>
      <c r="M74" s="3"/>
      <c r="N74" s="3"/>
      <c r="O74" s="3"/>
      <c r="P74" s="3"/>
      <c r="Q74" s="3"/>
      <c r="R74" s="3"/>
      <c r="S74" s="3"/>
    </row>
    <row r="75" spans="1:19" ht="15.75" customHeight="1" x14ac:dyDescent="0.25">
      <c r="A75" s="3"/>
      <c r="B75" s="3"/>
      <c r="C75" s="3"/>
      <c r="D75" s="3"/>
      <c r="E75" s="3"/>
      <c r="F75" s="3"/>
      <c r="G75" s="3"/>
      <c r="H75" s="3"/>
      <c r="I75" s="3"/>
      <c r="J75" s="3"/>
      <c r="K75" s="3"/>
      <c r="L75" s="3"/>
      <c r="M75" s="3"/>
      <c r="N75" s="3"/>
      <c r="O75" s="3"/>
      <c r="P75" s="3"/>
      <c r="Q75" s="3"/>
      <c r="R75" s="3"/>
      <c r="S75" s="3"/>
    </row>
    <row r="76" spans="1:19" ht="15.75" customHeight="1" x14ac:dyDescent="0.25">
      <c r="A76" s="3"/>
      <c r="B76" s="3"/>
      <c r="C76" s="3"/>
      <c r="D76" s="3"/>
      <c r="E76" s="3"/>
      <c r="F76" s="3"/>
      <c r="G76" s="3"/>
      <c r="H76" s="3"/>
      <c r="I76" s="3"/>
      <c r="J76" s="3"/>
      <c r="K76" s="3"/>
      <c r="L76" s="3"/>
      <c r="M76" s="3"/>
      <c r="N76" s="3"/>
      <c r="O76" s="3"/>
      <c r="P76" s="3"/>
      <c r="Q76" s="3"/>
      <c r="R76" s="3"/>
      <c r="S76" s="3"/>
    </row>
    <row r="77" spans="1:19" ht="15.75" customHeight="1" x14ac:dyDescent="0.25">
      <c r="A77" s="3"/>
      <c r="B77" s="3"/>
      <c r="C77" s="3"/>
      <c r="D77" s="3"/>
      <c r="E77" s="3"/>
      <c r="F77" s="3"/>
      <c r="G77" s="3"/>
      <c r="H77" s="3"/>
      <c r="I77" s="3"/>
      <c r="J77" s="3"/>
      <c r="K77" s="3"/>
      <c r="L77" s="3"/>
      <c r="M77" s="3"/>
      <c r="N77" s="3"/>
      <c r="O77" s="3"/>
      <c r="P77" s="3"/>
      <c r="Q77" s="3"/>
      <c r="R77" s="3"/>
      <c r="S77" s="3"/>
    </row>
    <row r="78" spans="1:19" ht="15.75" customHeight="1" x14ac:dyDescent="0.25">
      <c r="A78" s="3"/>
      <c r="B78" s="3"/>
      <c r="C78" s="3"/>
      <c r="D78" s="3"/>
      <c r="E78" s="3"/>
      <c r="F78" s="3"/>
      <c r="G78" s="3"/>
      <c r="H78" s="3"/>
      <c r="I78" s="3"/>
      <c r="J78" s="3"/>
      <c r="K78" s="3"/>
      <c r="L78" s="3"/>
      <c r="M78" s="3"/>
      <c r="N78" s="3"/>
      <c r="O78" s="3"/>
      <c r="P78" s="3"/>
      <c r="Q78" s="3"/>
      <c r="R78" s="3"/>
      <c r="S78" s="3"/>
    </row>
    <row r="79" spans="1:19" ht="15.75" customHeight="1" x14ac:dyDescent="0.25">
      <c r="A79" s="3"/>
      <c r="B79" s="3"/>
      <c r="C79" s="3"/>
      <c r="D79" s="3"/>
      <c r="E79" s="3"/>
      <c r="F79" s="3"/>
      <c r="G79" s="3"/>
      <c r="H79" s="3"/>
      <c r="I79" s="3"/>
      <c r="J79" s="3"/>
      <c r="K79" s="3"/>
      <c r="L79" s="3"/>
      <c r="M79" s="3"/>
      <c r="N79" s="3"/>
      <c r="O79" s="3"/>
      <c r="P79" s="3"/>
      <c r="Q79" s="3"/>
      <c r="R79" s="3"/>
      <c r="S79" s="3"/>
    </row>
    <row r="80" spans="1:19" ht="15.75" customHeight="1" x14ac:dyDescent="0.25">
      <c r="A80" s="3"/>
      <c r="B80" s="3"/>
      <c r="C80" s="3"/>
      <c r="D80" s="3"/>
      <c r="E80" s="3"/>
      <c r="F80" s="3"/>
      <c r="G80" s="3"/>
      <c r="H80" s="3"/>
      <c r="I80" s="3"/>
      <c r="J80" s="3"/>
      <c r="K80" s="3"/>
      <c r="L80" s="3"/>
      <c r="M80" s="3"/>
      <c r="N80" s="3"/>
      <c r="O80" s="3"/>
      <c r="P80" s="3"/>
      <c r="Q80" s="3"/>
      <c r="R80" s="3"/>
      <c r="S80" s="3"/>
    </row>
    <row r="81" spans="1:19" ht="15.75" customHeight="1" x14ac:dyDescent="0.25">
      <c r="A81" s="3"/>
      <c r="B81" s="3"/>
      <c r="C81" s="3"/>
      <c r="D81" s="3"/>
      <c r="E81" s="3"/>
      <c r="F81" s="3"/>
      <c r="G81" s="3"/>
      <c r="H81" s="3"/>
      <c r="I81" s="3"/>
      <c r="J81" s="3"/>
      <c r="K81" s="3"/>
      <c r="L81" s="3"/>
      <c r="M81" s="3"/>
      <c r="N81" s="3"/>
      <c r="O81" s="3"/>
      <c r="P81" s="3"/>
      <c r="Q81" s="3"/>
      <c r="R81" s="3"/>
      <c r="S81" s="3"/>
    </row>
    <row r="82" spans="1:19" ht="15.75" customHeight="1" x14ac:dyDescent="0.25">
      <c r="A82" s="3"/>
      <c r="B82" s="3"/>
      <c r="C82" s="3"/>
      <c r="D82" s="3"/>
      <c r="E82" s="3"/>
      <c r="F82" s="3"/>
      <c r="G82" s="3"/>
      <c r="H82" s="3"/>
      <c r="I82" s="3"/>
      <c r="J82" s="3"/>
      <c r="K82" s="3"/>
      <c r="L82" s="3"/>
      <c r="M82" s="3"/>
      <c r="N82" s="3"/>
      <c r="O82" s="3"/>
      <c r="P82" s="3"/>
      <c r="Q82" s="3"/>
      <c r="R82" s="3"/>
      <c r="S82" s="3"/>
    </row>
    <row r="83" spans="1:19" ht="15.75" customHeight="1" x14ac:dyDescent="0.25">
      <c r="A83" s="3"/>
      <c r="B83" s="3"/>
      <c r="C83" s="3"/>
      <c r="D83" s="3"/>
      <c r="E83" s="3"/>
      <c r="F83" s="3"/>
      <c r="G83" s="3"/>
      <c r="H83" s="3"/>
      <c r="I83" s="3"/>
      <c r="J83" s="3"/>
      <c r="K83" s="3"/>
      <c r="L83" s="3"/>
      <c r="M83" s="3"/>
      <c r="N83" s="3"/>
      <c r="O83" s="3"/>
      <c r="P83" s="3"/>
      <c r="Q83" s="3"/>
      <c r="R83" s="3"/>
      <c r="S83" s="3"/>
    </row>
    <row r="84" spans="1:19" ht="15.75" customHeight="1" x14ac:dyDescent="0.25">
      <c r="A84" s="3"/>
      <c r="B84" s="3"/>
      <c r="C84" s="3"/>
      <c r="D84" s="3"/>
      <c r="E84" s="3"/>
      <c r="F84" s="3"/>
      <c r="G84" s="3"/>
      <c r="H84" s="3"/>
      <c r="I84" s="3"/>
      <c r="J84" s="3"/>
      <c r="K84" s="3"/>
      <c r="L84" s="3"/>
      <c r="M84" s="3"/>
      <c r="N84" s="3"/>
      <c r="O84" s="3"/>
      <c r="P84" s="3"/>
      <c r="Q84" s="3"/>
      <c r="R84" s="3"/>
      <c r="S84" s="3"/>
    </row>
    <row r="85" spans="1:19" ht="15.75" customHeight="1" x14ac:dyDescent="0.25">
      <c r="A85" s="3"/>
      <c r="B85" s="3"/>
      <c r="C85" s="3"/>
      <c r="D85" s="3"/>
      <c r="E85" s="3"/>
      <c r="F85" s="3"/>
      <c r="G85" s="3"/>
      <c r="H85" s="3"/>
      <c r="I85" s="3"/>
      <c r="J85" s="3"/>
      <c r="K85" s="3"/>
      <c r="L85" s="3"/>
      <c r="M85" s="3"/>
      <c r="N85" s="3"/>
      <c r="O85" s="3"/>
      <c r="P85" s="3"/>
      <c r="Q85" s="3"/>
      <c r="R85" s="3"/>
      <c r="S85" s="3"/>
    </row>
    <row r="86" spans="1:19" ht="15.75" customHeight="1" x14ac:dyDescent="0.25">
      <c r="A86" s="3"/>
      <c r="B86" s="3"/>
      <c r="C86" s="3"/>
      <c r="D86" s="3"/>
      <c r="E86" s="3"/>
      <c r="F86" s="3"/>
      <c r="G86" s="3"/>
      <c r="H86" s="3"/>
      <c r="I86" s="3"/>
      <c r="J86" s="3"/>
      <c r="K86" s="3"/>
      <c r="L86" s="3"/>
      <c r="M86" s="3"/>
      <c r="N86" s="3"/>
      <c r="O86" s="3"/>
      <c r="P86" s="3"/>
      <c r="Q86" s="3"/>
      <c r="R86" s="3"/>
      <c r="S86" s="3"/>
    </row>
    <row r="87" spans="1:19" ht="15.75" customHeight="1" x14ac:dyDescent="0.25">
      <c r="A87" s="3"/>
      <c r="B87" s="3"/>
      <c r="C87" s="3"/>
      <c r="D87" s="3"/>
      <c r="E87" s="3"/>
      <c r="F87" s="3"/>
      <c r="G87" s="3"/>
      <c r="H87" s="3"/>
      <c r="I87" s="3"/>
      <c r="J87" s="3"/>
      <c r="K87" s="3"/>
      <c r="L87" s="3"/>
      <c r="M87" s="3"/>
      <c r="N87" s="3"/>
      <c r="O87" s="3"/>
      <c r="P87" s="3"/>
      <c r="Q87" s="3"/>
      <c r="R87" s="3"/>
      <c r="S87" s="3"/>
    </row>
    <row r="88" spans="1:19" ht="15.75" customHeight="1" x14ac:dyDescent="0.25">
      <c r="A88" s="3"/>
      <c r="B88" s="3"/>
      <c r="C88" s="3"/>
      <c r="D88" s="3"/>
      <c r="E88" s="3"/>
      <c r="F88" s="3"/>
      <c r="G88" s="3"/>
      <c r="H88" s="3"/>
      <c r="I88" s="3"/>
      <c r="J88" s="3"/>
      <c r="K88" s="3"/>
      <c r="L88" s="3"/>
      <c r="M88" s="3"/>
      <c r="N88" s="3"/>
      <c r="O88" s="3"/>
      <c r="P88" s="3"/>
      <c r="Q88" s="3"/>
      <c r="R88" s="3"/>
      <c r="S88" s="3"/>
    </row>
    <row r="89" spans="1:19" ht="15.75" customHeight="1" x14ac:dyDescent="0.25">
      <c r="A89" s="3"/>
      <c r="B89" s="3"/>
      <c r="C89" s="3"/>
      <c r="D89" s="3"/>
      <c r="E89" s="3"/>
      <c r="F89" s="3"/>
      <c r="G89" s="3"/>
      <c r="H89" s="3"/>
      <c r="I89" s="3"/>
      <c r="J89" s="3"/>
      <c r="K89" s="3"/>
      <c r="L89" s="3"/>
      <c r="M89" s="3"/>
      <c r="N89" s="3"/>
      <c r="O89" s="3"/>
      <c r="P89" s="3"/>
      <c r="Q89" s="3"/>
      <c r="R89" s="3"/>
      <c r="S89" s="3"/>
    </row>
    <row r="90" spans="1:19" ht="15.75" customHeight="1" x14ac:dyDescent="0.25">
      <c r="A90" s="3"/>
      <c r="B90" s="3"/>
      <c r="C90" s="3"/>
      <c r="D90" s="3"/>
      <c r="E90" s="3"/>
      <c r="F90" s="3"/>
      <c r="G90" s="3"/>
      <c r="H90" s="3"/>
      <c r="I90" s="3"/>
      <c r="J90" s="3"/>
      <c r="K90" s="3"/>
      <c r="L90" s="3"/>
      <c r="M90" s="3"/>
      <c r="N90" s="3"/>
      <c r="O90" s="3"/>
      <c r="P90" s="3"/>
      <c r="Q90" s="3"/>
      <c r="R90" s="3"/>
      <c r="S90" s="3"/>
    </row>
    <row r="91" spans="1:19" ht="15.75" customHeight="1" x14ac:dyDescent="0.25">
      <c r="A91" s="3"/>
      <c r="B91" s="3"/>
      <c r="C91" s="3"/>
      <c r="D91" s="3"/>
      <c r="E91" s="3"/>
      <c r="F91" s="3"/>
      <c r="G91" s="3"/>
      <c r="H91" s="3"/>
      <c r="I91" s="3"/>
      <c r="J91" s="3"/>
      <c r="K91" s="3"/>
      <c r="L91" s="3"/>
      <c r="M91" s="3"/>
      <c r="N91" s="3"/>
      <c r="O91" s="3"/>
      <c r="P91" s="3"/>
      <c r="Q91" s="3"/>
      <c r="R91" s="3"/>
      <c r="S91" s="3"/>
    </row>
    <row r="92" spans="1:19" ht="15.75" customHeight="1" x14ac:dyDescent="0.25">
      <c r="A92" s="3"/>
      <c r="B92" s="3"/>
      <c r="C92" s="3"/>
      <c r="D92" s="3"/>
      <c r="E92" s="3"/>
      <c r="F92" s="3"/>
      <c r="G92" s="3"/>
      <c r="H92" s="3"/>
      <c r="I92" s="3"/>
      <c r="J92" s="3"/>
      <c r="K92" s="3"/>
      <c r="L92" s="3"/>
      <c r="M92" s="3"/>
      <c r="N92" s="3"/>
      <c r="O92" s="3"/>
      <c r="P92" s="3"/>
      <c r="Q92" s="3"/>
      <c r="R92" s="3"/>
      <c r="S92" s="3"/>
    </row>
    <row r="93" spans="1:19" ht="15.75" customHeight="1" x14ac:dyDescent="0.25">
      <c r="A93" s="3"/>
      <c r="B93" s="3"/>
      <c r="C93" s="3"/>
      <c r="D93" s="3"/>
      <c r="E93" s="3"/>
      <c r="F93" s="3"/>
      <c r="G93" s="3"/>
      <c r="H93" s="3"/>
      <c r="I93" s="3"/>
      <c r="J93" s="3"/>
      <c r="K93" s="3"/>
      <c r="L93" s="3"/>
      <c r="M93" s="3"/>
      <c r="N93" s="3"/>
      <c r="O93" s="3"/>
      <c r="P93" s="3"/>
      <c r="Q93" s="3"/>
      <c r="R93" s="3"/>
      <c r="S93" s="3"/>
    </row>
    <row r="94" spans="1:19" ht="15.75" customHeight="1" x14ac:dyDescent="0.25">
      <c r="A94" s="3"/>
      <c r="B94" s="3"/>
      <c r="C94" s="3"/>
      <c r="D94" s="3"/>
      <c r="E94" s="3"/>
      <c r="F94" s="3"/>
      <c r="G94" s="3"/>
      <c r="H94" s="3"/>
      <c r="I94" s="3"/>
      <c r="J94" s="3"/>
      <c r="K94" s="3"/>
      <c r="L94" s="3"/>
      <c r="M94" s="3"/>
      <c r="N94" s="3"/>
      <c r="O94" s="3"/>
      <c r="P94" s="3"/>
      <c r="Q94" s="3"/>
      <c r="R94" s="3"/>
      <c r="S94" s="3"/>
    </row>
    <row r="95" spans="1:19" ht="15.75" customHeight="1" x14ac:dyDescent="0.25">
      <c r="A95" s="3"/>
      <c r="B95" s="3"/>
      <c r="C95" s="3"/>
      <c r="D95" s="3"/>
      <c r="E95" s="3"/>
      <c r="F95" s="3"/>
      <c r="G95" s="3"/>
      <c r="H95" s="3"/>
      <c r="I95" s="3"/>
      <c r="J95" s="3"/>
      <c r="K95" s="3"/>
      <c r="L95" s="3"/>
      <c r="M95" s="3"/>
      <c r="N95" s="3"/>
      <c r="O95" s="3"/>
      <c r="P95" s="3"/>
      <c r="Q95" s="3"/>
      <c r="R95" s="3"/>
      <c r="S95" s="3"/>
    </row>
    <row r="96" spans="1:19" ht="15.75" customHeight="1" x14ac:dyDescent="0.25">
      <c r="A96" s="3"/>
      <c r="B96" s="3"/>
      <c r="C96" s="3"/>
      <c r="D96" s="3"/>
      <c r="E96" s="3"/>
      <c r="F96" s="3"/>
      <c r="G96" s="3"/>
      <c r="H96" s="3"/>
      <c r="I96" s="3"/>
      <c r="J96" s="3"/>
      <c r="K96" s="3"/>
      <c r="L96" s="3"/>
      <c r="M96" s="3"/>
      <c r="N96" s="3"/>
      <c r="O96" s="3"/>
      <c r="P96" s="3"/>
      <c r="Q96" s="3"/>
      <c r="R96" s="3"/>
      <c r="S96" s="3"/>
    </row>
    <row r="97" spans="1:19" ht="15.75" customHeight="1" x14ac:dyDescent="0.25">
      <c r="A97" s="3"/>
      <c r="B97" s="3"/>
      <c r="C97" s="3"/>
      <c r="D97" s="3"/>
      <c r="E97" s="3"/>
      <c r="F97" s="3"/>
      <c r="G97" s="3"/>
      <c r="H97" s="3"/>
      <c r="I97" s="3"/>
      <c r="J97" s="3"/>
      <c r="K97" s="3"/>
      <c r="L97" s="3"/>
      <c r="M97" s="3"/>
      <c r="N97" s="3"/>
      <c r="O97" s="3"/>
      <c r="P97" s="3"/>
      <c r="Q97" s="3"/>
      <c r="R97" s="3"/>
      <c r="S97" s="3"/>
    </row>
    <row r="98" spans="1:19" ht="15.75" customHeight="1" x14ac:dyDescent="0.25">
      <c r="A98" s="3"/>
      <c r="B98" s="3"/>
      <c r="C98" s="3"/>
      <c r="D98" s="3"/>
      <c r="E98" s="3"/>
      <c r="F98" s="3"/>
      <c r="G98" s="3"/>
      <c r="H98" s="3"/>
      <c r="I98" s="3"/>
      <c r="J98" s="3"/>
      <c r="K98" s="3"/>
      <c r="L98" s="3"/>
      <c r="M98" s="3"/>
      <c r="N98" s="3"/>
      <c r="O98" s="3"/>
      <c r="P98" s="3"/>
      <c r="Q98" s="3"/>
      <c r="R98" s="3"/>
      <c r="S98" s="3"/>
    </row>
    <row r="99" spans="1:19" ht="15.75" customHeight="1" x14ac:dyDescent="0.25">
      <c r="A99" s="3"/>
      <c r="B99" s="3"/>
      <c r="C99" s="3"/>
      <c r="D99" s="3"/>
      <c r="E99" s="3"/>
      <c r="F99" s="3"/>
      <c r="G99" s="3"/>
      <c r="H99" s="3"/>
      <c r="I99" s="3"/>
      <c r="J99" s="3"/>
      <c r="K99" s="3"/>
      <c r="L99" s="3"/>
      <c r="M99" s="3"/>
      <c r="N99" s="3"/>
      <c r="O99" s="3"/>
      <c r="P99" s="3"/>
      <c r="Q99" s="3"/>
      <c r="R99" s="3"/>
      <c r="S99" s="3"/>
    </row>
    <row r="100" spans="1:19" ht="15.75" customHeight="1" x14ac:dyDescent="0.25">
      <c r="A100" s="3"/>
      <c r="B100" s="3"/>
      <c r="C100" s="3"/>
      <c r="D100" s="3"/>
      <c r="E100" s="3"/>
      <c r="F100" s="3"/>
      <c r="G100" s="3"/>
      <c r="H100" s="3"/>
      <c r="I100" s="3"/>
      <c r="J100" s="3"/>
      <c r="K100" s="3"/>
      <c r="L100" s="3"/>
      <c r="M100" s="3"/>
      <c r="N100" s="3"/>
      <c r="O100" s="3"/>
      <c r="P100" s="3"/>
      <c r="Q100" s="3"/>
      <c r="R100" s="3"/>
      <c r="S100" s="3"/>
    </row>
    <row r="101" spans="1:19" ht="15.75" customHeight="1" x14ac:dyDescent="0.25">
      <c r="A101" s="3"/>
      <c r="B101" s="3"/>
      <c r="C101" s="3"/>
      <c r="D101" s="3"/>
      <c r="E101" s="3"/>
      <c r="F101" s="3"/>
      <c r="G101" s="3"/>
      <c r="H101" s="3"/>
      <c r="I101" s="3"/>
      <c r="J101" s="3"/>
      <c r="K101" s="3"/>
      <c r="L101" s="3"/>
      <c r="M101" s="3"/>
      <c r="N101" s="3"/>
      <c r="O101" s="3"/>
      <c r="P101" s="3"/>
      <c r="Q101" s="3"/>
      <c r="R101" s="3"/>
      <c r="S101" s="3"/>
    </row>
    <row r="102" spans="1:19" ht="15.75" customHeight="1" x14ac:dyDescent="0.25">
      <c r="A102" s="3"/>
      <c r="B102" s="3"/>
      <c r="C102" s="3"/>
      <c r="D102" s="3"/>
      <c r="E102" s="3"/>
      <c r="F102" s="3"/>
      <c r="G102" s="3"/>
      <c r="H102" s="3"/>
      <c r="I102" s="3"/>
      <c r="J102" s="3"/>
      <c r="K102" s="3"/>
      <c r="L102" s="3"/>
      <c r="M102" s="3"/>
      <c r="N102" s="3"/>
      <c r="O102" s="3"/>
      <c r="P102" s="3"/>
      <c r="Q102" s="3"/>
      <c r="R102" s="3"/>
      <c r="S102" s="3"/>
    </row>
    <row r="103" spans="1:19" ht="15.75" customHeight="1" x14ac:dyDescent="0.25">
      <c r="A103" s="3"/>
      <c r="B103" s="3"/>
      <c r="C103" s="3"/>
      <c r="D103" s="3"/>
      <c r="E103" s="3"/>
      <c r="F103" s="3"/>
      <c r="G103" s="3"/>
      <c r="H103" s="3"/>
      <c r="I103" s="3"/>
      <c r="J103" s="3"/>
      <c r="K103" s="3"/>
      <c r="L103" s="3"/>
      <c r="M103" s="3"/>
      <c r="N103" s="3"/>
      <c r="O103" s="3"/>
      <c r="P103" s="3"/>
      <c r="Q103" s="3"/>
      <c r="R103" s="3"/>
      <c r="S103" s="3"/>
    </row>
    <row r="104" spans="1:19" ht="15.75" customHeight="1" x14ac:dyDescent="0.25">
      <c r="A104" s="3"/>
      <c r="B104" s="3"/>
      <c r="C104" s="3"/>
      <c r="D104" s="3"/>
      <c r="E104" s="3"/>
      <c r="F104" s="3"/>
      <c r="G104" s="3"/>
      <c r="H104" s="3"/>
      <c r="I104" s="3"/>
      <c r="J104" s="3"/>
      <c r="K104" s="3"/>
      <c r="L104" s="3"/>
      <c r="M104" s="3"/>
      <c r="N104" s="3"/>
      <c r="O104" s="3"/>
      <c r="P104" s="3"/>
      <c r="Q104" s="3"/>
      <c r="R104" s="3"/>
      <c r="S104" s="3"/>
    </row>
    <row r="105" spans="1:19" ht="15.75" customHeight="1" x14ac:dyDescent="0.25">
      <c r="A105" s="3"/>
      <c r="B105" s="3"/>
      <c r="C105" s="3"/>
      <c r="D105" s="3"/>
      <c r="E105" s="3"/>
      <c r="F105" s="3"/>
      <c r="G105" s="3"/>
      <c r="H105" s="3"/>
      <c r="I105" s="3"/>
      <c r="J105" s="3"/>
      <c r="K105" s="3"/>
      <c r="L105" s="3"/>
      <c r="M105" s="3"/>
      <c r="N105" s="3"/>
      <c r="O105" s="3"/>
      <c r="P105" s="3"/>
      <c r="Q105" s="3"/>
      <c r="R105" s="3"/>
      <c r="S105" s="3"/>
    </row>
    <row r="106" spans="1:19" ht="15.75" customHeight="1" x14ac:dyDescent="0.25">
      <c r="A106" s="3"/>
      <c r="B106" s="3"/>
      <c r="C106" s="3"/>
      <c r="D106" s="3"/>
      <c r="E106" s="3"/>
      <c r="F106" s="3"/>
      <c r="G106" s="3"/>
      <c r="H106" s="3"/>
      <c r="I106" s="3"/>
      <c r="J106" s="3"/>
      <c r="K106" s="3"/>
      <c r="L106" s="3"/>
      <c r="M106" s="3"/>
      <c r="N106" s="3"/>
      <c r="O106" s="3"/>
      <c r="P106" s="3"/>
      <c r="Q106" s="3"/>
      <c r="R106" s="3"/>
      <c r="S106" s="3"/>
    </row>
    <row r="107" spans="1:19" ht="15.75" customHeight="1" x14ac:dyDescent="0.25">
      <c r="A107" s="3"/>
      <c r="B107" s="3"/>
      <c r="C107" s="3"/>
      <c r="D107" s="3"/>
      <c r="E107" s="3"/>
      <c r="F107" s="3"/>
      <c r="G107" s="3"/>
      <c r="H107" s="3"/>
      <c r="I107" s="3"/>
      <c r="J107" s="3"/>
      <c r="K107" s="3"/>
      <c r="L107" s="3"/>
      <c r="M107" s="3"/>
      <c r="N107" s="3"/>
      <c r="O107" s="3"/>
      <c r="P107" s="3"/>
      <c r="Q107" s="3"/>
      <c r="R107" s="3"/>
      <c r="S107" s="3"/>
    </row>
    <row r="108" spans="1:19" ht="15.75" customHeight="1" x14ac:dyDescent="0.25">
      <c r="A108" s="3"/>
      <c r="B108" s="3"/>
      <c r="C108" s="3"/>
      <c r="D108" s="3"/>
      <c r="E108" s="3"/>
      <c r="F108" s="3"/>
      <c r="G108" s="3"/>
      <c r="H108" s="3"/>
      <c r="I108" s="3"/>
      <c r="J108" s="3"/>
      <c r="K108" s="3"/>
      <c r="L108" s="3"/>
      <c r="M108" s="3"/>
      <c r="N108" s="3"/>
      <c r="O108" s="3"/>
      <c r="P108" s="3"/>
      <c r="Q108" s="3"/>
      <c r="R108" s="3"/>
      <c r="S108" s="3"/>
    </row>
    <row r="109" spans="1:19" ht="15.75" customHeight="1" x14ac:dyDescent="0.25">
      <c r="A109" s="3"/>
      <c r="B109" s="3"/>
      <c r="C109" s="3"/>
      <c r="D109" s="3"/>
      <c r="E109" s="3"/>
      <c r="F109" s="3"/>
      <c r="G109" s="3"/>
      <c r="H109" s="3"/>
      <c r="I109" s="3"/>
      <c r="J109" s="3"/>
      <c r="K109" s="3"/>
      <c r="L109" s="3"/>
      <c r="M109" s="3"/>
      <c r="N109" s="3"/>
      <c r="O109" s="3"/>
      <c r="P109" s="3"/>
      <c r="Q109" s="3"/>
      <c r="R109" s="3"/>
      <c r="S109" s="3"/>
    </row>
    <row r="110" spans="1:19" ht="15.75" customHeight="1" x14ac:dyDescent="0.25">
      <c r="A110" s="3"/>
      <c r="B110" s="3"/>
      <c r="C110" s="3"/>
      <c r="D110" s="3"/>
      <c r="E110" s="3"/>
      <c r="F110" s="3"/>
      <c r="G110" s="3"/>
      <c r="H110" s="3"/>
      <c r="I110" s="3"/>
      <c r="J110" s="3"/>
      <c r="K110" s="3"/>
      <c r="L110" s="3"/>
      <c r="M110" s="3"/>
      <c r="N110" s="3"/>
      <c r="O110" s="3"/>
      <c r="P110" s="3"/>
      <c r="Q110" s="3"/>
      <c r="R110" s="3"/>
      <c r="S110" s="3"/>
    </row>
    <row r="111" spans="1:19" ht="15.75" customHeight="1" x14ac:dyDescent="0.25">
      <c r="A111" s="3"/>
      <c r="B111" s="3"/>
      <c r="C111" s="3"/>
      <c r="D111" s="3"/>
      <c r="E111" s="3"/>
      <c r="F111" s="3"/>
      <c r="G111" s="3"/>
      <c r="H111" s="3"/>
      <c r="I111" s="3"/>
      <c r="J111" s="3"/>
      <c r="K111" s="3"/>
      <c r="L111" s="3"/>
      <c r="M111" s="3"/>
      <c r="N111" s="3"/>
      <c r="O111" s="3"/>
      <c r="P111" s="3"/>
      <c r="Q111" s="3"/>
      <c r="R111" s="3"/>
      <c r="S111" s="3"/>
    </row>
    <row r="112" spans="1:19" ht="15.75" customHeight="1" x14ac:dyDescent="0.25">
      <c r="A112" s="3"/>
      <c r="B112" s="3"/>
      <c r="C112" s="3"/>
      <c r="D112" s="3"/>
      <c r="E112" s="3"/>
      <c r="F112" s="3"/>
      <c r="G112" s="3"/>
      <c r="H112" s="3"/>
      <c r="I112" s="3"/>
      <c r="J112" s="3"/>
      <c r="K112" s="3"/>
      <c r="L112" s="3"/>
      <c r="M112" s="3"/>
      <c r="N112" s="3"/>
      <c r="O112" s="3"/>
      <c r="P112" s="3"/>
      <c r="Q112" s="3"/>
      <c r="R112" s="3"/>
      <c r="S112" s="3"/>
    </row>
    <row r="113" spans="1:19" ht="15.75" customHeight="1" x14ac:dyDescent="0.25">
      <c r="A113" s="3"/>
      <c r="B113" s="3"/>
      <c r="C113" s="3"/>
      <c r="D113" s="3"/>
      <c r="E113" s="3"/>
      <c r="F113" s="3"/>
      <c r="G113" s="3"/>
      <c r="H113" s="3"/>
      <c r="I113" s="3"/>
      <c r="J113" s="3"/>
      <c r="K113" s="3"/>
      <c r="L113" s="3"/>
      <c r="M113" s="3"/>
      <c r="N113" s="3"/>
      <c r="O113" s="3"/>
      <c r="P113" s="3"/>
      <c r="Q113" s="3"/>
      <c r="R113" s="3"/>
      <c r="S113" s="3"/>
    </row>
    <row r="114" spans="1:19" ht="15.75" customHeight="1" x14ac:dyDescent="0.25">
      <c r="A114" s="3"/>
      <c r="B114" s="3"/>
      <c r="C114" s="3"/>
      <c r="D114" s="3"/>
      <c r="E114" s="3"/>
      <c r="F114" s="3"/>
      <c r="G114" s="3"/>
      <c r="H114" s="3"/>
      <c r="I114" s="3"/>
      <c r="J114" s="3"/>
      <c r="K114" s="3"/>
      <c r="L114" s="3"/>
      <c r="M114" s="3"/>
      <c r="N114" s="3"/>
      <c r="O114" s="3"/>
      <c r="P114" s="3"/>
      <c r="Q114" s="3"/>
      <c r="R114" s="3"/>
      <c r="S114" s="3"/>
    </row>
    <row r="115" spans="1:19" ht="15.75" customHeight="1" x14ac:dyDescent="0.25">
      <c r="A115" s="3"/>
      <c r="B115" s="3"/>
      <c r="C115" s="3"/>
      <c r="D115" s="3"/>
      <c r="E115" s="3"/>
      <c r="F115" s="3"/>
      <c r="G115" s="3"/>
      <c r="H115" s="3"/>
      <c r="I115" s="3"/>
      <c r="J115" s="3"/>
      <c r="K115" s="3"/>
      <c r="L115" s="3"/>
      <c r="M115" s="3"/>
      <c r="N115" s="3"/>
      <c r="O115" s="3"/>
      <c r="P115" s="3"/>
      <c r="Q115" s="3"/>
      <c r="R115" s="3"/>
      <c r="S115" s="3"/>
    </row>
    <row r="116" spans="1:19" ht="15.75" customHeight="1" x14ac:dyDescent="0.25">
      <c r="A116" s="3"/>
      <c r="B116" s="3"/>
      <c r="C116" s="3"/>
      <c r="D116" s="3"/>
      <c r="E116" s="3"/>
      <c r="F116" s="3"/>
      <c r="G116" s="3"/>
      <c r="H116" s="3"/>
      <c r="I116" s="3"/>
      <c r="J116" s="3"/>
      <c r="K116" s="3"/>
      <c r="L116" s="3"/>
      <c r="M116" s="3"/>
      <c r="N116" s="3"/>
      <c r="O116" s="3"/>
      <c r="P116" s="3"/>
      <c r="Q116" s="3"/>
      <c r="R116" s="3"/>
      <c r="S116" s="3"/>
    </row>
    <row r="117" spans="1:19" ht="15.75" customHeight="1" x14ac:dyDescent="0.25">
      <c r="A117" s="3"/>
      <c r="B117" s="3"/>
      <c r="C117" s="3"/>
      <c r="D117" s="3"/>
      <c r="E117" s="3"/>
      <c r="F117" s="3"/>
      <c r="G117" s="3"/>
      <c r="H117" s="3"/>
      <c r="I117" s="3"/>
      <c r="J117" s="3"/>
      <c r="K117" s="3"/>
      <c r="L117" s="3"/>
      <c r="M117" s="3"/>
      <c r="N117" s="3"/>
      <c r="O117" s="3"/>
      <c r="P117" s="3"/>
      <c r="Q117" s="3"/>
      <c r="R117" s="3"/>
      <c r="S117" s="3"/>
    </row>
    <row r="118" spans="1:19" ht="15.75" customHeight="1" x14ac:dyDescent="0.25">
      <c r="A118" s="3"/>
      <c r="B118" s="3"/>
      <c r="C118" s="3"/>
      <c r="D118" s="3"/>
      <c r="E118" s="3"/>
      <c r="F118" s="3"/>
      <c r="G118" s="3"/>
      <c r="H118" s="3"/>
      <c r="I118" s="3"/>
      <c r="J118" s="3"/>
      <c r="K118" s="3"/>
      <c r="L118" s="3"/>
      <c r="M118" s="3"/>
      <c r="N118" s="3"/>
      <c r="O118" s="3"/>
      <c r="P118" s="3"/>
      <c r="Q118" s="3"/>
      <c r="R118" s="3"/>
      <c r="S118" s="3"/>
    </row>
    <row r="119" spans="1:19" ht="15.75" customHeight="1" x14ac:dyDescent="0.25">
      <c r="A119" s="3"/>
      <c r="B119" s="3"/>
      <c r="C119" s="3"/>
      <c r="D119" s="3"/>
      <c r="E119" s="3"/>
      <c r="F119" s="3"/>
      <c r="G119" s="3"/>
      <c r="H119" s="3"/>
      <c r="I119" s="3"/>
      <c r="J119" s="3"/>
      <c r="K119" s="3"/>
      <c r="L119" s="3"/>
      <c r="M119" s="3"/>
      <c r="N119" s="3"/>
      <c r="O119" s="3"/>
      <c r="P119" s="3"/>
      <c r="Q119" s="3"/>
      <c r="R119" s="3"/>
      <c r="S119" s="3"/>
    </row>
    <row r="120" spans="1:19" ht="15.75" customHeight="1" x14ac:dyDescent="0.25">
      <c r="A120" s="3"/>
      <c r="B120" s="3"/>
      <c r="C120" s="3"/>
      <c r="D120" s="3"/>
      <c r="E120" s="3"/>
      <c r="F120" s="3"/>
      <c r="G120" s="3"/>
      <c r="H120" s="3"/>
      <c r="I120" s="3"/>
      <c r="J120" s="3"/>
      <c r="K120" s="3"/>
      <c r="L120" s="3"/>
      <c r="M120" s="3"/>
      <c r="N120" s="3"/>
      <c r="O120" s="3"/>
      <c r="P120" s="3"/>
      <c r="Q120" s="3"/>
      <c r="R120" s="3"/>
      <c r="S120" s="3"/>
    </row>
    <row r="121" spans="1:19" ht="15.75" customHeight="1" x14ac:dyDescent="0.25">
      <c r="A121" s="3"/>
      <c r="B121" s="3"/>
      <c r="C121" s="3"/>
      <c r="D121" s="3"/>
      <c r="E121" s="3"/>
      <c r="F121" s="3"/>
      <c r="G121" s="3"/>
      <c r="H121" s="3"/>
      <c r="I121" s="3"/>
      <c r="J121" s="3"/>
      <c r="K121" s="3"/>
      <c r="L121" s="3"/>
      <c r="M121" s="3"/>
      <c r="N121" s="3"/>
      <c r="O121" s="3"/>
      <c r="P121" s="3"/>
      <c r="Q121" s="3"/>
      <c r="R121" s="3"/>
      <c r="S121" s="3"/>
    </row>
    <row r="122" spans="1:19" ht="15.75" customHeight="1" x14ac:dyDescent="0.25">
      <c r="A122" s="3"/>
      <c r="B122" s="3"/>
      <c r="C122" s="3"/>
      <c r="D122" s="3"/>
      <c r="E122" s="3"/>
      <c r="F122" s="3"/>
      <c r="G122" s="3"/>
      <c r="H122" s="3"/>
      <c r="I122" s="3"/>
      <c r="J122" s="3"/>
      <c r="K122" s="3"/>
      <c r="L122" s="3"/>
      <c r="M122" s="3"/>
      <c r="N122" s="3"/>
      <c r="O122" s="3"/>
      <c r="P122" s="3"/>
      <c r="Q122" s="3"/>
      <c r="R122" s="3"/>
      <c r="S122" s="3"/>
    </row>
    <row r="123" spans="1:19" ht="15.75" customHeight="1" x14ac:dyDescent="0.25">
      <c r="A123" s="3"/>
      <c r="B123" s="3"/>
      <c r="C123" s="3"/>
      <c r="D123" s="3"/>
      <c r="E123" s="3"/>
      <c r="F123" s="3"/>
      <c r="G123" s="3"/>
      <c r="H123" s="3"/>
      <c r="I123" s="3"/>
      <c r="J123" s="3"/>
      <c r="K123" s="3"/>
      <c r="L123" s="3"/>
      <c r="M123" s="3"/>
      <c r="N123" s="3"/>
      <c r="O123" s="3"/>
      <c r="P123" s="3"/>
      <c r="Q123" s="3"/>
      <c r="R123" s="3"/>
      <c r="S123" s="3"/>
    </row>
    <row r="124" spans="1:19" ht="15.75" customHeight="1" x14ac:dyDescent="0.25">
      <c r="A124" s="3"/>
      <c r="B124" s="3"/>
      <c r="C124" s="3"/>
      <c r="D124" s="3"/>
      <c r="E124" s="3"/>
      <c r="F124" s="3"/>
      <c r="G124" s="3"/>
      <c r="H124" s="3"/>
      <c r="I124" s="3"/>
      <c r="J124" s="3"/>
      <c r="K124" s="3"/>
      <c r="L124" s="3"/>
      <c r="M124" s="3"/>
      <c r="N124" s="3"/>
      <c r="O124" s="3"/>
      <c r="P124" s="3"/>
      <c r="Q124" s="3"/>
      <c r="R124" s="3"/>
      <c r="S124" s="3"/>
    </row>
    <row r="125" spans="1:19" ht="15.75" customHeight="1" x14ac:dyDescent="0.25">
      <c r="A125" s="3"/>
      <c r="B125" s="3"/>
      <c r="C125" s="3"/>
      <c r="D125" s="3"/>
      <c r="E125" s="3"/>
      <c r="F125" s="3"/>
      <c r="G125" s="3"/>
      <c r="H125" s="3"/>
      <c r="I125" s="3"/>
      <c r="J125" s="3"/>
      <c r="K125" s="3"/>
      <c r="L125" s="3"/>
      <c r="M125" s="3"/>
      <c r="N125" s="3"/>
      <c r="O125" s="3"/>
      <c r="P125" s="3"/>
      <c r="Q125" s="3"/>
      <c r="R125" s="3"/>
      <c r="S125" s="3"/>
    </row>
    <row r="126" spans="1:19" ht="15.75" customHeight="1" x14ac:dyDescent="0.25">
      <c r="A126" s="3"/>
      <c r="B126" s="3"/>
      <c r="C126" s="3"/>
      <c r="D126" s="3"/>
      <c r="E126" s="3"/>
      <c r="F126" s="3"/>
      <c r="G126" s="3"/>
      <c r="H126" s="3"/>
      <c r="I126" s="3"/>
      <c r="J126" s="3"/>
      <c r="K126" s="3"/>
      <c r="L126" s="3"/>
      <c r="M126" s="3"/>
      <c r="N126" s="3"/>
      <c r="O126" s="3"/>
      <c r="P126" s="3"/>
      <c r="Q126" s="3"/>
      <c r="R126" s="3"/>
      <c r="S126" s="3"/>
    </row>
    <row r="127" spans="1:19" ht="15.75" customHeight="1" x14ac:dyDescent="0.25">
      <c r="A127" s="3"/>
      <c r="B127" s="3"/>
      <c r="C127" s="3"/>
      <c r="D127" s="3"/>
      <c r="E127" s="3"/>
      <c r="F127" s="3"/>
      <c r="G127" s="3"/>
      <c r="H127" s="3"/>
      <c r="I127" s="3"/>
      <c r="J127" s="3"/>
      <c r="K127" s="3"/>
      <c r="L127" s="3"/>
      <c r="M127" s="3"/>
      <c r="N127" s="3"/>
      <c r="O127" s="3"/>
      <c r="P127" s="3"/>
      <c r="Q127" s="3"/>
      <c r="R127" s="3"/>
      <c r="S127" s="3"/>
    </row>
    <row r="128" spans="1:19" ht="15.75" customHeight="1" x14ac:dyDescent="0.25">
      <c r="A128" s="3"/>
      <c r="B128" s="3"/>
      <c r="C128" s="3"/>
      <c r="D128" s="3"/>
      <c r="E128" s="3"/>
      <c r="F128" s="3"/>
      <c r="G128" s="3"/>
      <c r="H128" s="3"/>
      <c r="I128" s="3"/>
      <c r="J128" s="3"/>
      <c r="K128" s="3"/>
      <c r="L128" s="3"/>
      <c r="M128" s="3"/>
      <c r="N128" s="3"/>
      <c r="O128" s="3"/>
      <c r="P128" s="3"/>
      <c r="Q128" s="3"/>
      <c r="R128" s="3"/>
      <c r="S128" s="3"/>
    </row>
    <row r="129" spans="1:19" ht="15.75" customHeight="1" x14ac:dyDescent="0.25">
      <c r="A129" s="3"/>
      <c r="B129" s="3"/>
      <c r="C129" s="3"/>
      <c r="D129" s="3"/>
      <c r="E129" s="3"/>
      <c r="F129" s="3"/>
      <c r="G129" s="3"/>
      <c r="H129" s="3"/>
      <c r="I129" s="3"/>
      <c r="J129" s="3"/>
      <c r="K129" s="3"/>
      <c r="L129" s="3"/>
      <c r="M129" s="3"/>
      <c r="N129" s="3"/>
      <c r="O129" s="3"/>
      <c r="P129" s="3"/>
      <c r="Q129" s="3"/>
      <c r="R129" s="3"/>
      <c r="S129" s="3"/>
    </row>
    <row r="130" spans="1:19" ht="15.75" customHeight="1" x14ac:dyDescent="0.25">
      <c r="A130" s="3"/>
      <c r="B130" s="3"/>
      <c r="C130" s="3"/>
      <c r="D130" s="3"/>
      <c r="E130" s="3"/>
      <c r="F130" s="3"/>
      <c r="G130" s="3"/>
      <c r="H130" s="3"/>
      <c r="I130" s="3"/>
      <c r="J130" s="3"/>
      <c r="K130" s="3"/>
      <c r="L130" s="3"/>
      <c r="M130" s="3"/>
      <c r="N130" s="3"/>
      <c r="O130" s="3"/>
      <c r="P130" s="3"/>
      <c r="Q130" s="3"/>
      <c r="R130" s="3"/>
      <c r="S130" s="3"/>
    </row>
    <row r="131" spans="1:19" ht="15.75" customHeight="1" x14ac:dyDescent="0.25">
      <c r="A131" s="3"/>
      <c r="B131" s="3"/>
      <c r="C131" s="3"/>
      <c r="D131" s="3"/>
      <c r="E131" s="3"/>
      <c r="F131" s="3"/>
      <c r="G131" s="3"/>
      <c r="H131" s="3"/>
      <c r="I131" s="3"/>
      <c r="J131" s="3"/>
      <c r="K131" s="3"/>
      <c r="L131" s="3"/>
      <c r="M131" s="3"/>
      <c r="N131" s="3"/>
      <c r="O131" s="3"/>
      <c r="P131" s="3"/>
      <c r="Q131" s="3"/>
      <c r="R131" s="3"/>
      <c r="S131" s="3"/>
    </row>
    <row r="132" spans="1:19" ht="15.75" customHeight="1" x14ac:dyDescent="0.25">
      <c r="A132" s="3"/>
      <c r="B132" s="3"/>
      <c r="C132" s="3"/>
      <c r="D132" s="3"/>
      <c r="E132" s="3"/>
      <c r="F132" s="3"/>
      <c r="G132" s="3"/>
      <c r="H132" s="3"/>
      <c r="I132" s="3"/>
      <c r="J132" s="3"/>
      <c r="K132" s="3"/>
      <c r="L132" s="3"/>
      <c r="M132" s="3"/>
      <c r="N132" s="3"/>
      <c r="O132" s="3"/>
      <c r="P132" s="3"/>
      <c r="Q132" s="3"/>
      <c r="R132" s="3"/>
      <c r="S132" s="3"/>
    </row>
    <row r="133" spans="1:19" ht="15.75" customHeight="1" x14ac:dyDescent="0.25">
      <c r="A133" s="3"/>
      <c r="B133" s="3"/>
      <c r="C133" s="3"/>
      <c r="D133" s="3"/>
      <c r="E133" s="3"/>
      <c r="F133" s="3"/>
      <c r="G133" s="3"/>
      <c r="H133" s="3"/>
      <c r="I133" s="3"/>
      <c r="J133" s="3"/>
      <c r="K133" s="3"/>
      <c r="L133" s="3"/>
      <c r="M133" s="3"/>
      <c r="N133" s="3"/>
      <c r="O133" s="3"/>
      <c r="P133" s="3"/>
      <c r="Q133" s="3"/>
      <c r="R133" s="3"/>
      <c r="S133" s="3"/>
    </row>
    <row r="134" spans="1:19" ht="15.75" customHeight="1" x14ac:dyDescent="0.25">
      <c r="A134" s="3"/>
      <c r="B134" s="3"/>
      <c r="C134" s="3"/>
      <c r="D134" s="3"/>
      <c r="E134" s="3"/>
      <c r="F134" s="3"/>
      <c r="G134" s="3"/>
      <c r="H134" s="3"/>
      <c r="I134" s="3"/>
      <c r="J134" s="3"/>
      <c r="K134" s="3"/>
      <c r="L134" s="3"/>
      <c r="M134" s="3"/>
      <c r="N134" s="3"/>
      <c r="O134" s="3"/>
      <c r="P134" s="3"/>
      <c r="Q134" s="3"/>
      <c r="R134" s="3"/>
      <c r="S134" s="3"/>
    </row>
    <row r="135" spans="1:19" ht="15.75" customHeight="1" x14ac:dyDescent="0.25">
      <c r="A135" s="3"/>
      <c r="B135" s="3"/>
      <c r="C135" s="3"/>
      <c r="D135" s="3"/>
      <c r="E135" s="3"/>
      <c r="F135" s="3"/>
      <c r="G135" s="3"/>
      <c r="H135" s="3"/>
      <c r="I135" s="3"/>
      <c r="J135" s="3"/>
      <c r="K135" s="3"/>
      <c r="L135" s="3"/>
      <c r="M135" s="3"/>
      <c r="N135" s="3"/>
      <c r="O135" s="3"/>
      <c r="P135" s="3"/>
      <c r="Q135" s="3"/>
      <c r="R135" s="3"/>
      <c r="S135" s="3"/>
    </row>
    <row r="136" spans="1:19" ht="15.75" customHeight="1" x14ac:dyDescent="0.25">
      <c r="A136" s="3"/>
      <c r="B136" s="3"/>
      <c r="C136" s="3"/>
      <c r="D136" s="3"/>
      <c r="E136" s="3"/>
      <c r="F136" s="3"/>
      <c r="G136" s="3"/>
      <c r="H136" s="3"/>
      <c r="I136" s="3"/>
      <c r="J136" s="3"/>
      <c r="K136" s="3"/>
      <c r="L136" s="3"/>
      <c r="M136" s="3"/>
      <c r="N136" s="3"/>
      <c r="O136" s="3"/>
      <c r="P136" s="3"/>
      <c r="Q136" s="3"/>
      <c r="R136" s="3"/>
      <c r="S136" s="3"/>
    </row>
    <row r="137" spans="1:19" ht="15.75" customHeight="1" x14ac:dyDescent="0.25">
      <c r="A137" s="3"/>
      <c r="B137" s="3"/>
      <c r="C137" s="3"/>
      <c r="D137" s="3"/>
      <c r="E137" s="3"/>
      <c r="F137" s="3"/>
      <c r="G137" s="3"/>
      <c r="H137" s="3"/>
      <c r="I137" s="3"/>
      <c r="J137" s="3"/>
      <c r="K137" s="3"/>
      <c r="L137" s="3"/>
      <c r="M137" s="3"/>
      <c r="N137" s="3"/>
      <c r="O137" s="3"/>
      <c r="P137" s="3"/>
      <c r="Q137" s="3"/>
      <c r="R137" s="3"/>
      <c r="S137" s="3"/>
    </row>
    <row r="138" spans="1:19" ht="15.75" customHeight="1" x14ac:dyDescent="0.25">
      <c r="A138" s="3"/>
      <c r="B138" s="3"/>
      <c r="C138" s="3"/>
      <c r="D138" s="3"/>
      <c r="E138" s="3"/>
      <c r="F138" s="3"/>
      <c r="G138" s="3"/>
      <c r="H138" s="3"/>
      <c r="I138" s="3"/>
      <c r="J138" s="3"/>
      <c r="K138" s="3"/>
      <c r="L138" s="3"/>
      <c r="M138" s="3"/>
      <c r="N138" s="3"/>
      <c r="O138" s="3"/>
      <c r="P138" s="3"/>
      <c r="Q138" s="3"/>
      <c r="R138" s="3"/>
      <c r="S138" s="3"/>
    </row>
    <row r="139" spans="1:19" ht="15.75" customHeight="1" x14ac:dyDescent="0.25">
      <c r="A139" s="3"/>
      <c r="B139" s="3"/>
      <c r="C139" s="3"/>
      <c r="D139" s="3"/>
      <c r="E139" s="3"/>
      <c r="F139" s="3"/>
      <c r="G139" s="3"/>
      <c r="H139" s="3"/>
      <c r="I139" s="3"/>
      <c r="J139" s="3"/>
      <c r="K139" s="3"/>
      <c r="L139" s="3"/>
      <c r="M139" s="3"/>
      <c r="N139" s="3"/>
      <c r="O139" s="3"/>
      <c r="P139" s="3"/>
      <c r="Q139" s="3"/>
      <c r="R139" s="3"/>
      <c r="S139" s="3"/>
    </row>
    <row r="140" spans="1:19" ht="15.75" customHeight="1" x14ac:dyDescent="0.25">
      <c r="A140" s="3"/>
      <c r="B140" s="3"/>
      <c r="C140" s="3"/>
      <c r="D140" s="3"/>
      <c r="E140" s="3"/>
      <c r="F140" s="3"/>
      <c r="G140" s="3"/>
      <c r="H140" s="3"/>
      <c r="I140" s="3"/>
      <c r="J140" s="3"/>
      <c r="K140" s="3"/>
      <c r="L140" s="3"/>
      <c r="M140" s="3"/>
      <c r="N140" s="3"/>
      <c r="O140" s="3"/>
      <c r="P140" s="3"/>
      <c r="Q140" s="3"/>
      <c r="R140" s="3"/>
      <c r="S140" s="3"/>
    </row>
    <row r="141" spans="1:19" ht="15.75" customHeight="1" x14ac:dyDescent="0.25">
      <c r="A141" s="3"/>
      <c r="B141" s="3"/>
      <c r="C141" s="3"/>
      <c r="D141" s="3"/>
      <c r="E141" s="3"/>
      <c r="F141" s="3"/>
      <c r="G141" s="3"/>
      <c r="H141" s="3"/>
      <c r="I141" s="3"/>
      <c r="J141" s="3"/>
      <c r="K141" s="3"/>
      <c r="L141" s="3"/>
      <c r="M141" s="3"/>
      <c r="N141" s="3"/>
      <c r="O141" s="3"/>
      <c r="P141" s="3"/>
      <c r="Q141" s="3"/>
      <c r="R141" s="3"/>
      <c r="S141" s="3"/>
    </row>
    <row r="142" spans="1:19" ht="15.75" customHeight="1" x14ac:dyDescent="0.25">
      <c r="A142" s="3"/>
      <c r="B142" s="3"/>
      <c r="C142" s="3"/>
      <c r="D142" s="3"/>
      <c r="E142" s="3"/>
      <c r="F142" s="3"/>
      <c r="G142" s="3"/>
      <c r="H142" s="3"/>
      <c r="I142" s="3"/>
      <c r="J142" s="3"/>
      <c r="K142" s="3"/>
      <c r="L142" s="3"/>
      <c r="M142" s="3"/>
      <c r="N142" s="3"/>
      <c r="O142" s="3"/>
      <c r="P142" s="3"/>
      <c r="Q142" s="3"/>
      <c r="R142" s="3"/>
      <c r="S142" s="3"/>
    </row>
    <row r="143" spans="1:19" ht="15.75" customHeight="1" x14ac:dyDescent="0.25">
      <c r="A143" s="3"/>
      <c r="B143" s="3"/>
      <c r="C143" s="3"/>
      <c r="D143" s="3"/>
      <c r="E143" s="3"/>
      <c r="F143" s="3"/>
      <c r="G143" s="3"/>
      <c r="H143" s="3"/>
      <c r="I143" s="3"/>
      <c r="J143" s="3"/>
      <c r="K143" s="3"/>
      <c r="L143" s="3"/>
      <c r="M143" s="3"/>
      <c r="N143" s="3"/>
      <c r="O143" s="3"/>
      <c r="P143" s="3"/>
      <c r="Q143" s="3"/>
      <c r="R143" s="3"/>
      <c r="S143" s="3"/>
    </row>
    <row r="144" spans="1:19" ht="15.75" customHeight="1" x14ac:dyDescent="0.25">
      <c r="A144" s="3"/>
      <c r="B144" s="3"/>
      <c r="C144" s="3"/>
      <c r="D144" s="3"/>
      <c r="E144" s="3"/>
      <c r="F144" s="3"/>
      <c r="G144" s="3"/>
      <c r="H144" s="3"/>
      <c r="I144" s="3"/>
      <c r="J144" s="3"/>
      <c r="K144" s="3"/>
      <c r="L144" s="3"/>
      <c r="M144" s="3"/>
      <c r="N144" s="3"/>
      <c r="O144" s="3"/>
      <c r="P144" s="3"/>
      <c r="Q144" s="3"/>
      <c r="R144" s="3"/>
      <c r="S144" s="3"/>
    </row>
    <row r="145" spans="1:19" ht="15.75" customHeight="1" x14ac:dyDescent="0.25">
      <c r="A145" s="3"/>
      <c r="B145" s="3"/>
      <c r="C145" s="3"/>
      <c r="D145" s="3"/>
      <c r="E145" s="3"/>
      <c r="F145" s="3"/>
      <c r="G145" s="3"/>
      <c r="H145" s="3"/>
      <c r="I145" s="3"/>
      <c r="J145" s="3"/>
      <c r="K145" s="3"/>
      <c r="L145" s="3"/>
      <c r="M145" s="3"/>
      <c r="N145" s="3"/>
      <c r="O145" s="3"/>
      <c r="P145" s="3"/>
      <c r="Q145" s="3"/>
      <c r="R145" s="3"/>
      <c r="S145" s="3"/>
    </row>
    <row r="146" spans="1:19" ht="15.75" customHeight="1" x14ac:dyDescent="0.25">
      <c r="A146" s="3"/>
      <c r="B146" s="3"/>
      <c r="C146" s="3"/>
      <c r="D146" s="3"/>
      <c r="E146" s="3"/>
      <c r="F146" s="3"/>
      <c r="G146" s="3"/>
      <c r="H146" s="3"/>
      <c r="I146" s="3"/>
      <c r="J146" s="3"/>
      <c r="K146" s="3"/>
      <c r="L146" s="3"/>
      <c r="M146" s="3"/>
      <c r="N146" s="3"/>
      <c r="O146" s="3"/>
      <c r="P146" s="3"/>
      <c r="Q146" s="3"/>
      <c r="R146" s="3"/>
      <c r="S146" s="3"/>
    </row>
    <row r="147" spans="1:19" ht="15.75" customHeight="1" x14ac:dyDescent="0.25">
      <c r="A147" s="3"/>
      <c r="B147" s="3"/>
      <c r="C147" s="3"/>
      <c r="D147" s="3"/>
      <c r="E147" s="3"/>
      <c r="F147" s="3"/>
      <c r="G147" s="3"/>
      <c r="H147" s="3"/>
      <c r="I147" s="3"/>
      <c r="J147" s="3"/>
      <c r="K147" s="3"/>
      <c r="L147" s="3"/>
      <c r="M147" s="3"/>
      <c r="N147" s="3"/>
      <c r="O147" s="3"/>
      <c r="P147" s="3"/>
      <c r="Q147" s="3"/>
      <c r="R147" s="3"/>
      <c r="S147" s="3"/>
    </row>
    <row r="148" spans="1:19" ht="15.75" customHeight="1" x14ac:dyDescent="0.25">
      <c r="A148" s="3"/>
      <c r="B148" s="3"/>
      <c r="C148" s="3"/>
      <c r="D148" s="3"/>
      <c r="E148" s="3"/>
      <c r="F148" s="3"/>
      <c r="G148" s="3"/>
      <c r="H148" s="3"/>
      <c r="I148" s="3"/>
      <c r="J148" s="3"/>
      <c r="K148" s="3"/>
      <c r="L148" s="3"/>
      <c r="M148" s="3"/>
      <c r="N148" s="3"/>
      <c r="O148" s="3"/>
      <c r="P148" s="3"/>
      <c r="Q148" s="3"/>
      <c r="R148" s="3"/>
      <c r="S148" s="3"/>
    </row>
    <row r="149" spans="1:19" ht="15.75" customHeight="1" x14ac:dyDescent="0.25">
      <c r="A149" s="3"/>
      <c r="B149" s="3"/>
      <c r="C149" s="3"/>
      <c r="D149" s="3"/>
      <c r="E149" s="3"/>
      <c r="F149" s="3"/>
      <c r="G149" s="3"/>
      <c r="H149" s="3"/>
      <c r="I149" s="3"/>
      <c r="J149" s="3"/>
      <c r="K149" s="3"/>
      <c r="L149" s="3"/>
      <c r="M149" s="3"/>
      <c r="N149" s="3"/>
      <c r="O149" s="3"/>
      <c r="P149" s="3"/>
      <c r="Q149" s="3"/>
      <c r="R149" s="3"/>
      <c r="S149" s="3"/>
    </row>
    <row r="150" spans="1:19" ht="15.75" customHeight="1" x14ac:dyDescent="0.25">
      <c r="A150" s="3"/>
      <c r="B150" s="3"/>
      <c r="C150" s="3"/>
      <c r="D150" s="3"/>
      <c r="E150" s="3"/>
      <c r="F150" s="3"/>
      <c r="G150" s="3"/>
      <c r="H150" s="3"/>
      <c r="I150" s="3"/>
      <c r="J150" s="3"/>
      <c r="K150" s="3"/>
      <c r="L150" s="3"/>
      <c r="M150" s="3"/>
      <c r="N150" s="3"/>
      <c r="O150" s="3"/>
      <c r="P150" s="3"/>
      <c r="Q150" s="3"/>
      <c r="R150" s="3"/>
      <c r="S150" s="3"/>
    </row>
    <row r="151" spans="1:19" ht="15.75" customHeight="1" x14ac:dyDescent="0.25">
      <c r="A151" s="3"/>
      <c r="B151" s="3"/>
      <c r="C151" s="3"/>
      <c r="D151" s="3"/>
      <c r="E151" s="3"/>
      <c r="F151" s="3"/>
      <c r="G151" s="3"/>
      <c r="H151" s="3"/>
      <c r="I151" s="3"/>
      <c r="J151" s="3"/>
      <c r="K151" s="3"/>
      <c r="L151" s="3"/>
      <c r="M151" s="3"/>
      <c r="N151" s="3"/>
      <c r="O151" s="3"/>
      <c r="P151" s="3"/>
      <c r="Q151" s="3"/>
      <c r="R151" s="3"/>
      <c r="S151" s="3"/>
    </row>
    <row r="152" spans="1:19" ht="15.75" customHeight="1" x14ac:dyDescent="0.25">
      <c r="A152" s="3"/>
      <c r="B152" s="3"/>
      <c r="C152" s="3"/>
      <c r="D152" s="3"/>
      <c r="E152" s="3"/>
      <c r="F152" s="3"/>
      <c r="G152" s="3"/>
      <c r="H152" s="3"/>
      <c r="I152" s="3"/>
      <c r="J152" s="3"/>
      <c r="K152" s="3"/>
      <c r="L152" s="3"/>
      <c r="M152" s="3"/>
      <c r="N152" s="3"/>
      <c r="O152" s="3"/>
      <c r="P152" s="3"/>
      <c r="Q152" s="3"/>
      <c r="R152" s="3"/>
      <c r="S152" s="3"/>
    </row>
    <row r="153" spans="1:19" ht="15.75" customHeight="1" x14ac:dyDescent="0.25">
      <c r="A153" s="3"/>
      <c r="B153" s="3"/>
      <c r="C153" s="3"/>
      <c r="D153" s="3"/>
      <c r="E153" s="3"/>
      <c r="F153" s="3"/>
      <c r="G153" s="3"/>
      <c r="H153" s="3"/>
      <c r="I153" s="3"/>
      <c r="J153" s="3"/>
      <c r="K153" s="3"/>
      <c r="L153" s="3"/>
      <c r="M153" s="3"/>
      <c r="N153" s="3"/>
      <c r="O153" s="3"/>
      <c r="P153" s="3"/>
      <c r="Q153" s="3"/>
      <c r="R153" s="3"/>
      <c r="S153" s="3"/>
    </row>
    <row r="154" spans="1:19" ht="15.75" customHeight="1" x14ac:dyDescent="0.25">
      <c r="A154" s="3"/>
      <c r="B154" s="3"/>
      <c r="C154" s="3"/>
      <c r="D154" s="3"/>
      <c r="E154" s="3"/>
      <c r="F154" s="3"/>
      <c r="G154" s="3"/>
      <c r="H154" s="3"/>
      <c r="I154" s="3"/>
      <c r="J154" s="3"/>
      <c r="K154" s="3"/>
      <c r="L154" s="3"/>
      <c r="M154" s="3"/>
      <c r="N154" s="3"/>
      <c r="O154" s="3"/>
      <c r="P154" s="3"/>
      <c r="Q154" s="3"/>
      <c r="R154" s="3"/>
      <c r="S154" s="3"/>
    </row>
    <row r="155" spans="1:19" ht="15.75" customHeight="1" x14ac:dyDescent="0.25">
      <c r="A155" s="3"/>
      <c r="B155" s="3"/>
      <c r="C155" s="3"/>
      <c r="D155" s="3"/>
      <c r="E155" s="3"/>
      <c r="F155" s="3"/>
      <c r="G155" s="3"/>
      <c r="H155" s="3"/>
      <c r="I155" s="3"/>
      <c r="J155" s="3"/>
      <c r="K155" s="3"/>
      <c r="L155" s="3"/>
      <c r="M155" s="3"/>
      <c r="N155" s="3"/>
      <c r="O155" s="3"/>
      <c r="P155" s="3"/>
      <c r="Q155" s="3"/>
      <c r="R155" s="3"/>
      <c r="S155" s="3"/>
    </row>
    <row r="156" spans="1:19" ht="15.75" customHeight="1" x14ac:dyDescent="0.25">
      <c r="A156" s="3"/>
      <c r="B156" s="3"/>
      <c r="C156" s="3"/>
      <c r="D156" s="3"/>
      <c r="E156" s="3"/>
      <c r="F156" s="3"/>
      <c r="G156" s="3"/>
      <c r="H156" s="3"/>
      <c r="I156" s="3"/>
      <c r="J156" s="3"/>
      <c r="K156" s="3"/>
      <c r="L156" s="3"/>
      <c r="M156" s="3"/>
      <c r="N156" s="3"/>
      <c r="O156" s="3"/>
      <c r="P156" s="3"/>
      <c r="Q156" s="3"/>
      <c r="R156" s="3"/>
      <c r="S156" s="3"/>
    </row>
    <row r="157" spans="1:19" ht="15.75" customHeight="1" x14ac:dyDescent="0.25">
      <c r="A157" s="3"/>
      <c r="B157" s="3"/>
      <c r="C157" s="3"/>
      <c r="D157" s="3"/>
      <c r="E157" s="3"/>
      <c r="F157" s="3"/>
      <c r="G157" s="3"/>
      <c r="H157" s="3"/>
      <c r="I157" s="3"/>
      <c r="J157" s="3"/>
      <c r="K157" s="3"/>
      <c r="L157" s="3"/>
      <c r="M157" s="3"/>
      <c r="N157" s="3"/>
      <c r="O157" s="3"/>
      <c r="P157" s="3"/>
      <c r="Q157" s="3"/>
      <c r="R157" s="3"/>
      <c r="S157" s="3"/>
    </row>
    <row r="158" spans="1:19" ht="15.75" customHeight="1" x14ac:dyDescent="0.25">
      <c r="A158" s="3"/>
      <c r="B158" s="3"/>
      <c r="C158" s="3"/>
      <c r="D158" s="3"/>
      <c r="E158" s="3"/>
      <c r="F158" s="3"/>
      <c r="G158" s="3"/>
      <c r="H158" s="3"/>
      <c r="I158" s="3"/>
      <c r="J158" s="3"/>
      <c r="K158" s="3"/>
      <c r="L158" s="3"/>
      <c r="M158" s="3"/>
      <c r="N158" s="3"/>
      <c r="O158" s="3"/>
      <c r="P158" s="3"/>
      <c r="Q158" s="3"/>
      <c r="R158" s="3"/>
      <c r="S158" s="3"/>
    </row>
    <row r="159" spans="1:19" ht="15.75" customHeight="1" x14ac:dyDescent="0.25">
      <c r="A159" s="3"/>
      <c r="B159" s="3"/>
      <c r="C159" s="3"/>
      <c r="D159" s="3"/>
      <c r="E159" s="3"/>
      <c r="F159" s="3"/>
      <c r="G159" s="3"/>
      <c r="H159" s="3"/>
      <c r="I159" s="3"/>
      <c r="J159" s="3"/>
      <c r="K159" s="3"/>
      <c r="L159" s="3"/>
      <c r="M159" s="3"/>
      <c r="N159" s="3"/>
      <c r="O159" s="3"/>
      <c r="P159" s="3"/>
      <c r="Q159" s="3"/>
      <c r="R159" s="3"/>
      <c r="S159" s="3"/>
    </row>
    <row r="160" spans="1:19" ht="15.75" customHeight="1" x14ac:dyDescent="0.25">
      <c r="A160" s="3"/>
      <c r="B160" s="3"/>
      <c r="C160" s="3"/>
      <c r="D160" s="3"/>
      <c r="E160" s="3"/>
      <c r="F160" s="3"/>
      <c r="G160" s="3"/>
      <c r="H160" s="3"/>
      <c r="I160" s="3"/>
      <c r="J160" s="3"/>
      <c r="K160" s="3"/>
      <c r="L160" s="3"/>
      <c r="M160" s="3"/>
      <c r="N160" s="3"/>
      <c r="O160" s="3"/>
      <c r="P160" s="3"/>
      <c r="Q160" s="3"/>
      <c r="R160" s="3"/>
      <c r="S160" s="3"/>
    </row>
    <row r="161" spans="1:19" ht="15.75" customHeight="1" x14ac:dyDescent="0.25">
      <c r="A161" s="3"/>
      <c r="B161" s="3"/>
      <c r="C161" s="3"/>
      <c r="D161" s="3"/>
      <c r="E161" s="3"/>
      <c r="F161" s="3"/>
      <c r="G161" s="3"/>
      <c r="H161" s="3"/>
      <c r="I161" s="3"/>
      <c r="J161" s="3"/>
      <c r="K161" s="3"/>
      <c r="L161" s="3"/>
      <c r="M161" s="3"/>
      <c r="N161" s="3"/>
      <c r="O161" s="3"/>
      <c r="P161" s="3"/>
      <c r="Q161" s="3"/>
      <c r="R161" s="3"/>
      <c r="S161" s="3"/>
    </row>
    <row r="162" spans="1:19" ht="15.75" customHeight="1" x14ac:dyDescent="0.25">
      <c r="A162" s="3"/>
      <c r="B162" s="3"/>
      <c r="C162" s="3"/>
      <c r="D162" s="3"/>
      <c r="E162" s="3"/>
      <c r="F162" s="3"/>
      <c r="G162" s="3"/>
      <c r="H162" s="3"/>
      <c r="I162" s="3"/>
      <c r="J162" s="3"/>
      <c r="K162" s="3"/>
      <c r="L162" s="3"/>
      <c r="M162" s="3"/>
      <c r="N162" s="3"/>
      <c r="O162" s="3"/>
      <c r="P162" s="3"/>
      <c r="Q162" s="3"/>
      <c r="R162" s="3"/>
      <c r="S162" s="3"/>
    </row>
    <row r="163" spans="1:19" ht="15.75" customHeight="1" x14ac:dyDescent="0.25">
      <c r="A163" s="3"/>
      <c r="B163" s="3"/>
      <c r="C163" s="3"/>
      <c r="D163" s="3"/>
      <c r="E163" s="3"/>
      <c r="F163" s="3"/>
      <c r="G163" s="3"/>
      <c r="H163" s="3"/>
      <c r="I163" s="3"/>
      <c r="J163" s="3"/>
      <c r="K163" s="3"/>
      <c r="L163" s="3"/>
      <c r="M163" s="3"/>
      <c r="N163" s="3"/>
      <c r="O163" s="3"/>
      <c r="P163" s="3"/>
      <c r="Q163" s="3"/>
      <c r="R163" s="3"/>
      <c r="S163" s="3"/>
    </row>
    <row r="164" spans="1:19" ht="15.75" customHeight="1" x14ac:dyDescent="0.25">
      <c r="A164" s="3"/>
      <c r="B164" s="3"/>
      <c r="C164" s="3"/>
      <c r="D164" s="3"/>
      <c r="E164" s="3"/>
      <c r="F164" s="3"/>
      <c r="G164" s="3"/>
      <c r="H164" s="3"/>
      <c r="I164" s="3"/>
      <c r="J164" s="3"/>
      <c r="K164" s="3"/>
      <c r="L164" s="3"/>
      <c r="M164" s="3"/>
      <c r="N164" s="3"/>
      <c r="O164" s="3"/>
      <c r="P164" s="3"/>
      <c r="Q164" s="3"/>
      <c r="R164" s="3"/>
      <c r="S164" s="3"/>
    </row>
    <row r="165" spans="1:19" ht="15.75" customHeight="1" x14ac:dyDescent="0.25">
      <c r="A165" s="3"/>
      <c r="B165" s="3"/>
      <c r="C165" s="3"/>
      <c r="D165" s="3"/>
      <c r="E165" s="3"/>
      <c r="F165" s="3"/>
      <c r="G165" s="3"/>
      <c r="H165" s="3"/>
      <c r="I165" s="3"/>
      <c r="J165" s="3"/>
      <c r="K165" s="3"/>
      <c r="L165" s="3"/>
      <c r="M165" s="3"/>
      <c r="N165" s="3"/>
      <c r="O165" s="3"/>
      <c r="P165" s="3"/>
      <c r="Q165" s="3"/>
      <c r="R165" s="3"/>
      <c r="S165" s="3"/>
    </row>
    <row r="166" spans="1:19" ht="15.75" customHeight="1" x14ac:dyDescent="0.25">
      <c r="A166" s="3"/>
      <c r="B166" s="3"/>
      <c r="C166" s="3"/>
      <c r="D166" s="3"/>
      <c r="E166" s="3"/>
      <c r="F166" s="3"/>
      <c r="G166" s="3"/>
      <c r="H166" s="3"/>
      <c r="I166" s="3"/>
      <c r="J166" s="3"/>
      <c r="K166" s="3"/>
      <c r="L166" s="3"/>
      <c r="M166" s="3"/>
      <c r="N166" s="3"/>
      <c r="O166" s="3"/>
      <c r="P166" s="3"/>
      <c r="Q166" s="3"/>
      <c r="R166" s="3"/>
      <c r="S166" s="3"/>
    </row>
    <row r="167" spans="1:19" ht="15.75" customHeight="1" x14ac:dyDescent="0.25">
      <c r="A167" s="3"/>
      <c r="B167" s="3"/>
      <c r="C167" s="3"/>
      <c r="D167" s="3"/>
      <c r="E167" s="3"/>
      <c r="F167" s="3"/>
      <c r="G167" s="3"/>
      <c r="H167" s="3"/>
      <c r="I167" s="3"/>
      <c r="J167" s="3"/>
      <c r="K167" s="3"/>
      <c r="L167" s="3"/>
      <c r="M167" s="3"/>
      <c r="N167" s="3"/>
      <c r="O167" s="3"/>
      <c r="P167" s="3"/>
      <c r="Q167" s="3"/>
      <c r="R167" s="3"/>
      <c r="S167" s="3"/>
    </row>
    <row r="168" spans="1:19" ht="15.75" customHeight="1" x14ac:dyDescent="0.25">
      <c r="A168" s="3"/>
      <c r="B168" s="3"/>
      <c r="C168" s="3"/>
      <c r="D168" s="3"/>
      <c r="E168" s="3"/>
      <c r="F168" s="3"/>
      <c r="G168" s="3"/>
      <c r="H168" s="3"/>
      <c r="I168" s="3"/>
      <c r="J168" s="3"/>
      <c r="K168" s="3"/>
      <c r="L168" s="3"/>
      <c r="M168" s="3"/>
      <c r="N168" s="3"/>
      <c r="O168" s="3"/>
      <c r="P168" s="3"/>
      <c r="Q168" s="3"/>
      <c r="R168" s="3"/>
      <c r="S168" s="3"/>
    </row>
    <row r="169" spans="1:19" ht="15.75" customHeight="1" x14ac:dyDescent="0.25">
      <c r="A169" s="3"/>
      <c r="B169" s="3"/>
      <c r="C169" s="3"/>
      <c r="D169" s="3"/>
      <c r="E169" s="3"/>
      <c r="F169" s="3"/>
      <c r="G169" s="3"/>
      <c r="H169" s="3"/>
      <c r="I169" s="3"/>
      <c r="J169" s="3"/>
      <c r="K169" s="3"/>
      <c r="L169" s="3"/>
      <c r="M169" s="3"/>
      <c r="N169" s="3"/>
      <c r="O169" s="3"/>
      <c r="P169" s="3"/>
      <c r="Q169" s="3"/>
      <c r="R169" s="3"/>
      <c r="S169" s="3"/>
    </row>
    <row r="170" spans="1:19" ht="15.75" customHeight="1" x14ac:dyDescent="0.25">
      <c r="A170" s="3"/>
      <c r="B170" s="3"/>
      <c r="C170" s="3"/>
      <c r="D170" s="3"/>
      <c r="E170" s="3"/>
      <c r="F170" s="3"/>
      <c r="G170" s="3"/>
      <c r="H170" s="3"/>
      <c r="I170" s="3"/>
      <c r="J170" s="3"/>
      <c r="K170" s="3"/>
      <c r="L170" s="3"/>
      <c r="M170" s="3"/>
      <c r="N170" s="3"/>
      <c r="O170" s="3"/>
      <c r="P170" s="3"/>
      <c r="Q170" s="3"/>
      <c r="R170" s="3"/>
      <c r="S170" s="3"/>
    </row>
    <row r="171" spans="1:19" ht="15.75" customHeight="1" x14ac:dyDescent="0.25">
      <c r="A171" s="3"/>
      <c r="B171" s="3"/>
      <c r="C171" s="3"/>
      <c r="D171" s="3"/>
      <c r="E171" s="3"/>
      <c r="F171" s="3"/>
      <c r="G171" s="3"/>
      <c r="H171" s="3"/>
      <c r="I171" s="3"/>
      <c r="J171" s="3"/>
      <c r="K171" s="3"/>
      <c r="L171" s="3"/>
      <c r="M171" s="3"/>
      <c r="N171" s="3"/>
      <c r="O171" s="3"/>
      <c r="P171" s="3"/>
      <c r="Q171" s="3"/>
      <c r="R171" s="3"/>
      <c r="S171" s="3"/>
    </row>
    <row r="172" spans="1:19" ht="15.75" customHeight="1" x14ac:dyDescent="0.25">
      <c r="A172" s="3"/>
      <c r="B172" s="3"/>
      <c r="C172" s="3"/>
      <c r="D172" s="3"/>
      <c r="E172" s="3"/>
      <c r="F172" s="3"/>
      <c r="G172" s="3"/>
      <c r="H172" s="3"/>
      <c r="I172" s="3"/>
      <c r="J172" s="3"/>
      <c r="K172" s="3"/>
      <c r="L172" s="3"/>
      <c r="M172" s="3"/>
      <c r="N172" s="3"/>
      <c r="O172" s="3"/>
      <c r="P172" s="3"/>
      <c r="Q172" s="3"/>
      <c r="R172" s="3"/>
      <c r="S172" s="3"/>
    </row>
    <row r="173" spans="1:19" ht="15.75" customHeight="1" x14ac:dyDescent="0.25">
      <c r="A173" s="3"/>
      <c r="B173" s="3"/>
      <c r="C173" s="3"/>
      <c r="D173" s="3"/>
      <c r="E173" s="3"/>
      <c r="F173" s="3"/>
      <c r="G173" s="3"/>
      <c r="H173" s="3"/>
      <c r="I173" s="3"/>
      <c r="J173" s="3"/>
      <c r="K173" s="3"/>
      <c r="L173" s="3"/>
      <c r="M173" s="3"/>
      <c r="N173" s="3"/>
      <c r="O173" s="3"/>
      <c r="P173" s="3"/>
      <c r="Q173" s="3"/>
      <c r="R173" s="3"/>
      <c r="S173" s="3"/>
    </row>
    <row r="174" spans="1:19" ht="15.75" customHeight="1" x14ac:dyDescent="0.25">
      <c r="A174" s="3"/>
      <c r="B174" s="3"/>
      <c r="C174" s="3"/>
      <c r="D174" s="3"/>
      <c r="E174" s="3"/>
      <c r="F174" s="3"/>
      <c r="G174" s="3"/>
      <c r="H174" s="3"/>
      <c r="I174" s="3"/>
      <c r="J174" s="3"/>
      <c r="K174" s="3"/>
      <c r="L174" s="3"/>
      <c r="M174" s="3"/>
      <c r="N174" s="3"/>
      <c r="O174" s="3"/>
      <c r="P174" s="3"/>
      <c r="Q174" s="3"/>
      <c r="R174" s="3"/>
      <c r="S174" s="3"/>
    </row>
    <row r="175" spans="1:19" ht="15.75" customHeight="1" x14ac:dyDescent="0.25">
      <c r="A175" s="3"/>
      <c r="B175" s="3"/>
      <c r="C175" s="3"/>
      <c r="D175" s="3"/>
      <c r="E175" s="3"/>
      <c r="F175" s="3"/>
      <c r="G175" s="3"/>
      <c r="H175" s="3"/>
      <c r="I175" s="3"/>
      <c r="J175" s="3"/>
      <c r="K175" s="3"/>
      <c r="L175" s="3"/>
      <c r="M175" s="3"/>
      <c r="N175" s="3"/>
      <c r="O175" s="3"/>
      <c r="P175" s="3"/>
      <c r="Q175" s="3"/>
      <c r="R175" s="3"/>
      <c r="S175" s="3"/>
    </row>
    <row r="176" spans="1:19" ht="15.75" customHeight="1" x14ac:dyDescent="0.25">
      <c r="A176" s="3"/>
      <c r="B176" s="3"/>
      <c r="C176" s="3"/>
      <c r="D176" s="3"/>
      <c r="E176" s="3"/>
      <c r="F176" s="3"/>
      <c r="G176" s="3"/>
      <c r="H176" s="3"/>
      <c r="I176" s="3"/>
      <c r="J176" s="3"/>
      <c r="K176" s="3"/>
      <c r="L176" s="3"/>
      <c r="M176" s="3"/>
      <c r="N176" s="3"/>
      <c r="O176" s="3"/>
      <c r="P176" s="3"/>
      <c r="Q176" s="3"/>
      <c r="R176" s="3"/>
      <c r="S176" s="3"/>
    </row>
    <row r="177" spans="1:19" ht="15.75" customHeight="1" x14ac:dyDescent="0.25">
      <c r="A177" s="3"/>
      <c r="B177" s="3"/>
      <c r="C177" s="3"/>
      <c r="D177" s="3"/>
      <c r="E177" s="3"/>
      <c r="F177" s="3"/>
      <c r="G177" s="3"/>
      <c r="H177" s="3"/>
      <c r="I177" s="3"/>
      <c r="J177" s="3"/>
      <c r="K177" s="3"/>
      <c r="L177" s="3"/>
      <c r="M177" s="3"/>
      <c r="N177" s="3"/>
      <c r="O177" s="3"/>
      <c r="P177" s="3"/>
      <c r="Q177" s="3"/>
      <c r="R177" s="3"/>
      <c r="S177" s="3"/>
    </row>
    <row r="178" spans="1:19" ht="15.75" customHeight="1" x14ac:dyDescent="0.25">
      <c r="A178" s="3"/>
      <c r="B178" s="3"/>
      <c r="C178" s="3"/>
      <c r="D178" s="3"/>
      <c r="E178" s="3"/>
      <c r="F178" s="3"/>
      <c r="G178" s="3"/>
      <c r="H178" s="3"/>
      <c r="I178" s="3"/>
      <c r="J178" s="3"/>
      <c r="K178" s="3"/>
      <c r="L178" s="3"/>
      <c r="M178" s="3"/>
      <c r="N178" s="3"/>
      <c r="O178" s="3"/>
      <c r="P178" s="3"/>
      <c r="Q178" s="3"/>
      <c r="R178" s="3"/>
      <c r="S178" s="3"/>
    </row>
    <row r="179" spans="1:19" ht="15.75" customHeight="1" x14ac:dyDescent="0.25">
      <c r="A179" s="3"/>
      <c r="B179" s="3"/>
      <c r="C179" s="3"/>
      <c r="D179" s="3"/>
      <c r="E179" s="3"/>
      <c r="F179" s="3"/>
      <c r="G179" s="3"/>
      <c r="H179" s="3"/>
      <c r="I179" s="3"/>
      <c r="J179" s="3"/>
      <c r="K179" s="3"/>
      <c r="L179" s="3"/>
      <c r="M179" s="3"/>
      <c r="N179" s="3"/>
      <c r="O179" s="3"/>
      <c r="P179" s="3"/>
      <c r="Q179" s="3"/>
      <c r="R179" s="3"/>
      <c r="S179" s="3"/>
    </row>
    <row r="180" spans="1:19" ht="15.75" customHeight="1" x14ac:dyDescent="0.25">
      <c r="A180" s="3"/>
      <c r="B180" s="3"/>
      <c r="C180" s="3"/>
      <c r="D180" s="3"/>
      <c r="E180" s="3"/>
      <c r="F180" s="3"/>
      <c r="G180" s="3"/>
      <c r="H180" s="3"/>
      <c r="I180" s="3"/>
      <c r="J180" s="3"/>
      <c r="K180" s="3"/>
      <c r="L180" s="3"/>
      <c r="M180" s="3"/>
      <c r="N180" s="3"/>
      <c r="O180" s="3"/>
      <c r="P180" s="3"/>
      <c r="Q180" s="3"/>
      <c r="R180" s="3"/>
      <c r="S180" s="3"/>
    </row>
    <row r="181" spans="1:19" ht="15.75" customHeight="1" x14ac:dyDescent="0.25">
      <c r="A181" s="3"/>
      <c r="B181" s="3"/>
      <c r="C181" s="3"/>
      <c r="D181" s="3"/>
      <c r="E181" s="3"/>
      <c r="F181" s="3"/>
      <c r="G181" s="3"/>
      <c r="H181" s="3"/>
      <c r="I181" s="3"/>
      <c r="J181" s="3"/>
      <c r="K181" s="3"/>
      <c r="L181" s="3"/>
      <c r="M181" s="3"/>
      <c r="N181" s="3"/>
      <c r="O181" s="3"/>
      <c r="P181" s="3"/>
      <c r="Q181" s="3"/>
      <c r="R181" s="3"/>
      <c r="S181" s="3"/>
    </row>
    <row r="182" spans="1:19" ht="15.75" customHeight="1" x14ac:dyDescent="0.25">
      <c r="A182" s="3"/>
      <c r="B182" s="3"/>
      <c r="C182" s="3"/>
      <c r="D182" s="3"/>
      <c r="E182" s="3"/>
      <c r="F182" s="3"/>
      <c r="G182" s="3"/>
      <c r="H182" s="3"/>
      <c r="I182" s="3"/>
      <c r="J182" s="3"/>
      <c r="K182" s="3"/>
      <c r="L182" s="3"/>
      <c r="M182" s="3"/>
      <c r="N182" s="3"/>
      <c r="O182" s="3"/>
      <c r="P182" s="3"/>
      <c r="Q182" s="3"/>
      <c r="R182" s="3"/>
      <c r="S182" s="3"/>
    </row>
    <row r="183" spans="1:19" ht="15.75" customHeight="1" x14ac:dyDescent="0.25">
      <c r="A183" s="3"/>
      <c r="B183" s="3"/>
      <c r="C183" s="3"/>
      <c r="D183" s="3"/>
      <c r="E183" s="3"/>
      <c r="F183" s="3"/>
      <c r="G183" s="3"/>
      <c r="H183" s="3"/>
      <c r="I183" s="3"/>
      <c r="J183" s="3"/>
      <c r="K183" s="3"/>
      <c r="L183" s="3"/>
      <c r="M183" s="3"/>
      <c r="N183" s="3"/>
      <c r="O183" s="3"/>
      <c r="P183" s="3"/>
      <c r="Q183" s="3"/>
      <c r="R183" s="3"/>
      <c r="S183" s="3"/>
    </row>
    <row r="184" spans="1:19" ht="15.75" customHeight="1" x14ac:dyDescent="0.25">
      <c r="A184" s="3"/>
      <c r="B184" s="3"/>
      <c r="C184" s="3"/>
      <c r="D184" s="3"/>
      <c r="E184" s="3"/>
      <c r="F184" s="3"/>
      <c r="G184" s="3"/>
      <c r="H184" s="3"/>
      <c r="I184" s="3"/>
      <c r="J184" s="3"/>
      <c r="K184" s="3"/>
      <c r="L184" s="3"/>
      <c r="M184" s="3"/>
      <c r="N184" s="3"/>
      <c r="O184" s="3"/>
      <c r="P184" s="3"/>
      <c r="Q184" s="3"/>
      <c r="R184" s="3"/>
      <c r="S184" s="3"/>
    </row>
    <row r="185" spans="1:19" ht="15.75" customHeight="1" x14ac:dyDescent="0.25">
      <c r="A185" s="3"/>
      <c r="B185" s="3"/>
      <c r="C185" s="3"/>
      <c r="D185" s="3"/>
      <c r="E185" s="3"/>
      <c r="F185" s="3"/>
      <c r="G185" s="3"/>
      <c r="H185" s="3"/>
      <c r="I185" s="3"/>
      <c r="J185" s="3"/>
      <c r="K185" s="3"/>
      <c r="L185" s="3"/>
      <c r="M185" s="3"/>
      <c r="N185" s="3"/>
      <c r="O185" s="3"/>
      <c r="P185" s="3"/>
      <c r="Q185" s="3"/>
      <c r="R185" s="3"/>
      <c r="S185" s="3"/>
    </row>
    <row r="186" spans="1:19" ht="15.75" customHeight="1" x14ac:dyDescent="0.25">
      <c r="A186" s="3"/>
      <c r="B186" s="3"/>
      <c r="C186" s="3"/>
      <c r="D186" s="3"/>
      <c r="E186" s="3"/>
      <c r="F186" s="3"/>
      <c r="G186" s="3"/>
      <c r="H186" s="3"/>
      <c r="I186" s="3"/>
      <c r="J186" s="3"/>
      <c r="K186" s="3"/>
      <c r="L186" s="3"/>
      <c r="M186" s="3"/>
      <c r="N186" s="3"/>
      <c r="O186" s="3"/>
      <c r="P186" s="3"/>
      <c r="Q186" s="3"/>
      <c r="R186" s="3"/>
      <c r="S186" s="3"/>
    </row>
    <row r="187" spans="1:19" ht="15.75" customHeight="1" x14ac:dyDescent="0.25">
      <c r="A187" s="3"/>
      <c r="B187" s="3"/>
      <c r="C187" s="3"/>
      <c r="D187" s="3"/>
      <c r="E187" s="3"/>
      <c r="F187" s="3"/>
      <c r="G187" s="3"/>
      <c r="H187" s="3"/>
      <c r="I187" s="3"/>
      <c r="J187" s="3"/>
      <c r="K187" s="3"/>
      <c r="L187" s="3"/>
      <c r="M187" s="3"/>
      <c r="N187" s="3"/>
      <c r="O187" s="3"/>
      <c r="P187" s="3"/>
      <c r="Q187" s="3"/>
      <c r="R187" s="3"/>
      <c r="S187" s="3"/>
    </row>
    <row r="188" spans="1:19" ht="15.75" customHeight="1" x14ac:dyDescent="0.25">
      <c r="A188" s="3"/>
      <c r="B188" s="3"/>
      <c r="C188" s="3"/>
      <c r="D188" s="3"/>
      <c r="E188" s="3"/>
      <c r="F188" s="3"/>
      <c r="G188" s="3"/>
      <c r="H188" s="3"/>
      <c r="I188" s="3"/>
      <c r="J188" s="3"/>
      <c r="K188" s="3"/>
      <c r="L188" s="3"/>
      <c r="M188" s="3"/>
      <c r="N188" s="3"/>
      <c r="O188" s="3"/>
      <c r="P188" s="3"/>
      <c r="Q188" s="3"/>
      <c r="R188" s="3"/>
      <c r="S188" s="3"/>
    </row>
    <row r="189" spans="1:19" ht="15.75" customHeight="1" x14ac:dyDescent="0.25">
      <c r="A189" s="3"/>
      <c r="B189" s="3"/>
      <c r="C189" s="3"/>
      <c r="D189" s="3"/>
      <c r="E189" s="3"/>
      <c r="F189" s="3"/>
      <c r="G189" s="3"/>
      <c r="H189" s="3"/>
      <c r="I189" s="3"/>
      <c r="J189" s="3"/>
      <c r="K189" s="3"/>
      <c r="L189" s="3"/>
      <c r="M189" s="3"/>
      <c r="N189" s="3"/>
      <c r="O189" s="3"/>
      <c r="P189" s="3"/>
      <c r="Q189" s="3"/>
      <c r="R189" s="3"/>
      <c r="S189" s="3"/>
    </row>
    <row r="190" spans="1:19" ht="15.75" customHeight="1" x14ac:dyDescent="0.25">
      <c r="A190" s="3"/>
      <c r="B190" s="3"/>
      <c r="C190" s="3"/>
      <c r="D190" s="3"/>
      <c r="E190" s="3"/>
      <c r="F190" s="3"/>
      <c r="G190" s="3"/>
      <c r="H190" s="3"/>
      <c r="I190" s="3"/>
      <c r="J190" s="3"/>
      <c r="K190" s="3"/>
      <c r="L190" s="3"/>
      <c r="M190" s="3"/>
      <c r="N190" s="3"/>
      <c r="O190" s="3"/>
      <c r="P190" s="3"/>
      <c r="Q190" s="3"/>
      <c r="R190" s="3"/>
      <c r="S190" s="3"/>
    </row>
    <row r="191" spans="1:19" ht="15.75" customHeight="1" x14ac:dyDescent="0.25">
      <c r="A191" s="3"/>
      <c r="B191" s="3"/>
      <c r="C191" s="3"/>
      <c r="D191" s="3"/>
      <c r="E191" s="3"/>
      <c r="F191" s="3"/>
      <c r="G191" s="3"/>
      <c r="H191" s="3"/>
      <c r="I191" s="3"/>
      <c r="J191" s="3"/>
      <c r="K191" s="3"/>
      <c r="L191" s="3"/>
      <c r="M191" s="3"/>
      <c r="N191" s="3"/>
      <c r="O191" s="3"/>
      <c r="P191" s="3"/>
      <c r="Q191" s="3"/>
      <c r="R191" s="3"/>
      <c r="S191" s="3"/>
    </row>
    <row r="192" spans="1:19" ht="15.75" customHeight="1" x14ac:dyDescent="0.25">
      <c r="A192" s="3"/>
      <c r="B192" s="3"/>
      <c r="C192" s="3"/>
      <c r="D192" s="3"/>
      <c r="E192" s="3"/>
      <c r="F192" s="3"/>
      <c r="G192" s="3"/>
      <c r="H192" s="3"/>
      <c r="I192" s="3"/>
      <c r="J192" s="3"/>
      <c r="K192" s="3"/>
      <c r="L192" s="3"/>
      <c r="M192" s="3"/>
      <c r="N192" s="3"/>
      <c r="O192" s="3"/>
      <c r="P192" s="3"/>
      <c r="Q192" s="3"/>
      <c r="R192" s="3"/>
      <c r="S192" s="3"/>
    </row>
    <row r="193" spans="1:19" ht="15.75" customHeight="1" x14ac:dyDescent="0.25">
      <c r="A193" s="3"/>
      <c r="B193" s="3"/>
      <c r="C193" s="3"/>
      <c r="D193" s="3"/>
      <c r="E193" s="3"/>
      <c r="F193" s="3"/>
      <c r="G193" s="3"/>
      <c r="H193" s="3"/>
      <c r="I193" s="3"/>
      <c r="J193" s="3"/>
      <c r="K193" s="3"/>
      <c r="L193" s="3"/>
      <c r="M193" s="3"/>
      <c r="N193" s="3"/>
      <c r="O193" s="3"/>
      <c r="P193" s="3"/>
      <c r="Q193" s="3"/>
      <c r="R193" s="3"/>
      <c r="S193" s="3"/>
    </row>
    <row r="194" spans="1:19" ht="15.75" customHeight="1" x14ac:dyDescent="0.25">
      <c r="A194" s="3"/>
      <c r="B194" s="3"/>
      <c r="C194" s="3"/>
      <c r="D194" s="3"/>
      <c r="E194" s="3"/>
      <c r="F194" s="3"/>
      <c r="G194" s="3"/>
      <c r="H194" s="3"/>
      <c r="I194" s="3"/>
      <c r="J194" s="3"/>
      <c r="K194" s="3"/>
      <c r="L194" s="3"/>
      <c r="M194" s="3"/>
      <c r="N194" s="3"/>
      <c r="O194" s="3"/>
      <c r="P194" s="3"/>
      <c r="Q194" s="3"/>
      <c r="R194" s="3"/>
      <c r="S194" s="3"/>
    </row>
    <row r="195" spans="1:19" ht="15.75" customHeight="1" x14ac:dyDescent="0.25">
      <c r="A195" s="3"/>
      <c r="B195" s="3"/>
      <c r="C195" s="3"/>
      <c r="D195" s="3"/>
      <c r="E195" s="3"/>
      <c r="F195" s="3"/>
      <c r="G195" s="3"/>
      <c r="H195" s="3"/>
      <c r="I195" s="3"/>
      <c r="J195" s="3"/>
      <c r="K195" s="3"/>
      <c r="L195" s="3"/>
      <c r="M195" s="3"/>
      <c r="N195" s="3"/>
      <c r="O195" s="3"/>
      <c r="P195" s="3"/>
      <c r="Q195" s="3"/>
      <c r="R195" s="3"/>
      <c r="S195" s="3"/>
    </row>
    <row r="196" spans="1:19" ht="15.75" customHeight="1" x14ac:dyDescent="0.25">
      <c r="A196" s="3"/>
      <c r="B196" s="3"/>
      <c r="C196" s="3"/>
      <c r="D196" s="3"/>
      <c r="E196" s="3"/>
      <c r="F196" s="3"/>
      <c r="G196" s="3"/>
      <c r="H196" s="3"/>
      <c r="I196" s="3"/>
      <c r="J196" s="3"/>
      <c r="K196" s="3"/>
      <c r="L196" s="3"/>
      <c r="M196" s="3"/>
      <c r="N196" s="3"/>
      <c r="O196" s="3"/>
      <c r="P196" s="3"/>
      <c r="Q196" s="3"/>
      <c r="R196" s="3"/>
      <c r="S196" s="3"/>
    </row>
    <row r="197" spans="1:19" ht="15.75" customHeight="1" x14ac:dyDescent="0.25">
      <c r="A197" s="3"/>
      <c r="B197" s="3"/>
      <c r="C197" s="3"/>
      <c r="D197" s="3"/>
      <c r="E197" s="3"/>
      <c r="F197" s="3"/>
      <c r="G197" s="3"/>
      <c r="H197" s="3"/>
      <c r="I197" s="3"/>
      <c r="J197" s="3"/>
      <c r="K197" s="3"/>
      <c r="L197" s="3"/>
      <c r="M197" s="3"/>
      <c r="N197" s="3"/>
      <c r="O197" s="3"/>
      <c r="P197" s="3"/>
      <c r="Q197" s="3"/>
      <c r="R197" s="3"/>
      <c r="S197" s="3"/>
    </row>
    <row r="198" spans="1:19" ht="15.75" customHeight="1" x14ac:dyDescent="0.25">
      <c r="A198" s="3"/>
      <c r="B198" s="3"/>
      <c r="C198" s="3"/>
      <c r="D198" s="3"/>
      <c r="E198" s="3"/>
      <c r="F198" s="3"/>
      <c r="G198" s="3"/>
      <c r="H198" s="3"/>
      <c r="I198" s="3"/>
      <c r="J198" s="3"/>
      <c r="K198" s="3"/>
      <c r="L198" s="3"/>
      <c r="M198" s="3"/>
      <c r="N198" s="3"/>
      <c r="O198" s="3"/>
      <c r="P198" s="3"/>
      <c r="Q198" s="3"/>
      <c r="R198" s="3"/>
      <c r="S198" s="3"/>
    </row>
    <row r="199" spans="1:19" ht="15.75" customHeight="1" x14ac:dyDescent="0.25">
      <c r="A199" s="3"/>
      <c r="B199" s="3"/>
      <c r="C199" s="3"/>
      <c r="D199" s="3"/>
      <c r="E199" s="3"/>
      <c r="F199" s="3"/>
      <c r="G199" s="3"/>
      <c r="H199" s="3"/>
      <c r="I199" s="3"/>
      <c r="J199" s="3"/>
      <c r="K199" s="3"/>
      <c r="L199" s="3"/>
      <c r="M199" s="3"/>
      <c r="N199" s="3"/>
      <c r="O199" s="3"/>
      <c r="P199" s="3"/>
      <c r="Q199" s="3"/>
      <c r="R199" s="3"/>
      <c r="S199" s="3"/>
    </row>
    <row r="200" spans="1:19" ht="15.75" customHeight="1" x14ac:dyDescent="0.25">
      <c r="A200" s="3"/>
      <c r="B200" s="3"/>
      <c r="C200" s="3"/>
      <c r="D200" s="3"/>
      <c r="E200" s="3"/>
      <c r="F200" s="3"/>
      <c r="G200" s="3"/>
      <c r="H200" s="3"/>
      <c r="I200" s="3"/>
      <c r="J200" s="3"/>
      <c r="K200" s="3"/>
      <c r="L200" s="3"/>
      <c r="M200" s="3"/>
      <c r="N200" s="3"/>
      <c r="O200" s="3"/>
      <c r="P200" s="3"/>
      <c r="Q200" s="3"/>
      <c r="R200" s="3"/>
      <c r="S200" s="3"/>
    </row>
    <row r="201" spans="1:19" ht="15.75" customHeight="1" x14ac:dyDescent="0.25">
      <c r="A201" s="3"/>
      <c r="B201" s="3"/>
      <c r="C201" s="3"/>
      <c r="D201" s="3"/>
      <c r="E201" s="3"/>
      <c r="F201" s="3"/>
      <c r="G201" s="3"/>
      <c r="H201" s="3"/>
      <c r="I201" s="3"/>
      <c r="J201" s="3"/>
      <c r="K201" s="3"/>
      <c r="L201" s="3"/>
      <c r="M201" s="3"/>
      <c r="N201" s="3"/>
      <c r="O201" s="3"/>
      <c r="P201" s="3"/>
      <c r="Q201" s="3"/>
      <c r="R201" s="3"/>
      <c r="S201" s="3"/>
    </row>
    <row r="202" spans="1:19" ht="15.75" customHeight="1" x14ac:dyDescent="0.25">
      <c r="A202" s="3"/>
      <c r="B202" s="3"/>
      <c r="C202" s="3"/>
      <c r="D202" s="3"/>
      <c r="E202" s="3"/>
      <c r="F202" s="3"/>
      <c r="G202" s="3"/>
      <c r="H202" s="3"/>
      <c r="I202" s="3"/>
      <c r="J202" s="3"/>
      <c r="K202" s="3"/>
      <c r="L202" s="3"/>
      <c r="M202" s="3"/>
      <c r="N202" s="3"/>
      <c r="O202" s="3"/>
      <c r="P202" s="3"/>
      <c r="Q202" s="3"/>
      <c r="R202" s="3"/>
      <c r="S202" s="3"/>
    </row>
    <row r="203" spans="1:19" ht="15.75" customHeight="1" x14ac:dyDescent="0.25">
      <c r="A203" s="3"/>
      <c r="B203" s="3"/>
      <c r="C203" s="3"/>
      <c r="D203" s="3"/>
      <c r="E203" s="3"/>
      <c r="F203" s="3"/>
      <c r="G203" s="3"/>
      <c r="H203" s="3"/>
      <c r="I203" s="3"/>
      <c r="J203" s="3"/>
      <c r="K203" s="3"/>
      <c r="L203" s="3"/>
      <c r="M203" s="3"/>
      <c r="N203" s="3"/>
      <c r="O203" s="3"/>
      <c r="P203" s="3"/>
      <c r="Q203" s="3"/>
      <c r="R203" s="3"/>
      <c r="S203" s="3"/>
    </row>
    <row r="204" spans="1:19" ht="15.75" customHeight="1" x14ac:dyDescent="0.25">
      <c r="A204" s="3"/>
      <c r="B204" s="3"/>
      <c r="C204" s="3"/>
      <c r="D204" s="3"/>
      <c r="E204" s="3"/>
      <c r="F204" s="3"/>
      <c r="G204" s="3"/>
      <c r="H204" s="3"/>
      <c r="I204" s="3"/>
      <c r="J204" s="3"/>
      <c r="K204" s="3"/>
      <c r="L204" s="3"/>
      <c r="M204" s="3"/>
      <c r="N204" s="3"/>
      <c r="O204" s="3"/>
      <c r="P204" s="3"/>
      <c r="Q204" s="3"/>
      <c r="R204" s="3"/>
      <c r="S204" s="3"/>
    </row>
    <row r="205" spans="1:19" ht="15.75" customHeight="1" x14ac:dyDescent="0.25">
      <c r="A205" s="3"/>
      <c r="B205" s="3"/>
      <c r="C205" s="3"/>
      <c r="D205" s="3"/>
      <c r="E205" s="3"/>
      <c r="F205" s="3"/>
      <c r="G205" s="3"/>
      <c r="H205" s="3"/>
      <c r="I205" s="3"/>
      <c r="J205" s="3"/>
      <c r="K205" s="3"/>
      <c r="L205" s="3"/>
      <c r="M205" s="3"/>
      <c r="N205" s="3"/>
      <c r="O205" s="3"/>
      <c r="P205" s="3"/>
      <c r="Q205" s="3"/>
      <c r="R205" s="3"/>
      <c r="S205" s="3"/>
    </row>
    <row r="206" spans="1:19" ht="15.75" customHeight="1" x14ac:dyDescent="0.25">
      <c r="A206" s="3"/>
      <c r="B206" s="3"/>
      <c r="C206" s="3"/>
      <c r="D206" s="3"/>
      <c r="E206" s="3"/>
      <c r="F206" s="3"/>
      <c r="G206" s="3"/>
      <c r="H206" s="3"/>
      <c r="I206" s="3"/>
      <c r="J206" s="3"/>
      <c r="K206" s="3"/>
      <c r="L206" s="3"/>
      <c r="M206" s="3"/>
      <c r="N206" s="3"/>
      <c r="O206" s="3"/>
      <c r="P206" s="3"/>
      <c r="Q206" s="3"/>
      <c r="R206" s="3"/>
      <c r="S206" s="3"/>
    </row>
    <row r="207" spans="1:19" ht="15.75" customHeight="1" x14ac:dyDescent="0.25">
      <c r="A207" s="3"/>
      <c r="B207" s="3"/>
      <c r="C207" s="3"/>
      <c r="D207" s="3"/>
      <c r="E207" s="3"/>
      <c r="F207" s="3"/>
      <c r="G207" s="3"/>
      <c r="H207" s="3"/>
      <c r="I207" s="3"/>
      <c r="J207" s="3"/>
      <c r="K207" s="3"/>
      <c r="L207" s="3"/>
      <c r="M207" s="3"/>
      <c r="N207" s="3"/>
      <c r="O207" s="3"/>
      <c r="P207" s="3"/>
      <c r="Q207" s="3"/>
      <c r="R207" s="3"/>
      <c r="S207" s="3"/>
    </row>
    <row r="208" spans="1:19" ht="15.75" customHeight="1" x14ac:dyDescent="0.25">
      <c r="A208" s="3"/>
      <c r="B208" s="3"/>
      <c r="C208" s="3"/>
      <c r="D208" s="3"/>
      <c r="E208" s="3"/>
      <c r="F208" s="3"/>
      <c r="G208" s="3"/>
      <c r="H208" s="3"/>
      <c r="I208" s="3"/>
      <c r="J208" s="3"/>
      <c r="K208" s="3"/>
      <c r="L208" s="3"/>
      <c r="M208" s="3"/>
      <c r="N208" s="3"/>
      <c r="O208" s="3"/>
      <c r="P208" s="3"/>
      <c r="Q208" s="3"/>
      <c r="R208" s="3"/>
      <c r="S208" s="3"/>
    </row>
    <row r="209" spans="1:19" ht="15.75" customHeight="1" x14ac:dyDescent="0.25">
      <c r="A209" s="3"/>
      <c r="B209" s="3"/>
      <c r="C209" s="3"/>
      <c r="D209" s="3"/>
      <c r="E209" s="3"/>
      <c r="F209" s="3"/>
      <c r="G209" s="3"/>
      <c r="H209" s="3"/>
      <c r="I209" s="3"/>
      <c r="J209" s="3"/>
      <c r="K209" s="3"/>
      <c r="L209" s="3"/>
      <c r="M209" s="3"/>
      <c r="N209" s="3"/>
      <c r="O209" s="3"/>
      <c r="P209" s="3"/>
      <c r="Q209" s="3"/>
      <c r="R209" s="3"/>
      <c r="S209" s="3"/>
    </row>
    <row r="210" spans="1:19" ht="15.75" customHeight="1" x14ac:dyDescent="0.25">
      <c r="A210" s="3"/>
      <c r="B210" s="3"/>
      <c r="C210" s="3"/>
      <c r="D210" s="3"/>
      <c r="E210" s="3"/>
      <c r="F210" s="3"/>
      <c r="G210" s="3"/>
      <c r="H210" s="3"/>
      <c r="I210" s="3"/>
      <c r="J210" s="3"/>
      <c r="K210" s="3"/>
      <c r="L210" s="3"/>
      <c r="M210" s="3"/>
      <c r="N210" s="3"/>
      <c r="O210" s="3"/>
      <c r="P210" s="3"/>
      <c r="Q210" s="3"/>
      <c r="R210" s="3"/>
      <c r="S210" s="3"/>
    </row>
    <row r="211" spans="1:19" ht="15.75" customHeight="1" x14ac:dyDescent="0.25">
      <c r="A211" s="3"/>
      <c r="B211" s="3"/>
      <c r="C211" s="3"/>
      <c r="D211" s="3"/>
      <c r="E211" s="3"/>
      <c r="F211" s="3"/>
      <c r="G211" s="3"/>
      <c r="H211" s="3"/>
      <c r="I211" s="3"/>
      <c r="J211" s="3"/>
      <c r="K211" s="3"/>
      <c r="L211" s="3"/>
      <c r="M211" s="3"/>
      <c r="N211" s="3"/>
      <c r="O211" s="3"/>
      <c r="P211" s="3"/>
      <c r="Q211" s="3"/>
      <c r="R211" s="3"/>
      <c r="S211" s="3"/>
    </row>
    <row r="212" spans="1:19" ht="15.75" customHeight="1" x14ac:dyDescent="0.25">
      <c r="A212" s="3"/>
      <c r="B212" s="3"/>
      <c r="C212" s="3"/>
      <c r="D212" s="3"/>
      <c r="E212" s="3"/>
      <c r="F212" s="3"/>
      <c r="G212" s="3"/>
      <c r="H212" s="3"/>
      <c r="I212" s="3"/>
      <c r="J212" s="3"/>
      <c r="K212" s="3"/>
      <c r="L212" s="3"/>
      <c r="M212" s="3"/>
      <c r="N212" s="3"/>
      <c r="O212" s="3"/>
      <c r="P212" s="3"/>
      <c r="Q212" s="3"/>
      <c r="R212" s="3"/>
      <c r="S212" s="3"/>
    </row>
    <row r="213" spans="1:19" ht="15.75" customHeight="1" x14ac:dyDescent="0.25">
      <c r="A213" s="3"/>
      <c r="B213" s="3"/>
      <c r="C213" s="3"/>
      <c r="D213" s="3"/>
      <c r="E213" s="3"/>
      <c r="F213" s="3"/>
      <c r="G213" s="3"/>
      <c r="H213" s="3"/>
      <c r="I213" s="3"/>
      <c r="J213" s="3"/>
      <c r="K213" s="3"/>
      <c r="L213" s="3"/>
      <c r="M213" s="3"/>
      <c r="N213" s="3"/>
      <c r="O213" s="3"/>
      <c r="P213" s="3"/>
      <c r="Q213" s="3"/>
      <c r="R213" s="3"/>
      <c r="S213" s="3"/>
    </row>
    <row r="214" spans="1:19" ht="15.75" customHeight="1" x14ac:dyDescent="0.25">
      <c r="A214" s="3"/>
      <c r="B214" s="3"/>
      <c r="C214" s="3"/>
      <c r="D214" s="3"/>
      <c r="E214" s="3"/>
      <c r="F214" s="3"/>
      <c r="G214" s="3"/>
      <c r="H214" s="3"/>
      <c r="I214" s="3"/>
      <c r="J214" s="3"/>
      <c r="K214" s="3"/>
      <c r="L214" s="3"/>
      <c r="M214" s="3"/>
      <c r="N214" s="3"/>
      <c r="O214" s="3"/>
      <c r="P214" s="3"/>
      <c r="Q214" s="3"/>
      <c r="R214" s="3"/>
      <c r="S214" s="3"/>
    </row>
    <row r="215" spans="1:19" ht="15.75" customHeight="1" x14ac:dyDescent="0.25">
      <c r="A215" s="3"/>
      <c r="B215" s="3"/>
      <c r="C215" s="3"/>
      <c r="D215" s="3"/>
      <c r="E215" s="3"/>
      <c r="F215" s="3"/>
      <c r="G215" s="3"/>
      <c r="H215" s="3"/>
      <c r="I215" s="3"/>
      <c r="J215" s="3"/>
      <c r="K215" s="3"/>
      <c r="L215" s="3"/>
      <c r="M215" s="3"/>
      <c r="N215" s="3"/>
      <c r="O215" s="3"/>
      <c r="P215" s="3"/>
      <c r="Q215" s="3"/>
      <c r="R215" s="3"/>
      <c r="S215" s="3"/>
    </row>
    <row r="216" spans="1:19" ht="15.75" customHeight="1" x14ac:dyDescent="0.25">
      <c r="A216" s="3"/>
      <c r="B216" s="3"/>
      <c r="C216" s="3"/>
      <c r="D216" s="3"/>
      <c r="E216" s="3"/>
      <c r="F216" s="3"/>
      <c r="G216" s="3"/>
      <c r="H216" s="3"/>
      <c r="I216" s="3"/>
      <c r="J216" s="3"/>
      <c r="K216" s="3"/>
      <c r="L216" s="3"/>
      <c r="M216" s="3"/>
      <c r="N216" s="3"/>
      <c r="O216" s="3"/>
      <c r="P216" s="3"/>
      <c r="Q216" s="3"/>
      <c r="R216" s="3"/>
      <c r="S216" s="3"/>
    </row>
    <row r="217" spans="1:19" ht="15.75" customHeight="1" x14ac:dyDescent="0.25">
      <c r="A217" s="3"/>
      <c r="B217" s="3"/>
      <c r="C217" s="3"/>
      <c r="D217" s="3"/>
      <c r="E217" s="3"/>
      <c r="F217" s="3"/>
      <c r="G217" s="3"/>
      <c r="H217" s="3"/>
      <c r="I217" s="3"/>
      <c r="J217" s="3"/>
      <c r="K217" s="3"/>
      <c r="L217" s="3"/>
      <c r="M217" s="3"/>
      <c r="N217" s="3"/>
      <c r="O217" s="3"/>
      <c r="P217" s="3"/>
      <c r="Q217" s="3"/>
      <c r="R217" s="3"/>
      <c r="S217" s="3"/>
    </row>
    <row r="218" spans="1:19" ht="15.75" customHeight="1" x14ac:dyDescent="0.25">
      <c r="A218" s="3"/>
      <c r="B218" s="3"/>
      <c r="C218" s="3"/>
      <c r="D218" s="3"/>
      <c r="E218" s="3"/>
      <c r="F218" s="3"/>
      <c r="G218" s="3"/>
      <c r="H218" s="3"/>
      <c r="I218" s="3"/>
      <c r="J218" s="3"/>
      <c r="K218" s="3"/>
      <c r="L218" s="3"/>
      <c r="M218" s="3"/>
      <c r="N218" s="3"/>
      <c r="O218" s="3"/>
      <c r="P218" s="3"/>
      <c r="Q218" s="3"/>
      <c r="R218" s="3"/>
      <c r="S218" s="3"/>
    </row>
    <row r="219" spans="1:19" ht="15.75" customHeight="1" x14ac:dyDescent="0.25">
      <c r="A219" s="3"/>
      <c r="B219" s="3"/>
      <c r="C219" s="3"/>
      <c r="D219" s="3"/>
      <c r="E219" s="3"/>
      <c r="F219" s="3"/>
      <c r="G219" s="3"/>
      <c r="H219" s="3"/>
      <c r="I219" s="3"/>
      <c r="J219" s="3"/>
      <c r="K219" s="3"/>
      <c r="L219" s="3"/>
      <c r="M219" s="3"/>
      <c r="N219" s="3"/>
      <c r="O219" s="3"/>
      <c r="P219" s="3"/>
      <c r="Q219" s="3"/>
      <c r="R219" s="3"/>
      <c r="S219" s="3"/>
    </row>
    <row r="220" spans="1:19" ht="15.75" customHeight="1" x14ac:dyDescent="0.25">
      <c r="A220" s="3"/>
      <c r="B220" s="3"/>
      <c r="C220" s="3"/>
      <c r="D220" s="3"/>
      <c r="E220" s="3"/>
      <c r="F220" s="3"/>
      <c r="G220" s="3"/>
      <c r="H220" s="3"/>
      <c r="I220" s="3"/>
      <c r="J220" s="3"/>
      <c r="K220" s="3"/>
      <c r="L220" s="3"/>
      <c r="M220" s="3"/>
      <c r="N220" s="3"/>
      <c r="O220" s="3"/>
      <c r="P220" s="3"/>
      <c r="Q220" s="3"/>
      <c r="R220" s="3"/>
      <c r="S220" s="3"/>
    </row>
    <row r="221" spans="1:19" ht="15.75" customHeight="1" x14ac:dyDescent="0.25">
      <c r="A221" s="3"/>
      <c r="B221" s="3"/>
      <c r="C221" s="3"/>
      <c r="D221" s="3"/>
      <c r="E221" s="3"/>
      <c r="F221" s="3"/>
      <c r="G221" s="3"/>
      <c r="H221" s="3"/>
      <c r="I221" s="3"/>
      <c r="J221" s="3"/>
      <c r="K221" s="3"/>
      <c r="L221" s="3"/>
      <c r="M221" s="3"/>
      <c r="N221" s="3"/>
      <c r="O221" s="3"/>
      <c r="P221" s="3"/>
      <c r="Q221" s="3"/>
      <c r="R221" s="3"/>
      <c r="S221" s="3"/>
    </row>
    <row r="222" spans="1:19" ht="15.75" customHeight="1" x14ac:dyDescent="0.25">
      <c r="A222" s="3"/>
      <c r="B222" s="3"/>
      <c r="C222" s="3"/>
      <c r="D222" s="3"/>
      <c r="E222" s="3"/>
      <c r="F222" s="3"/>
      <c r="G222" s="3"/>
      <c r="H222" s="3"/>
      <c r="I222" s="3"/>
      <c r="J222" s="3"/>
      <c r="K222" s="3"/>
      <c r="L222" s="3"/>
      <c r="M222" s="3"/>
      <c r="N222" s="3"/>
      <c r="O222" s="3"/>
      <c r="P222" s="3"/>
      <c r="Q222" s="3"/>
      <c r="R222" s="3"/>
      <c r="S222" s="3"/>
    </row>
    <row r="223" spans="1:19" ht="15.75" customHeight="1" x14ac:dyDescent="0.25">
      <c r="A223" s="3"/>
      <c r="B223" s="3"/>
      <c r="C223" s="3"/>
      <c r="D223" s="3"/>
      <c r="E223" s="3"/>
      <c r="F223" s="3"/>
      <c r="G223" s="3"/>
      <c r="H223" s="3"/>
      <c r="I223" s="3"/>
      <c r="J223" s="3"/>
      <c r="K223" s="3"/>
      <c r="L223" s="3"/>
      <c r="M223" s="3"/>
      <c r="N223" s="3"/>
      <c r="O223" s="3"/>
      <c r="P223" s="3"/>
      <c r="Q223" s="3"/>
      <c r="R223" s="3"/>
      <c r="S223" s="3"/>
    </row>
    <row r="224" spans="1:19" ht="15.75" customHeight="1" x14ac:dyDescent="0.25">
      <c r="A224" s="3"/>
      <c r="B224" s="3"/>
      <c r="C224" s="3"/>
      <c r="D224" s="3"/>
      <c r="E224" s="3"/>
      <c r="F224" s="3"/>
      <c r="G224" s="3"/>
      <c r="H224" s="3"/>
      <c r="I224" s="3"/>
      <c r="J224" s="3"/>
      <c r="K224" s="3"/>
      <c r="L224" s="3"/>
      <c r="M224" s="3"/>
      <c r="N224" s="3"/>
      <c r="O224" s="3"/>
      <c r="P224" s="3"/>
      <c r="Q224" s="3"/>
      <c r="R224" s="3"/>
      <c r="S224" s="3"/>
    </row>
    <row r="225" spans="1:19" ht="15.75" customHeight="1" x14ac:dyDescent="0.25">
      <c r="A225" s="3"/>
      <c r="B225" s="3"/>
      <c r="C225" s="3"/>
      <c r="D225" s="3"/>
      <c r="E225" s="3"/>
      <c r="F225" s="3"/>
      <c r="G225" s="3"/>
      <c r="H225" s="3"/>
      <c r="I225" s="3"/>
      <c r="J225" s="3"/>
      <c r="K225" s="3"/>
      <c r="L225" s="3"/>
      <c r="M225" s="3"/>
      <c r="N225" s="3"/>
      <c r="O225" s="3"/>
      <c r="P225" s="3"/>
      <c r="Q225" s="3"/>
      <c r="R225" s="3"/>
      <c r="S225" s="3"/>
    </row>
    <row r="226" spans="1:19" ht="15.75" customHeight="1" x14ac:dyDescent="0.25">
      <c r="A226" s="3"/>
      <c r="B226" s="3"/>
      <c r="C226" s="3"/>
      <c r="D226" s="3"/>
      <c r="E226" s="3"/>
      <c r="F226" s="3"/>
      <c r="G226" s="3"/>
      <c r="H226" s="3"/>
      <c r="I226" s="3"/>
      <c r="J226" s="3"/>
      <c r="K226" s="3"/>
      <c r="L226" s="3"/>
      <c r="M226" s="3"/>
      <c r="N226" s="3"/>
      <c r="O226" s="3"/>
      <c r="P226" s="3"/>
      <c r="Q226" s="3"/>
      <c r="R226" s="3"/>
      <c r="S226" s="3"/>
    </row>
    <row r="227" spans="1:19" ht="15.75" customHeight="1" x14ac:dyDescent="0.25">
      <c r="A227" s="3"/>
      <c r="B227" s="3"/>
      <c r="C227" s="3"/>
      <c r="D227" s="3"/>
      <c r="E227" s="3"/>
      <c r="F227" s="3"/>
      <c r="G227" s="3"/>
      <c r="H227" s="3"/>
      <c r="I227" s="3"/>
      <c r="J227" s="3"/>
      <c r="K227" s="3"/>
      <c r="L227" s="3"/>
      <c r="M227" s="3"/>
      <c r="N227" s="3"/>
      <c r="O227" s="3"/>
      <c r="P227" s="3"/>
      <c r="Q227" s="3"/>
      <c r="R227" s="3"/>
      <c r="S227" s="3"/>
    </row>
    <row r="228" spans="1:19" ht="15.75" customHeight="1" x14ac:dyDescent="0.25">
      <c r="A228" s="3"/>
      <c r="B228" s="3"/>
      <c r="C228" s="3"/>
      <c r="D228" s="3"/>
      <c r="E228" s="3"/>
      <c r="F228" s="3"/>
      <c r="G228" s="3"/>
      <c r="H228" s="3"/>
      <c r="I228" s="3"/>
      <c r="J228" s="3"/>
      <c r="K228" s="3"/>
      <c r="L228" s="3"/>
      <c r="M228" s="3"/>
      <c r="N228" s="3"/>
      <c r="O228" s="3"/>
      <c r="P228" s="3"/>
      <c r="Q228" s="3"/>
      <c r="R228" s="3"/>
      <c r="S228" s="3"/>
    </row>
  </sheetData>
  <mergeCells count="3">
    <mergeCell ref="A2:C2"/>
    <mergeCell ref="E2:G2"/>
    <mergeCell ref="E16:H16"/>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39966"/>
  </sheetPr>
  <dimension ref="A1:R100"/>
  <sheetViews>
    <sheetView showGridLines="0" workbookViewId="0"/>
  </sheetViews>
  <sheetFormatPr defaultColWidth="14.390625" defaultRowHeight="15" customHeight="1" x14ac:dyDescent="0.2"/>
  <cols>
    <col min="1" max="1" width="63.4921875" customWidth="1"/>
    <col min="2" max="4" width="20.3125" customWidth="1"/>
    <col min="5" max="8" width="9.14453125" customWidth="1"/>
    <col min="9" max="9" width="4.3046875" customWidth="1"/>
    <col min="10" max="18" width="9.14453125" hidden="1" customWidth="1"/>
  </cols>
  <sheetData>
    <row r="1" spans="1:18" ht="31.5" x14ac:dyDescent="0.45">
      <c r="A1" s="190" t="s">
        <v>108</v>
      </c>
      <c r="B1" s="118"/>
      <c r="C1" s="118"/>
      <c r="D1" s="118"/>
      <c r="E1" s="118"/>
      <c r="F1" s="118"/>
      <c r="G1" s="118"/>
      <c r="H1" s="118"/>
      <c r="I1" s="118"/>
      <c r="J1" s="118"/>
      <c r="K1" s="118"/>
      <c r="L1" s="118"/>
      <c r="M1" s="118"/>
      <c r="N1" s="118"/>
      <c r="O1" s="118"/>
      <c r="P1" s="118"/>
      <c r="Q1" s="118"/>
      <c r="R1" s="118"/>
    </row>
    <row r="2" spans="1:18" x14ac:dyDescent="0.2">
      <c r="A2" s="118"/>
      <c r="B2" s="118"/>
      <c r="C2" s="118"/>
      <c r="D2" s="118"/>
      <c r="E2" s="118"/>
      <c r="F2" s="118"/>
      <c r="G2" s="118"/>
      <c r="H2" s="118"/>
      <c r="I2" s="118"/>
      <c r="J2" s="118"/>
      <c r="K2" s="118"/>
      <c r="L2" s="118"/>
      <c r="M2" s="118"/>
      <c r="N2" s="118"/>
      <c r="O2" s="118"/>
      <c r="P2" s="118"/>
      <c r="Q2" s="118"/>
      <c r="R2" s="118"/>
    </row>
    <row r="3" spans="1:18" x14ac:dyDescent="0.2">
      <c r="A3" s="191" t="s">
        <v>109</v>
      </c>
      <c r="B3" s="118"/>
      <c r="C3" s="118"/>
      <c r="D3" s="118"/>
      <c r="E3" s="118"/>
      <c r="F3" s="118"/>
      <c r="G3" s="118"/>
      <c r="H3" s="118"/>
      <c r="I3" s="118"/>
      <c r="J3" s="118"/>
      <c r="K3" s="118"/>
      <c r="L3" s="118"/>
      <c r="M3" s="118"/>
      <c r="N3" s="118"/>
      <c r="O3" s="118"/>
      <c r="P3" s="118"/>
      <c r="Q3" s="118"/>
      <c r="R3" s="118"/>
    </row>
    <row r="4" spans="1:18" x14ac:dyDescent="0.2">
      <c r="A4" s="192" t="s">
        <v>110</v>
      </c>
      <c r="B4" s="118"/>
      <c r="C4" s="118"/>
      <c r="D4" s="118"/>
      <c r="E4" s="118"/>
      <c r="F4" s="118"/>
      <c r="G4" s="118"/>
      <c r="H4" s="118"/>
      <c r="I4" s="118"/>
      <c r="J4" s="118"/>
      <c r="K4" s="118"/>
      <c r="L4" s="118"/>
      <c r="M4" s="118"/>
      <c r="N4" s="118"/>
      <c r="O4" s="118"/>
      <c r="P4" s="118"/>
      <c r="Q4" s="118"/>
      <c r="R4" s="118"/>
    </row>
    <row r="5" spans="1:18" x14ac:dyDescent="0.2">
      <c r="A5" s="118"/>
      <c r="B5" s="118"/>
      <c r="C5" s="118"/>
      <c r="D5" s="118"/>
      <c r="E5" s="118"/>
      <c r="F5" s="118"/>
      <c r="G5" s="118"/>
      <c r="H5" s="118"/>
      <c r="I5" s="118"/>
      <c r="J5" s="118"/>
      <c r="K5" s="118"/>
      <c r="L5" s="118"/>
      <c r="M5" s="118"/>
      <c r="N5" s="118"/>
      <c r="O5" s="118"/>
      <c r="P5" s="118"/>
      <c r="Q5" s="118"/>
      <c r="R5" s="118"/>
    </row>
    <row r="6" spans="1:18" x14ac:dyDescent="0.2">
      <c r="A6" s="193" t="s">
        <v>4</v>
      </c>
      <c r="B6" s="194" t="s">
        <v>111</v>
      </c>
      <c r="C6" s="194" t="s">
        <v>112</v>
      </c>
      <c r="D6" s="194" t="s">
        <v>113</v>
      </c>
      <c r="E6" s="118"/>
      <c r="F6" s="118"/>
      <c r="G6" s="118"/>
      <c r="H6" s="118"/>
      <c r="I6" s="118"/>
      <c r="J6" s="118"/>
      <c r="K6" s="118"/>
      <c r="L6" s="118"/>
      <c r="M6" s="118"/>
      <c r="N6" s="118"/>
      <c r="O6" s="118"/>
      <c r="P6" s="118"/>
      <c r="Q6" s="118"/>
      <c r="R6" s="118"/>
    </row>
    <row r="7" spans="1:18" x14ac:dyDescent="0.2">
      <c r="A7" s="49" t="s">
        <v>99</v>
      </c>
      <c r="B7" s="195">
        <v>5000000000</v>
      </c>
      <c r="C7" s="195">
        <v>4800000000</v>
      </c>
      <c r="D7" s="195">
        <v>4200000000</v>
      </c>
      <c r="E7" s="118"/>
      <c r="F7" s="118"/>
      <c r="G7" s="118"/>
      <c r="H7" s="118"/>
      <c r="I7" s="118"/>
      <c r="J7" s="118"/>
      <c r="K7" s="118"/>
      <c r="L7" s="118"/>
      <c r="M7" s="118"/>
      <c r="N7" s="118"/>
      <c r="O7" s="118"/>
      <c r="P7" s="118"/>
      <c r="Q7" s="118"/>
      <c r="R7" s="118"/>
    </row>
    <row r="8" spans="1:18" x14ac:dyDescent="0.2">
      <c r="A8" s="49" t="s">
        <v>114</v>
      </c>
      <c r="B8" s="195">
        <v>25000000000</v>
      </c>
      <c r="C8" s="195">
        <v>27200000000</v>
      </c>
      <c r="D8" s="195">
        <v>23800000000</v>
      </c>
      <c r="E8" s="118"/>
      <c r="F8" s="118"/>
      <c r="G8" s="118"/>
      <c r="H8" s="118"/>
      <c r="I8" s="118"/>
      <c r="J8" s="118"/>
      <c r="K8" s="118"/>
      <c r="L8" s="118"/>
      <c r="M8" s="118"/>
      <c r="N8" s="118"/>
      <c r="O8" s="118"/>
      <c r="P8" s="118"/>
      <c r="Q8" s="118"/>
      <c r="R8" s="118"/>
    </row>
    <row r="9" spans="1:18" x14ac:dyDescent="0.2">
      <c r="A9" s="49" t="s">
        <v>115</v>
      </c>
      <c r="B9" s="195">
        <v>30000000000</v>
      </c>
      <c r="C9" s="195">
        <v>32000000000</v>
      </c>
      <c r="D9" s="195">
        <v>28000000000</v>
      </c>
      <c r="E9" s="118"/>
      <c r="F9" s="118"/>
      <c r="G9" s="118"/>
      <c r="H9" s="118"/>
      <c r="I9" s="118"/>
      <c r="J9" s="118"/>
      <c r="K9" s="118"/>
      <c r="L9" s="118"/>
      <c r="M9" s="118"/>
      <c r="N9" s="118"/>
      <c r="O9" s="118"/>
      <c r="P9" s="118"/>
      <c r="Q9" s="118"/>
      <c r="R9" s="118"/>
    </row>
    <row r="10" spans="1:18" x14ac:dyDescent="0.2">
      <c r="A10" s="49" t="s">
        <v>116</v>
      </c>
      <c r="B10" s="195">
        <v>50000000000</v>
      </c>
      <c r="C10" s="195">
        <v>48000000000</v>
      </c>
      <c r="D10" s="195">
        <v>45000000000</v>
      </c>
      <c r="E10" s="118"/>
      <c r="F10" s="118"/>
      <c r="G10" s="118"/>
      <c r="H10" s="118"/>
      <c r="I10" s="118"/>
      <c r="J10" s="118"/>
      <c r="K10" s="118"/>
      <c r="L10" s="118"/>
      <c r="M10" s="118"/>
      <c r="N10" s="118"/>
      <c r="O10" s="118"/>
      <c r="P10" s="118"/>
      <c r="Q10" s="118"/>
      <c r="R10" s="118"/>
    </row>
    <row r="11" spans="1:18" x14ac:dyDescent="0.2">
      <c r="A11" s="49" t="s">
        <v>117</v>
      </c>
      <c r="B11" s="195">
        <v>20000000000</v>
      </c>
      <c r="C11" s="195">
        <v>19000000000</v>
      </c>
      <c r="D11" s="195">
        <v>18000000000</v>
      </c>
      <c r="E11" s="118"/>
      <c r="F11" s="118"/>
      <c r="G11" s="118"/>
      <c r="H11" s="118"/>
      <c r="I11" s="118"/>
      <c r="J11" s="118"/>
      <c r="K11" s="118"/>
      <c r="L11" s="118"/>
      <c r="M11" s="118"/>
      <c r="N11" s="118"/>
      <c r="O11" s="118"/>
      <c r="P11" s="118"/>
      <c r="Q11" s="118"/>
      <c r="R11" s="118"/>
    </row>
    <row r="12" spans="1:18" x14ac:dyDescent="0.2">
      <c r="A12" s="49" t="s">
        <v>118</v>
      </c>
      <c r="B12" s="195">
        <v>30000000000</v>
      </c>
      <c r="C12" s="195">
        <v>29000000000</v>
      </c>
      <c r="D12" s="195">
        <v>27000000000</v>
      </c>
      <c r="E12" s="118"/>
      <c r="F12" s="118"/>
      <c r="G12" s="118"/>
      <c r="H12" s="118"/>
      <c r="I12" s="118"/>
      <c r="J12" s="118"/>
      <c r="K12" s="118"/>
      <c r="L12" s="118"/>
      <c r="M12" s="118"/>
      <c r="N12" s="118"/>
      <c r="O12" s="118"/>
      <c r="P12" s="118"/>
      <c r="Q12" s="118"/>
      <c r="R12" s="118"/>
    </row>
    <row r="13" spans="1:18" x14ac:dyDescent="0.2">
      <c r="A13" s="49" t="s">
        <v>119</v>
      </c>
      <c r="B13" s="195">
        <v>8000000000</v>
      </c>
      <c r="C13" s="195">
        <v>7500000000</v>
      </c>
      <c r="D13" s="195">
        <v>7000000000</v>
      </c>
      <c r="E13" s="118"/>
      <c r="F13" s="118"/>
      <c r="G13" s="118"/>
      <c r="H13" s="118"/>
      <c r="I13" s="118"/>
      <c r="J13" s="118"/>
      <c r="K13" s="118"/>
      <c r="L13" s="118"/>
      <c r="M13" s="118"/>
      <c r="N13" s="118"/>
      <c r="O13" s="118"/>
      <c r="P13" s="118"/>
      <c r="Q13" s="118"/>
      <c r="R13" s="118"/>
    </row>
    <row r="14" spans="1:18" x14ac:dyDescent="0.2">
      <c r="A14" s="49" t="s">
        <v>120</v>
      </c>
      <c r="B14" s="195">
        <v>-3000000000</v>
      </c>
      <c r="C14" s="195">
        <v>-2800000000</v>
      </c>
      <c r="D14" s="195">
        <v>-2500000000</v>
      </c>
      <c r="E14" s="118"/>
      <c r="F14" s="118"/>
      <c r="G14" s="118"/>
      <c r="H14" s="118"/>
      <c r="I14" s="118"/>
      <c r="J14" s="118"/>
      <c r="K14" s="118"/>
      <c r="L14" s="118"/>
      <c r="M14" s="118"/>
      <c r="N14" s="118"/>
      <c r="O14" s="118"/>
      <c r="P14" s="118"/>
      <c r="Q14" s="118"/>
      <c r="R14" s="118"/>
    </row>
    <row r="15" spans="1:18" x14ac:dyDescent="0.2">
      <c r="A15" s="49" t="s">
        <v>121</v>
      </c>
      <c r="B15" s="195">
        <v>-4000000000</v>
      </c>
      <c r="C15" s="195">
        <v>-3700000000</v>
      </c>
      <c r="D15" s="195">
        <v>-3500000000</v>
      </c>
      <c r="E15" s="118"/>
      <c r="F15" s="118"/>
      <c r="G15" s="118"/>
      <c r="H15" s="118"/>
      <c r="I15" s="118"/>
      <c r="J15" s="118"/>
      <c r="K15" s="118"/>
      <c r="L15" s="118"/>
      <c r="M15" s="118"/>
      <c r="N15" s="118"/>
      <c r="O15" s="118"/>
      <c r="P15" s="118"/>
      <c r="Q15" s="118"/>
      <c r="R15" s="118"/>
    </row>
    <row r="16" spans="1:18" x14ac:dyDescent="0.2">
      <c r="A16" s="118"/>
      <c r="B16" s="118"/>
      <c r="C16" s="118"/>
      <c r="D16" s="118"/>
      <c r="E16" s="118"/>
      <c r="F16" s="118"/>
      <c r="G16" s="118"/>
      <c r="H16" s="118"/>
      <c r="I16" s="118"/>
      <c r="J16" s="118"/>
      <c r="K16" s="118"/>
      <c r="L16" s="118"/>
      <c r="M16" s="118"/>
      <c r="N16" s="118"/>
      <c r="O16" s="118"/>
      <c r="P16" s="118"/>
      <c r="Q16" s="118"/>
      <c r="R16" s="118"/>
    </row>
    <row r="17" spans="1:18" x14ac:dyDescent="0.2">
      <c r="A17" s="118"/>
      <c r="B17" s="118"/>
      <c r="C17" s="118"/>
      <c r="D17" s="118"/>
      <c r="E17" s="118"/>
      <c r="F17" s="118"/>
      <c r="G17" s="118"/>
      <c r="H17" s="118"/>
      <c r="I17" s="118"/>
      <c r="J17" s="118"/>
      <c r="K17" s="118"/>
      <c r="L17" s="118"/>
      <c r="M17" s="118"/>
      <c r="N17" s="118"/>
      <c r="O17" s="118"/>
      <c r="P17" s="118"/>
      <c r="Q17" s="118"/>
      <c r="R17" s="118"/>
    </row>
    <row r="18" spans="1:18" x14ac:dyDescent="0.2">
      <c r="A18" s="196" t="s">
        <v>122</v>
      </c>
      <c r="B18" s="197"/>
      <c r="C18" s="197"/>
      <c r="D18" s="198"/>
      <c r="E18" s="118"/>
      <c r="F18" s="118"/>
      <c r="G18" s="118"/>
      <c r="H18" s="118"/>
      <c r="I18" s="118"/>
      <c r="J18" s="199"/>
      <c r="K18" s="199"/>
      <c r="L18" s="199"/>
      <c r="M18" s="199"/>
      <c r="N18" s="199"/>
      <c r="O18" s="199"/>
      <c r="P18" s="199"/>
      <c r="Q18" s="199"/>
      <c r="R18" s="200"/>
    </row>
    <row r="19" spans="1:18" ht="35.25" customHeight="1" x14ac:dyDescent="0.2">
      <c r="A19" s="458" t="s">
        <v>123</v>
      </c>
      <c r="B19" s="459"/>
      <c r="C19" s="459"/>
      <c r="D19" s="460"/>
      <c r="E19" s="118"/>
      <c r="F19" s="118"/>
      <c r="G19" s="118"/>
      <c r="H19" s="118"/>
      <c r="I19" s="118"/>
      <c r="J19" s="118"/>
      <c r="K19" s="118"/>
      <c r="L19" s="118"/>
      <c r="M19" s="118"/>
      <c r="N19" s="118"/>
      <c r="O19" s="118"/>
      <c r="P19" s="118"/>
      <c r="Q19" s="118"/>
      <c r="R19" s="201"/>
    </row>
    <row r="20" spans="1:18" x14ac:dyDescent="0.2">
      <c r="A20" s="202" t="s">
        <v>124</v>
      </c>
      <c r="B20" s="118"/>
      <c r="C20" s="118"/>
      <c r="D20" s="201"/>
      <c r="E20" s="118"/>
      <c r="F20" s="118"/>
      <c r="G20" s="118"/>
      <c r="H20" s="118"/>
      <c r="I20" s="118"/>
      <c r="J20" s="118"/>
      <c r="K20" s="118"/>
      <c r="L20" s="118"/>
      <c r="M20" s="118"/>
      <c r="N20" s="118"/>
      <c r="O20" s="118"/>
      <c r="P20" s="118"/>
      <c r="Q20" s="118"/>
      <c r="R20" s="201"/>
    </row>
    <row r="21" spans="1:18" ht="15.75" customHeight="1" x14ac:dyDescent="0.2">
      <c r="A21" s="202" t="s">
        <v>125</v>
      </c>
      <c r="B21" s="203"/>
      <c r="C21" s="118"/>
      <c r="D21" s="201"/>
      <c r="E21" s="118"/>
      <c r="F21" s="118"/>
      <c r="G21" s="118"/>
      <c r="H21" s="118"/>
      <c r="I21" s="118"/>
      <c r="J21" s="118"/>
      <c r="K21" s="118"/>
      <c r="L21" s="118"/>
      <c r="M21" s="118"/>
      <c r="N21" s="118"/>
      <c r="O21" s="118"/>
      <c r="P21" s="118"/>
      <c r="Q21" s="118"/>
      <c r="R21" s="201"/>
    </row>
    <row r="22" spans="1:18" ht="15.75" customHeight="1" x14ac:dyDescent="0.2">
      <c r="A22" s="202" t="s">
        <v>126</v>
      </c>
      <c r="B22" s="203"/>
      <c r="C22" s="118"/>
      <c r="D22" s="201"/>
      <c r="E22" s="118"/>
      <c r="F22" s="118"/>
      <c r="G22" s="118"/>
      <c r="H22" s="118"/>
      <c r="I22" s="118"/>
      <c r="J22" s="118"/>
      <c r="K22" s="118"/>
      <c r="L22" s="118"/>
      <c r="M22" s="118"/>
      <c r="N22" s="118"/>
      <c r="O22" s="118"/>
      <c r="P22" s="118"/>
      <c r="Q22" s="118"/>
      <c r="R22" s="201"/>
    </row>
    <row r="23" spans="1:18" ht="15.75" customHeight="1" x14ac:dyDescent="0.2">
      <c r="A23" s="202" t="s">
        <v>127</v>
      </c>
      <c r="B23" s="203"/>
      <c r="C23" s="118"/>
      <c r="D23" s="201"/>
      <c r="E23" s="118"/>
      <c r="F23" s="118"/>
      <c r="G23" s="118"/>
      <c r="H23" s="118"/>
      <c r="I23" s="118"/>
      <c r="J23" s="118"/>
      <c r="K23" s="118"/>
      <c r="L23" s="118"/>
      <c r="M23" s="118"/>
      <c r="N23" s="118"/>
      <c r="O23" s="118"/>
      <c r="P23" s="118"/>
      <c r="Q23" s="118"/>
      <c r="R23" s="201"/>
    </row>
    <row r="24" spans="1:18" ht="15.75" customHeight="1" x14ac:dyDescent="0.2">
      <c r="A24" s="204" t="s">
        <v>128</v>
      </c>
      <c r="B24" s="118"/>
      <c r="C24" s="118"/>
      <c r="D24" s="201"/>
      <c r="E24" s="118"/>
      <c r="F24" s="118"/>
      <c r="G24" s="118"/>
      <c r="H24" s="118"/>
      <c r="I24" s="118"/>
      <c r="J24" s="118"/>
      <c r="K24" s="118"/>
      <c r="L24" s="118"/>
      <c r="M24" s="118"/>
      <c r="N24" s="118"/>
      <c r="O24" s="118"/>
      <c r="P24" s="118"/>
      <c r="Q24" s="118"/>
      <c r="R24" s="201"/>
    </row>
    <row r="25" spans="1:18" ht="15.75" customHeight="1" x14ac:dyDescent="0.2">
      <c r="A25" s="205" t="s">
        <v>129</v>
      </c>
      <c r="B25" s="206"/>
      <c r="C25" s="206"/>
      <c r="D25" s="207"/>
      <c r="E25" s="118"/>
      <c r="F25" s="118"/>
      <c r="G25" s="118"/>
      <c r="H25" s="118"/>
      <c r="I25" s="118"/>
      <c r="J25" s="206"/>
      <c r="K25" s="206"/>
      <c r="L25" s="206"/>
      <c r="M25" s="206"/>
      <c r="N25" s="206"/>
      <c r="O25" s="206"/>
      <c r="P25" s="206"/>
      <c r="Q25" s="206"/>
      <c r="R25" s="207"/>
    </row>
    <row r="26" spans="1:18" ht="15.75" customHeight="1" x14ac:dyDescent="0.2">
      <c r="A26" s="118"/>
      <c r="B26" s="118"/>
      <c r="C26" s="118"/>
      <c r="D26" s="118"/>
      <c r="E26" s="118"/>
      <c r="F26" s="118"/>
      <c r="G26" s="118"/>
      <c r="H26" s="118"/>
      <c r="I26" s="118"/>
      <c r="J26" s="118"/>
      <c r="K26" s="118"/>
      <c r="L26" s="118"/>
      <c r="M26" s="118"/>
      <c r="N26" s="118"/>
      <c r="O26" s="118"/>
      <c r="P26" s="118"/>
      <c r="Q26" s="118"/>
      <c r="R26" s="118"/>
    </row>
    <row r="27" spans="1:18" ht="15.75" customHeight="1" x14ac:dyDescent="0.2">
      <c r="A27" s="118"/>
      <c r="B27" s="118"/>
      <c r="C27" s="118"/>
      <c r="D27" s="118"/>
      <c r="E27" s="118"/>
      <c r="F27" s="118"/>
      <c r="G27" s="118"/>
      <c r="H27" s="118"/>
      <c r="I27" s="118"/>
      <c r="J27" s="118"/>
      <c r="K27" s="118"/>
      <c r="L27" s="118"/>
      <c r="M27" s="118"/>
      <c r="N27" s="118"/>
      <c r="O27" s="118"/>
      <c r="P27" s="118"/>
      <c r="Q27" s="118"/>
      <c r="R27" s="118"/>
    </row>
    <row r="28" spans="1:18" ht="15.75" customHeight="1" x14ac:dyDescent="0.2">
      <c r="A28" s="118"/>
      <c r="B28" s="118"/>
      <c r="C28" s="118"/>
      <c r="D28" s="118"/>
      <c r="E28" s="118"/>
      <c r="F28" s="118"/>
      <c r="G28" s="118"/>
      <c r="H28" s="118"/>
      <c r="I28" s="118"/>
      <c r="J28" s="118"/>
      <c r="K28" s="118"/>
      <c r="L28" s="118"/>
      <c r="M28" s="118"/>
      <c r="N28" s="118"/>
      <c r="O28" s="118"/>
      <c r="P28" s="118"/>
      <c r="Q28" s="118"/>
      <c r="R28" s="118"/>
    </row>
    <row r="29" spans="1:18" ht="15.75" customHeight="1" x14ac:dyDescent="0.2">
      <c r="A29" s="118"/>
      <c r="B29" s="118"/>
      <c r="C29" s="118"/>
      <c r="D29" s="118"/>
      <c r="E29" s="118"/>
      <c r="F29" s="118"/>
      <c r="G29" s="118"/>
      <c r="H29" s="118"/>
      <c r="I29" s="118"/>
      <c r="J29" s="118"/>
      <c r="K29" s="118"/>
      <c r="L29" s="118"/>
      <c r="M29" s="118"/>
      <c r="N29" s="118"/>
      <c r="O29" s="118"/>
      <c r="P29" s="118"/>
      <c r="Q29" s="118"/>
      <c r="R29" s="118"/>
    </row>
    <row r="30" spans="1:18" ht="15.75" customHeight="1" x14ac:dyDescent="0.2">
      <c r="A30" s="118"/>
      <c r="B30" s="118"/>
      <c r="C30" s="118"/>
      <c r="D30" s="118"/>
      <c r="E30" s="118"/>
      <c r="F30" s="118"/>
      <c r="G30" s="118"/>
      <c r="H30" s="118"/>
      <c r="I30" s="118"/>
      <c r="J30" s="118"/>
      <c r="K30" s="118"/>
      <c r="L30" s="118"/>
      <c r="M30" s="118"/>
      <c r="N30" s="118"/>
      <c r="O30" s="118"/>
      <c r="P30" s="118"/>
      <c r="Q30" s="118"/>
      <c r="R30" s="118"/>
    </row>
    <row r="31" spans="1:18" ht="15.75" customHeight="1" x14ac:dyDescent="0.2">
      <c r="A31" s="118"/>
      <c r="B31" s="118"/>
      <c r="C31" s="118"/>
      <c r="D31" s="118"/>
      <c r="E31" s="118"/>
      <c r="F31" s="118"/>
      <c r="G31" s="118"/>
      <c r="H31" s="118"/>
      <c r="I31" s="118"/>
      <c r="J31" s="118"/>
      <c r="K31" s="118"/>
      <c r="L31" s="118"/>
      <c r="M31" s="118"/>
      <c r="N31" s="118"/>
      <c r="O31" s="118"/>
      <c r="P31" s="118"/>
      <c r="Q31" s="118"/>
      <c r="R31" s="118"/>
    </row>
    <row r="32" spans="1:18" ht="15.75" customHeight="1" x14ac:dyDescent="0.2">
      <c r="A32" s="118"/>
      <c r="B32" s="118"/>
      <c r="C32" s="118"/>
      <c r="D32" s="118"/>
      <c r="E32" s="118"/>
      <c r="F32" s="118"/>
      <c r="G32" s="118"/>
      <c r="H32" s="118"/>
      <c r="I32" s="118"/>
      <c r="J32" s="118"/>
      <c r="K32" s="118"/>
      <c r="L32" s="118"/>
      <c r="M32" s="118"/>
      <c r="N32" s="118"/>
      <c r="O32" s="118"/>
      <c r="P32" s="118"/>
      <c r="Q32" s="118"/>
      <c r="R32" s="118"/>
    </row>
    <row r="33" spans="1:18" ht="15.75" customHeight="1" x14ac:dyDescent="0.2">
      <c r="A33" s="118"/>
      <c r="B33" s="118"/>
      <c r="C33" s="118"/>
      <c r="D33" s="118"/>
      <c r="E33" s="118"/>
      <c r="F33" s="118"/>
      <c r="G33" s="118"/>
      <c r="H33" s="118"/>
      <c r="I33" s="118"/>
      <c r="J33" s="118"/>
      <c r="K33" s="118"/>
      <c r="L33" s="118"/>
      <c r="M33" s="118"/>
      <c r="N33" s="118"/>
      <c r="O33" s="118"/>
      <c r="P33" s="118"/>
      <c r="Q33" s="118"/>
      <c r="R33" s="118"/>
    </row>
    <row r="34" spans="1:18" ht="15.75" customHeight="1" x14ac:dyDescent="0.2">
      <c r="A34" s="118"/>
      <c r="B34" s="118"/>
      <c r="C34" s="118"/>
      <c r="D34" s="118"/>
      <c r="E34" s="118"/>
      <c r="F34" s="118"/>
      <c r="G34" s="118"/>
      <c r="H34" s="118"/>
      <c r="I34" s="118"/>
      <c r="J34" s="118"/>
      <c r="K34" s="118"/>
      <c r="L34" s="118"/>
      <c r="M34" s="118"/>
      <c r="N34" s="118"/>
      <c r="O34" s="118"/>
      <c r="P34" s="118"/>
      <c r="Q34" s="118"/>
      <c r="R34" s="118"/>
    </row>
    <row r="35" spans="1:18" ht="15.75" customHeight="1" x14ac:dyDescent="0.2">
      <c r="A35" s="118"/>
      <c r="B35" s="118"/>
      <c r="C35" s="118"/>
      <c r="D35" s="118"/>
      <c r="E35" s="118"/>
      <c r="F35" s="118"/>
      <c r="G35" s="118"/>
      <c r="H35" s="118"/>
      <c r="I35" s="118"/>
      <c r="J35" s="118"/>
      <c r="K35" s="118"/>
      <c r="L35" s="118"/>
      <c r="M35" s="118"/>
      <c r="N35" s="118"/>
      <c r="O35" s="118"/>
      <c r="P35" s="118"/>
      <c r="Q35" s="118"/>
      <c r="R35" s="118"/>
    </row>
    <row r="36" spans="1:18" ht="15.75" customHeight="1" x14ac:dyDescent="0.2">
      <c r="A36" s="118"/>
      <c r="B36" s="118"/>
      <c r="C36" s="118"/>
      <c r="D36" s="118"/>
      <c r="E36" s="118"/>
      <c r="F36" s="118"/>
      <c r="G36" s="118"/>
      <c r="H36" s="118"/>
      <c r="I36" s="118"/>
      <c r="J36" s="118"/>
      <c r="K36" s="118"/>
      <c r="L36" s="118"/>
      <c r="M36" s="118"/>
      <c r="N36" s="118"/>
      <c r="O36" s="118"/>
      <c r="P36" s="118"/>
      <c r="Q36" s="118"/>
      <c r="R36" s="118"/>
    </row>
    <row r="37" spans="1:18" ht="15.75" customHeight="1" x14ac:dyDescent="0.2">
      <c r="A37" s="118"/>
      <c r="B37" s="118"/>
      <c r="C37" s="118"/>
      <c r="D37" s="118"/>
      <c r="E37" s="118"/>
      <c r="F37" s="118"/>
      <c r="G37" s="118"/>
      <c r="H37" s="118"/>
      <c r="I37" s="118"/>
      <c r="J37" s="118"/>
      <c r="K37" s="118"/>
      <c r="L37" s="118"/>
      <c r="M37" s="118"/>
      <c r="N37" s="118"/>
      <c r="O37" s="118"/>
      <c r="P37" s="118"/>
      <c r="Q37" s="118"/>
      <c r="R37" s="118"/>
    </row>
    <row r="38" spans="1:18" ht="15.75" customHeight="1" x14ac:dyDescent="0.2">
      <c r="A38" s="118"/>
      <c r="B38" s="118"/>
      <c r="C38" s="118"/>
      <c r="D38" s="118"/>
      <c r="E38" s="118"/>
      <c r="F38" s="118"/>
      <c r="G38" s="118"/>
      <c r="H38" s="118"/>
      <c r="I38" s="118"/>
      <c r="J38" s="118"/>
      <c r="K38" s="118"/>
      <c r="L38" s="118"/>
      <c r="M38" s="118"/>
      <c r="N38" s="118"/>
      <c r="O38" s="118"/>
      <c r="P38" s="118"/>
      <c r="Q38" s="118"/>
      <c r="R38" s="118"/>
    </row>
    <row r="39" spans="1:18" ht="15.75" customHeight="1" x14ac:dyDescent="0.2">
      <c r="A39" s="118"/>
      <c r="B39" s="118"/>
      <c r="C39" s="118"/>
      <c r="D39" s="118"/>
      <c r="E39" s="118"/>
      <c r="F39" s="118"/>
      <c r="G39" s="118"/>
      <c r="H39" s="118"/>
      <c r="I39" s="118"/>
      <c r="J39" s="118"/>
      <c r="K39" s="118"/>
      <c r="L39" s="118"/>
      <c r="M39" s="118"/>
      <c r="N39" s="118"/>
      <c r="O39" s="118"/>
      <c r="P39" s="118"/>
      <c r="Q39" s="118"/>
      <c r="R39" s="118"/>
    </row>
    <row r="40" spans="1:18" ht="15.75" customHeight="1" x14ac:dyDescent="0.2">
      <c r="A40" s="118"/>
      <c r="B40" s="118"/>
      <c r="C40" s="118"/>
      <c r="D40" s="118"/>
      <c r="E40" s="118"/>
      <c r="F40" s="118"/>
      <c r="G40" s="118"/>
      <c r="H40" s="118"/>
      <c r="I40" s="118"/>
      <c r="J40" s="118"/>
      <c r="K40" s="118"/>
      <c r="L40" s="118"/>
      <c r="M40" s="118"/>
      <c r="N40" s="118"/>
      <c r="O40" s="118"/>
      <c r="P40" s="118"/>
      <c r="Q40" s="118"/>
      <c r="R40" s="118"/>
    </row>
    <row r="41" spans="1:18" ht="15.75" customHeight="1" x14ac:dyDescent="0.2">
      <c r="A41" s="118"/>
      <c r="B41" s="118"/>
      <c r="C41" s="118"/>
      <c r="D41" s="118"/>
      <c r="E41" s="118"/>
      <c r="F41" s="118"/>
      <c r="G41" s="118"/>
      <c r="H41" s="118"/>
      <c r="I41" s="118"/>
      <c r="J41" s="118"/>
      <c r="K41" s="118"/>
      <c r="L41" s="118"/>
      <c r="M41" s="118"/>
      <c r="N41" s="118"/>
      <c r="O41" s="118"/>
      <c r="P41" s="118"/>
      <c r="Q41" s="118"/>
      <c r="R41" s="118"/>
    </row>
    <row r="42" spans="1:18" ht="15.75" customHeight="1" x14ac:dyDescent="0.2">
      <c r="A42" s="118"/>
      <c r="B42" s="118"/>
      <c r="C42" s="118"/>
      <c r="D42" s="118"/>
      <c r="E42" s="118"/>
      <c r="F42" s="118"/>
      <c r="G42" s="118"/>
      <c r="H42" s="118"/>
      <c r="I42" s="118"/>
      <c r="J42" s="118"/>
      <c r="K42" s="118"/>
      <c r="L42" s="118"/>
      <c r="M42" s="118"/>
      <c r="N42" s="118"/>
      <c r="O42" s="118"/>
      <c r="P42" s="118"/>
      <c r="Q42" s="118"/>
      <c r="R42" s="118"/>
    </row>
    <row r="43" spans="1:18" ht="15.75" customHeight="1" x14ac:dyDescent="0.2">
      <c r="A43" s="118"/>
      <c r="B43" s="118"/>
      <c r="C43" s="118"/>
      <c r="D43" s="118"/>
      <c r="E43" s="118"/>
      <c r="F43" s="118"/>
      <c r="G43" s="118"/>
      <c r="H43" s="118"/>
      <c r="I43" s="118"/>
      <c r="J43" s="118"/>
      <c r="K43" s="118"/>
      <c r="L43" s="118"/>
      <c r="M43" s="118"/>
      <c r="N43" s="118"/>
      <c r="O43" s="118"/>
      <c r="P43" s="118"/>
      <c r="Q43" s="118"/>
      <c r="R43" s="118"/>
    </row>
    <row r="44" spans="1:18" ht="15.75" customHeight="1" x14ac:dyDescent="0.2">
      <c r="A44" s="118"/>
      <c r="B44" s="118"/>
      <c r="C44" s="118"/>
      <c r="D44" s="118"/>
      <c r="E44" s="118"/>
      <c r="F44" s="118"/>
      <c r="G44" s="118"/>
      <c r="H44" s="118"/>
      <c r="I44" s="118"/>
      <c r="J44" s="118"/>
      <c r="K44" s="118"/>
      <c r="L44" s="118"/>
      <c r="M44" s="118"/>
      <c r="N44" s="118"/>
      <c r="O44" s="118"/>
      <c r="P44" s="118"/>
      <c r="Q44" s="118"/>
      <c r="R44" s="118"/>
    </row>
    <row r="45" spans="1:18" ht="15.75" customHeight="1" x14ac:dyDescent="0.2">
      <c r="A45" s="118"/>
      <c r="B45" s="118"/>
      <c r="C45" s="118"/>
      <c r="D45" s="118"/>
      <c r="E45" s="118"/>
      <c r="F45" s="118"/>
      <c r="G45" s="118"/>
      <c r="H45" s="118"/>
      <c r="I45" s="118"/>
      <c r="J45" s="118"/>
      <c r="K45" s="118"/>
      <c r="L45" s="118"/>
      <c r="M45" s="118"/>
      <c r="N45" s="118"/>
      <c r="O45" s="118"/>
      <c r="P45" s="118"/>
      <c r="Q45" s="118"/>
      <c r="R45" s="118"/>
    </row>
    <row r="46" spans="1:18" ht="15.75" customHeight="1" x14ac:dyDescent="0.2">
      <c r="A46" s="118"/>
      <c r="B46" s="118"/>
      <c r="C46" s="118"/>
      <c r="D46" s="118"/>
      <c r="E46" s="118"/>
      <c r="F46" s="118"/>
      <c r="G46" s="118"/>
      <c r="H46" s="118"/>
      <c r="I46" s="118"/>
      <c r="J46" s="118"/>
      <c r="K46" s="118"/>
      <c r="L46" s="118"/>
      <c r="M46" s="118"/>
      <c r="N46" s="118"/>
      <c r="O46" s="118"/>
      <c r="P46" s="118"/>
      <c r="Q46" s="118"/>
      <c r="R46" s="118"/>
    </row>
    <row r="47" spans="1:18" ht="15.75" customHeight="1" x14ac:dyDescent="0.2">
      <c r="A47" s="118"/>
      <c r="B47" s="118"/>
      <c r="C47" s="118"/>
      <c r="D47" s="118"/>
      <c r="E47" s="118"/>
      <c r="F47" s="118"/>
      <c r="G47" s="118"/>
      <c r="H47" s="118"/>
      <c r="I47" s="118"/>
      <c r="J47" s="118"/>
      <c r="K47" s="118"/>
      <c r="L47" s="118"/>
      <c r="M47" s="118"/>
      <c r="N47" s="118"/>
      <c r="O47" s="118"/>
      <c r="P47" s="118"/>
      <c r="Q47" s="118"/>
      <c r="R47" s="118"/>
    </row>
    <row r="48" spans="1:18" ht="15.75" customHeight="1" x14ac:dyDescent="0.2">
      <c r="A48" s="118"/>
      <c r="B48" s="118"/>
      <c r="C48" s="118"/>
      <c r="D48" s="118"/>
      <c r="E48" s="118"/>
      <c r="F48" s="118"/>
      <c r="G48" s="118"/>
      <c r="H48" s="118"/>
      <c r="I48" s="118"/>
      <c r="J48" s="118"/>
      <c r="K48" s="118"/>
      <c r="L48" s="118"/>
      <c r="M48" s="118"/>
      <c r="N48" s="118"/>
      <c r="O48" s="118"/>
      <c r="P48" s="118"/>
      <c r="Q48" s="118"/>
      <c r="R48" s="118"/>
    </row>
    <row r="49" spans="1:18" ht="15.75" customHeight="1" x14ac:dyDescent="0.2">
      <c r="A49" s="118"/>
      <c r="B49" s="118"/>
      <c r="C49" s="118"/>
      <c r="D49" s="118"/>
      <c r="E49" s="118"/>
      <c r="F49" s="118"/>
      <c r="G49" s="118"/>
      <c r="H49" s="118"/>
      <c r="I49" s="118"/>
      <c r="J49" s="118"/>
      <c r="K49" s="118"/>
      <c r="L49" s="118"/>
      <c r="M49" s="118"/>
      <c r="N49" s="118"/>
      <c r="O49" s="118"/>
      <c r="P49" s="118"/>
      <c r="Q49" s="118"/>
      <c r="R49" s="118"/>
    </row>
    <row r="50" spans="1:18" ht="15.75" customHeight="1" x14ac:dyDescent="0.2">
      <c r="A50" s="118"/>
      <c r="B50" s="118"/>
      <c r="C50" s="118"/>
      <c r="D50" s="118"/>
      <c r="E50" s="118"/>
      <c r="F50" s="118"/>
      <c r="G50" s="118"/>
      <c r="H50" s="118"/>
      <c r="I50" s="118"/>
      <c r="J50" s="118"/>
      <c r="K50" s="118"/>
      <c r="L50" s="118"/>
      <c r="M50" s="118"/>
      <c r="N50" s="118"/>
      <c r="O50" s="118"/>
      <c r="P50" s="118"/>
      <c r="Q50" s="118"/>
      <c r="R50" s="118"/>
    </row>
    <row r="51" spans="1:18" ht="15.75" customHeight="1" x14ac:dyDescent="0.2">
      <c r="A51" s="118"/>
      <c r="B51" s="118"/>
      <c r="C51" s="118"/>
      <c r="D51" s="118"/>
      <c r="E51" s="118"/>
      <c r="F51" s="118"/>
      <c r="G51" s="118"/>
      <c r="H51" s="118"/>
      <c r="I51" s="118"/>
      <c r="J51" s="118"/>
      <c r="K51" s="118"/>
      <c r="L51" s="118"/>
      <c r="M51" s="118"/>
      <c r="N51" s="118"/>
      <c r="O51" s="118"/>
      <c r="P51" s="118"/>
      <c r="Q51" s="118"/>
      <c r="R51" s="118"/>
    </row>
    <row r="52" spans="1:18" ht="15.75" customHeight="1" x14ac:dyDescent="0.2">
      <c r="A52" s="118"/>
      <c r="B52" s="118"/>
      <c r="C52" s="118"/>
      <c r="D52" s="118"/>
      <c r="E52" s="118"/>
      <c r="F52" s="118"/>
      <c r="G52" s="118"/>
      <c r="H52" s="118"/>
      <c r="I52" s="118"/>
      <c r="J52" s="118"/>
      <c r="K52" s="118"/>
      <c r="L52" s="118"/>
      <c r="M52" s="118"/>
      <c r="N52" s="118"/>
      <c r="O52" s="118"/>
      <c r="P52" s="118"/>
      <c r="Q52" s="118"/>
      <c r="R52" s="118"/>
    </row>
    <row r="53" spans="1:18" ht="15.75" customHeight="1" x14ac:dyDescent="0.2">
      <c r="A53" s="118"/>
      <c r="B53" s="118"/>
      <c r="C53" s="118"/>
      <c r="D53" s="118"/>
      <c r="E53" s="118"/>
      <c r="F53" s="118"/>
      <c r="G53" s="118"/>
      <c r="H53" s="118"/>
      <c r="I53" s="118"/>
      <c r="J53" s="118"/>
      <c r="K53" s="118"/>
      <c r="L53" s="118"/>
      <c r="M53" s="118"/>
      <c r="N53" s="118"/>
      <c r="O53" s="118"/>
      <c r="P53" s="118"/>
      <c r="Q53" s="118"/>
      <c r="R53" s="118"/>
    </row>
    <row r="54" spans="1:18" ht="15.75" customHeight="1" x14ac:dyDescent="0.2">
      <c r="A54" s="118"/>
      <c r="B54" s="118"/>
      <c r="C54" s="118"/>
      <c r="D54" s="118"/>
      <c r="E54" s="118"/>
      <c r="F54" s="118"/>
      <c r="G54" s="118"/>
      <c r="H54" s="118"/>
      <c r="I54" s="118"/>
      <c r="J54" s="118"/>
      <c r="K54" s="118"/>
      <c r="L54" s="118"/>
      <c r="M54" s="118"/>
      <c r="N54" s="118"/>
      <c r="O54" s="118"/>
      <c r="P54" s="118"/>
      <c r="Q54" s="118"/>
      <c r="R54" s="118"/>
    </row>
    <row r="55" spans="1:18" ht="15.75" customHeight="1" x14ac:dyDescent="0.2">
      <c r="A55" s="118"/>
      <c r="B55" s="118"/>
      <c r="C55" s="118"/>
      <c r="D55" s="118"/>
      <c r="E55" s="118"/>
      <c r="F55" s="118"/>
      <c r="G55" s="118"/>
      <c r="H55" s="118"/>
      <c r="I55" s="118"/>
      <c r="J55" s="118"/>
      <c r="K55" s="118"/>
      <c r="L55" s="118"/>
      <c r="M55" s="118"/>
      <c r="N55" s="118"/>
      <c r="O55" s="118"/>
      <c r="P55" s="118"/>
      <c r="Q55" s="118"/>
      <c r="R55" s="118"/>
    </row>
    <row r="56" spans="1:18" ht="15.75" customHeight="1" x14ac:dyDescent="0.2">
      <c r="A56" s="118"/>
      <c r="B56" s="118"/>
      <c r="C56" s="118"/>
      <c r="D56" s="118"/>
      <c r="E56" s="118"/>
      <c r="F56" s="118"/>
      <c r="G56" s="118"/>
      <c r="H56" s="118"/>
      <c r="I56" s="118"/>
      <c r="J56" s="118"/>
      <c r="K56" s="118"/>
      <c r="L56" s="118"/>
      <c r="M56" s="118"/>
      <c r="N56" s="118"/>
      <c r="O56" s="118"/>
      <c r="P56" s="118"/>
      <c r="Q56" s="118"/>
      <c r="R56" s="118"/>
    </row>
    <row r="57" spans="1:18" ht="15.75" customHeight="1" x14ac:dyDescent="0.2">
      <c r="A57" s="118"/>
      <c r="B57" s="118"/>
      <c r="C57" s="118"/>
      <c r="D57" s="118"/>
      <c r="E57" s="118"/>
      <c r="F57" s="118"/>
      <c r="G57" s="118"/>
      <c r="H57" s="118"/>
      <c r="I57" s="118"/>
      <c r="J57" s="118"/>
      <c r="K57" s="118"/>
      <c r="L57" s="118"/>
      <c r="M57" s="118"/>
      <c r="N57" s="118"/>
      <c r="O57" s="118"/>
      <c r="P57" s="118"/>
      <c r="Q57" s="118"/>
      <c r="R57" s="118"/>
    </row>
    <row r="58" spans="1:18" ht="15.75" customHeight="1" x14ac:dyDescent="0.2">
      <c r="A58" s="118"/>
      <c r="B58" s="118"/>
      <c r="C58" s="118"/>
      <c r="D58" s="118"/>
      <c r="E58" s="118"/>
      <c r="F58" s="118"/>
      <c r="G58" s="118"/>
      <c r="H58" s="118"/>
      <c r="I58" s="118"/>
      <c r="J58" s="118"/>
      <c r="K58" s="118"/>
      <c r="L58" s="118"/>
      <c r="M58" s="118"/>
      <c r="N58" s="118"/>
      <c r="O58" s="118"/>
      <c r="P58" s="118"/>
      <c r="Q58" s="118"/>
      <c r="R58" s="118"/>
    </row>
    <row r="59" spans="1:18" ht="15.75" customHeight="1" x14ac:dyDescent="0.2">
      <c r="A59" s="118"/>
      <c r="B59" s="118"/>
      <c r="C59" s="118"/>
      <c r="D59" s="118"/>
      <c r="E59" s="118"/>
      <c r="F59" s="118"/>
      <c r="G59" s="118"/>
      <c r="H59" s="118"/>
      <c r="I59" s="118"/>
      <c r="J59" s="118"/>
      <c r="K59" s="118"/>
      <c r="L59" s="118"/>
      <c r="M59" s="118"/>
      <c r="N59" s="118"/>
      <c r="O59" s="118"/>
      <c r="P59" s="118"/>
      <c r="Q59" s="118"/>
      <c r="R59" s="118"/>
    </row>
    <row r="60" spans="1:18" ht="15.75" customHeight="1" x14ac:dyDescent="0.2">
      <c r="A60" s="118"/>
      <c r="B60" s="118"/>
      <c r="C60" s="118"/>
      <c r="D60" s="118"/>
      <c r="E60" s="118"/>
      <c r="F60" s="118"/>
      <c r="G60" s="118"/>
      <c r="H60" s="118"/>
      <c r="I60" s="118"/>
      <c r="J60" s="118"/>
      <c r="K60" s="118"/>
      <c r="L60" s="118"/>
      <c r="M60" s="118"/>
      <c r="N60" s="118"/>
      <c r="O60" s="118"/>
      <c r="P60" s="118"/>
      <c r="Q60" s="118"/>
      <c r="R60" s="118"/>
    </row>
    <row r="61" spans="1:18" ht="15.75" customHeight="1" x14ac:dyDescent="0.2">
      <c r="A61" s="118"/>
      <c r="B61" s="118"/>
      <c r="C61" s="118"/>
      <c r="D61" s="118"/>
      <c r="E61" s="118"/>
      <c r="F61" s="118"/>
      <c r="G61" s="118"/>
      <c r="H61" s="118"/>
      <c r="I61" s="118"/>
      <c r="J61" s="118"/>
      <c r="K61" s="118"/>
      <c r="L61" s="118"/>
      <c r="M61" s="118"/>
      <c r="N61" s="118"/>
      <c r="O61" s="118"/>
      <c r="P61" s="118"/>
      <c r="Q61" s="118"/>
      <c r="R61" s="118"/>
    </row>
    <row r="62" spans="1:18" ht="15.75" customHeight="1" x14ac:dyDescent="0.2">
      <c r="A62" s="118"/>
      <c r="B62" s="118"/>
      <c r="C62" s="118"/>
      <c r="D62" s="118"/>
      <c r="E62" s="118"/>
      <c r="F62" s="118"/>
      <c r="G62" s="118"/>
      <c r="H62" s="118"/>
      <c r="I62" s="118"/>
      <c r="J62" s="118"/>
      <c r="K62" s="118"/>
      <c r="L62" s="118"/>
      <c r="M62" s="118"/>
      <c r="N62" s="118"/>
      <c r="O62" s="118"/>
      <c r="P62" s="118"/>
      <c r="Q62" s="118"/>
      <c r="R62" s="118"/>
    </row>
    <row r="63" spans="1:18" ht="15.75" customHeight="1" x14ac:dyDescent="0.2">
      <c r="A63" s="118"/>
      <c r="B63" s="118"/>
      <c r="C63" s="118"/>
      <c r="D63" s="118"/>
      <c r="E63" s="118"/>
      <c r="F63" s="118"/>
      <c r="G63" s="118"/>
      <c r="H63" s="118"/>
      <c r="I63" s="118"/>
      <c r="J63" s="118"/>
      <c r="K63" s="118"/>
      <c r="L63" s="118"/>
      <c r="M63" s="118"/>
      <c r="N63" s="118"/>
      <c r="O63" s="118"/>
      <c r="P63" s="118"/>
      <c r="Q63" s="118"/>
      <c r="R63" s="118"/>
    </row>
    <row r="64" spans="1:18" ht="15.75" customHeight="1" x14ac:dyDescent="0.2">
      <c r="A64" s="118"/>
      <c r="B64" s="118"/>
      <c r="C64" s="118"/>
      <c r="D64" s="118"/>
      <c r="E64" s="118"/>
      <c r="F64" s="118"/>
      <c r="G64" s="118"/>
      <c r="H64" s="118"/>
      <c r="I64" s="118"/>
      <c r="J64" s="118"/>
      <c r="K64" s="118"/>
      <c r="L64" s="118"/>
      <c r="M64" s="118"/>
      <c r="N64" s="118"/>
      <c r="O64" s="118"/>
      <c r="P64" s="118"/>
      <c r="Q64" s="118"/>
      <c r="R64" s="118"/>
    </row>
    <row r="65" spans="1:18" ht="15.75" customHeight="1" x14ac:dyDescent="0.2">
      <c r="A65" s="118"/>
      <c r="B65" s="118"/>
      <c r="C65" s="118"/>
      <c r="D65" s="118"/>
      <c r="E65" s="118"/>
      <c r="F65" s="118"/>
      <c r="G65" s="118"/>
      <c r="H65" s="118"/>
      <c r="I65" s="118"/>
      <c r="J65" s="118"/>
      <c r="K65" s="118"/>
      <c r="L65" s="118"/>
      <c r="M65" s="118"/>
      <c r="N65" s="118"/>
      <c r="O65" s="118"/>
      <c r="P65" s="118"/>
      <c r="Q65" s="118"/>
      <c r="R65" s="118"/>
    </row>
    <row r="66" spans="1:18" ht="15.75" customHeight="1" x14ac:dyDescent="0.2">
      <c r="A66" s="118"/>
      <c r="B66" s="118"/>
      <c r="C66" s="118"/>
      <c r="D66" s="118"/>
      <c r="E66" s="118"/>
      <c r="F66" s="118"/>
      <c r="G66" s="118"/>
      <c r="H66" s="118"/>
      <c r="I66" s="118"/>
      <c r="J66" s="118"/>
      <c r="K66" s="118"/>
      <c r="L66" s="118"/>
      <c r="M66" s="118"/>
      <c r="N66" s="118"/>
      <c r="O66" s="118"/>
      <c r="P66" s="118"/>
      <c r="Q66" s="118"/>
      <c r="R66" s="118"/>
    </row>
    <row r="67" spans="1:18" ht="15.75" customHeight="1" x14ac:dyDescent="0.2">
      <c r="A67" s="118"/>
      <c r="B67" s="118"/>
      <c r="C67" s="118"/>
      <c r="D67" s="118"/>
      <c r="E67" s="118"/>
      <c r="F67" s="118"/>
      <c r="G67" s="118"/>
      <c r="H67" s="118"/>
      <c r="I67" s="118"/>
      <c r="J67" s="118"/>
      <c r="K67" s="118"/>
      <c r="L67" s="118"/>
      <c r="M67" s="118"/>
      <c r="N67" s="118"/>
      <c r="O67" s="118"/>
      <c r="P67" s="118"/>
      <c r="Q67" s="118"/>
      <c r="R67" s="118"/>
    </row>
    <row r="68" spans="1:18" ht="15.75" customHeight="1" x14ac:dyDescent="0.2">
      <c r="A68" s="118"/>
      <c r="B68" s="118"/>
      <c r="C68" s="118"/>
      <c r="D68" s="118"/>
      <c r="E68" s="118"/>
      <c r="F68" s="118"/>
      <c r="G68" s="118"/>
      <c r="H68" s="118"/>
      <c r="I68" s="118"/>
      <c r="J68" s="118"/>
      <c r="K68" s="118"/>
      <c r="L68" s="118"/>
      <c r="M68" s="118"/>
      <c r="N68" s="118"/>
      <c r="O68" s="118"/>
      <c r="P68" s="118"/>
      <c r="Q68" s="118"/>
      <c r="R68" s="118"/>
    </row>
    <row r="69" spans="1:18" ht="15.75" customHeight="1" x14ac:dyDescent="0.2">
      <c r="A69" s="118"/>
      <c r="B69" s="118"/>
      <c r="C69" s="118"/>
      <c r="D69" s="118"/>
      <c r="E69" s="118"/>
      <c r="F69" s="118"/>
      <c r="G69" s="118"/>
      <c r="H69" s="118"/>
      <c r="I69" s="118"/>
      <c r="J69" s="118"/>
      <c r="K69" s="118"/>
      <c r="L69" s="118"/>
      <c r="M69" s="118"/>
      <c r="N69" s="118"/>
      <c r="O69" s="118"/>
      <c r="P69" s="118"/>
      <c r="Q69" s="118"/>
      <c r="R69" s="118"/>
    </row>
    <row r="70" spans="1:18" ht="15.75" customHeight="1" x14ac:dyDescent="0.2">
      <c r="A70" s="118"/>
      <c r="B70" s="118"/>
      <c r="C70" s="118"/>
      <c r="D70" s="118"/>
      <c r="E70" s="118"/>
      <c r="F70" s="118"/>
      <c r="G70" s="118"/>
      <c r="H70" s="118"/>
      <c r="I70" s="118"/>
      <c r="J70" s="118"/>
      <c r="K70" s="118"/>
      <c r="L70" s="118"/>
      <c r="M70" s="118"/>
      <c r="N70" s="118"/>
      <c r="O70" s="118"/>
      <c r="P70" s="118"/>
      <c r="Q70" s="118"/>
      <c r="R70" s="118"/>
    </row>
    <row r="71" spans="1:18" ht="15.75" customHeight="1" x14ac:dyDescent="0.2">
      <c r="A71" s="118"/>
      <c r="B71" s="118"/>
      <c r="C71" s="118"/>
      <c r="D71" s="118"/>
      <c r="E71" s="118"/>
      <c r="F71" s="118"/>
      <c r="G71" s="118"/>
      <c r="H71" s="118"/>
      <c r="I71" s="118"/>
      <c r="J71" s="118"/>
      <c r="K71" s="118"/>
      <c r="L71" s="118"/>
      <c r="M71" s="118"/>
      <c r="N71" s="118"/>
      <c r="O71" s="118"/>
      <c r="P71" s="118"/>
      <c r="Q71" s="118"/>
      <c r="R71" s="118"/>
    </row>
    <row r="72" spans="1:18" ht="15.75" customHeight="1" x14ac:dyDescent="0.2">
      <c r="A72" s="118"/>
      <c r="B72" s="118"/>
      <c r="C72" s="118"/>
      <c r="D72" s="118"/>
      <c r="E72" s="118"/>
      <c r="F72" s="118"/>
      <c r="G72" s="118"/>
      <c r="H72" s="118"/>
      <c r="I72" s="118"/>
      <c r="J72" s="118"/>
      <c r="K72" s="118"/>
      <c r="L72" s="118"/>
      <c r="M72" s="118"/>
      <c r="N72" s="118"/>
      <c r="O72" s="118"/>
      <c r="P72" s="118"/>
      <c r="Q72" s="118"/>
      <c r="R72" s="118"/>
    </row>
    <row r="73" spans="1:18" ht="15.75" customHeight="1" x14ac:dyDescent="0.2">
      <c r="A73" s="118"/>
      <c r="B73" s="118"/>
      <c r="C73" s="118"/>
      <c r="D73" s="118"/>
      <c r="E73" s="118"/>
      <c r="F73" s="118"/>
      <c r="G73" s="118"/>
      <c r="H73" s="118"/>
      <c r="I73" s="118"/>
      <c r="J73" s="118"/>
      <c r="K73" s="118"/>
      <c r="L73" s="118"/>
      <c r="M73" s="118"/>
      <c r="N73" s="118"/>
      <c r="O73" s="118"/>
      <c r="P73" s="118"/>
      <c r="Q73" s="118"/>
      <c r="R73" s="118"/>
    </row>
    <row r="74" spans="1:18" ht="15.75" customHeight="1" x14ac:dyDescent="0.2">
      <c r="A74" s="118"/>
      <c r="B74" s="118"/>
      <c r="C74" s="118"/>
      <c r="D74" s="118"/>
      <c r="E74" s="118"/>
      <c r="F74" s="118"/>
      <c r="G74" s="118"/>
      <c r="H74" s="118"/>
      <c r="I74" s="118"/>
      <c r="J74" s="118"/>
      <c r="K74" s="118"/>
      <c r="L74" s="118"/>
      <c r="M74" s="118"/>
      <c r="N74" s="118"/>
      <c r="O74" s="118"/>
      <c r="P74" s="118"/>
      <c r="Q74" s="118"/>
      <c r="R74" s="118"/>
    </row>
    <row r="75" spans="1:18" ht="15.75" customHeight="1" x14ac:dyDescent="0.2">
      <c r="A75" s="118"/>
      <c r="B75" s="118"/>
      <c r="C75" s="118"/>
      <c r="D75" s="118"/>
      <c r="E75" s="118"/>
      <c r="F75" s="118"/>
      <c r="G75" s="118"/>
      <c r="H75" s="118"/>
      <c r="I75" s="118"/>
      <c r="J75" s="118"/>
      <c r="K75" s="118"/>
      <c r="L75" s="118"/>
      <c r="M75" s="118"/>
      <c r="N75" s="118"/>
      <c r="O75" s="118"/>
      <c r="P75" s="118"/>
      <c r="Q75" s="118"/>
      <c r="R75" s="118"/>
    </row>
    <row r="76" spans="1:18" ht="15.75" customHeight="1" x14ac:dyDescent="0.2">
      <c r="A76" s="118"/>
      <c r="B76" s="118"/>
      <c r="C76" s="118"/>
      <c r="D76" s="118"/>
      <c r="E76" s="118"/>
      <c r="F76" s="118"/>
      <c r="G76" s="118"/>
      <c r="H76" s="118"/>
      <c r="I76" s="118"/>
      <c r="J76" s="118"/>
      <c r="K76" s="118"/>
      <c r="L76" s="118"/>
      <c r="M76" s="118"/>
      <c r="N76" s="118"/>
      <c r="O76" s="118"/>
      <c r="P76" s="118"/>
      <c r="Q76" s="118"/>
      <c r="R76" s="118"/>
    </row>
    <row r="77" spans="1:18" ht="15.75" customHeight="1" x14ac:dyDescent="0.2">
      <c r="A77" s="118"/>
      <c r="B77" s="118"/>
      <c r="C77" s="118"/>
      <c r="D77" s="118"/>
      <c r="E77" s="118"/>
      <c r="F77" s="118"/>
      <c r="G77" s="118"/>
      <c r="H77" s="118"/>
      <c r="I77" s="118"/>
      <c r="J77" s="118"/>
      <c r="K77" s="118"/>
      <c r="L77" s="118"/>
      <c r="M77" s="118"/>
      <c r="N77" s="118"/>
      <c r="O77" s="118"/>
      <c r="P77" s="118"/>
      <c r="Q77" s="118"/>
      <c r="R77" s="118"/>
    </row>
    <row r="78" spans="1:18" ht="15.75" customHeight="1" x14ac:dyDescent="0.2">
      <c r="A78" s="118"/>
      <c r="B78" s="118"/>
      <c r="C78" s="118"/>
      <c r="D78" s="118"/>
      <c r="E78" s="118"/>
      <c r="F78" s="118"/>
      <c r="G78" s="118"/>
      <c r="H78" s="118"/>
      <c r="I78" s="118"/>
      <c r="J78" s="118"/>
      <c r="K78" s="118"/>
      <c r="L78" s="118"/>
      <c r="M78" s="118"/>
      <c r="N78" s="118"/>
      <c r="O78" s="118"/>
      <c r="P78" s="118"/>
      <c r="Q78" s="118"/>
      <c r="R78" s="118"/>
    </row>
    <row r="79" spans="1:18" ht="15.75" customHeight="1" x14ac:dyDescent="0.2">
      <c r="A79" s="118"/>
      <c r="B79" s="118"/>
      <c r="C79" s="118"/>
      <c r="D79" s="118"/>
      <c r="E79" s="118"/>
      <c r="F79" s="118"/>
      <c r="G79" s="118"/>
      <c r="H79" s="118"/>
      <c r="I79" s="118"/>
      <c r="J79" s="118"/>
      <c r="K79" s="118"/>
      <c r="L79" s="118"/>
      <c r="M79" s="118"/>
      <c r="N79" s="118"/>
      <c r="O79" s="118"/>
      <c r="P79" s="118"/>
      <c r="Q79" s="118"/>
      <c r="R79" s="118"/>
    </row>
    <row r="80" spans="1:18" ht="15.75" customHeight="1" x14ac:dyDescent="0.2">
      <c r="A80" s="118"/>
      <c r="B80" s="118"/>
      <c r="C80" s="118"/>
      <c r="D80" s="118"/>
      <c r="E80" s="118"/>
      <c r="F80" s="118"/>
      <c r="G80" s="118"/>
      <c r="H80" s="118"/>
      <c r="I80" s="118"/>
      <c r="J80" s="118"/>
      <c r="K80" s="118"/>
      <c r="L80" s="118"/>
      <c r="M80" s="118"/>
      <c r="N80" s="118"/>
      <c r="O80" s="118"/>
      <c r="P80" s="118"/>
      <c r="Q80" s="118"/>
      <c r="R80" s="118"/>
    </row>
    <row r="81" spans="1:18" ht="15.75" customHeight="1" x14ac:dyDescent="0.2">
      <c r="A81" s="118"/>
      <c r="B81" s="118"/>
      <c r="C81" s="118"/>
      <c r="D81" s="118"/>
      <c r="E81" s="118"/>
      <c r="F81" s="118"/>
      <c r="G81" s="118"/>
      <c r="H81" s="118"/>
      <c r="I81" s="118"/>
      <c r="J81" s="118"/>
      <c r="K81" s="118"/>
      <c r="L81" s="118"/>
      <c r="M81" s="118"/>
      <c r="N81" s="118"/>
      <c r="O81" s="118"/>
      <c r="P81" s="118"/>
      <c r="Q81" s="118"/>
      <c r="R81" s="118"/>
    </row>
    <row r="82" spans="1:18" ht="15.75" customHeight="1" x14ac:dyDescent="0.2">
      <c r="A82" s="118"/>
      <c r="B82" s="118"/>
      <c r="C82" s="118"/>
      <c r="D82" s="118"/>
      <c r="E82" s="118"/>
      <c r="F82" s="118"/>
      <c r="G82" s="118"/>
      <c r="H82" s="118"/>
      <c r="I82" s="118"/>
      <c r="J82" s="118"/>
      <c r="K82" s="118"/>
      <c r="L82" s="118"/>
      <c r="M82" s="118"/>
      <c r="N82" s="118"/>
      <c r="O82" s="118"/>
      <c r="P82" s="118"/>
      <c r="Q82" s="118"/>
      <c r="R82" s="118"/>
    </row>
    <row r="83" spans="1:18" ht="15.75" customHeight="1" x14ac:dyDescent="0.2">
      <c r="A83" s="118"/>
      <c r="B83" s="118"/>
      <c r="C83" s="118"/>
      <c r="D83" s="118"/>
      <c r="E83" s="118"/>
      <c r="F83" s="118"/>
      <c r="G83" s="118"/>
      <c r="H83" s="118"/>
      <c r="I83" s="118"/>
      <c r="J83" s="118"/>
      <c r="K83" s="118"/>
      <c r="L83" s="118"/>
      <c r="M83" s="118"/>
      <c r="N83" s="118"/>
      <c r="O83" s="118"/>
      <c r="P83" s="118"/>
      <c r="Q83" s="118"/>
      <c r="R83" s="118"/>
    </row>
    <row r="84" spans="1:18" ht="15.75" customHeight="1" x14ac:dyDescent="0.2">
      <c r="A84" s="118"/>
      <c r="B84" s="118"/>
      <c r="C84" s="118"/>
      <c r="D84" s="118"/>
      <c r="E84" s="118"/>
      <c r="F84" s="118"/>
      <c r="G84" s="118"/>
      <c r="H84" s="118"/>
      <c r="I84" s="118"/>
      <c r="J84" s="118"/>
      <c r="K84" s="118"/>
      <c r="L84" s="118"/>
      <c r="M84" s="118"/>
      <c r="N84" s="118"/>
      <c r="O84" s="118"/>
      <c r="P84" s="118"/>
      <c r="Q84" s="118"/>
      <c r="R84" s="118"/>
    </row>
    <row r="85" spans="1:18" ht="15.75" customHeight="1" x14ac:dyDescent="0.2">
      <c r="A85" s="118"/>
      <c r="B85" s="118"/>
      <c r="C85" s="118"/>
      <c r="D85" s="118"/>
      <c r="E85" s="118"/>
      <c r="F85" s="118"/>
      <c r="G85" s="118"/>
      <c r="H85" s="118"/>
      <c r="I85" s="118"/>
      <c r="J85" s="118"/>
      <c r="K85" s="118"/>
      <c r="L85" s="118"/>
      <c r="M85" s="118"/>
      <c r="N85" s="118"/>
      <c r="O85" s="118"/>
      <c r="P85" s="118"/>
      <c r="Q85" s="118"/>
      <c r="R85" s="118"/>
    </row>
    <row r="86" spans="1:18" ht="15.75" customHeight="1" x14ac:dyDescent="0.2">
      <c r="A86" s="118"/>
      <c r="B86" s="118"/>
      <c r="C86" s="118"/>
      <c r="D86" s="118"/>
      <c r="E86" s="118"/>
      <c r="F86" s="118"/>
      <c r="G86" s="118"/>
      <c r="H86" s="118"/>
      <c r="I86" s="118"/>
      <c r="J86" s="118"/>
      <c r="K86" s="118"/>
      <c r="L86" s="118"/>
      <c r="M86" s="118"/>
      <c r="N86" s="118"/>
      <c r="O86" s="118"/>
      <c r="P86" s="118"/>
      <c r="Q86" s="118"/>
      <c r="R86" s="118"/>
    </row>
    <row r="87" spans="1:18" ht="15.75" customHeight="1" x14ac:dyDescent="0.2">
      <c r="A87" s="118"/>
      <c r="B87" s="118"/>
      <c r="C87" s="118"/>
      <c r="D87" s="118"/>
      <c r="E87" s="118"/>
      <c r="F87" s="118"/>
      <c r="G87" s="118"/>
      <c r="H87" s="118"/>
      <c r="I87" s="118"/>
      <c r="J87" s="118"/>
      <c r="K87" s="118"/>
      <c r="L87" s="118"/>
      <c r="M87" s="118"/>
      <c r="N87" s="118"/>
      <c r="O87" s="118"/>
      <c r="P87" s="118"/>
      <c r="Q87" s="118"/>
      <c r="R87" s="118"/>
    </row>
    <row r="88" spans="1:18" ht="15.75" customHeight="1" x14ac:dyDescent="0.2">
      <c r="A88" s="118"/>
      <c r="B88" s="118"/>
      <c r="C88" s="118"/>
      <c r="D88" s="118"/>
      <c r="E88" s="118"/>
      <c r="F88" s="118"/>
      <c r="G88" s="118"/>
      <c r="H88" s="118"/>
      <c r="I88" s="118"/>
      <c r="J88" s="118"/>
      <c r="K88" s="118"/>
      <c r="L88" s="118"/>
      <c r="M88" s="118"/>
      <c r="N88" s="118"/>
      <c r="O88" s="118"/>
      <c r="P88" s="118"/>
      <c r="Q88" s="118"/>
      <c r="R88" s="118"/>
    </row>
    <row r="89" spans="1:18" ht="15.75" customHeight="1" x14ac:dyDescent="0.2">
      <c r="A89" s="118"/>
      <c r="B89" s="118"/>
      <c r="C89" s="118"/>
      <c r="D89" s="118"/>
      <c r="E89" s="118"/>
      <c r="F89" s="118"/>
      <c r="G89" s="118"/>
      <c r="H89" s="118"/>
      <c r="I89" s="118"/>
      <c r="J89" s="118"/>
      <c r="K89" s="118"/>
      <c r="L89" s="118"/>
      <c r="M89" s="118"/>
      <c r="N89" s="118"/>
      <c r="O89" s="118"/>
      <c r="P89" s="118"/>
      <c r="Q89" s="118"/>
      <c r="R89" s="118"/>
    </row>
    <row r="90" spans="1:18" ht="15.75" customHeight="1" x14ac:dyDescent="0.2">
      <c r="A90" s="118"/>
      <c r="B90" s="118"/>
      <c r="C90" s="118"/>
      <c r="D90" s="118"/>
      <c r="E90" s="118"/>
      <c r="F90" s="118"/>
      <c r="G90" s="118"/>
      <c r="H90" s="118"/>
      <c r="I90" s="118"/>
      <c r="J90" s="118"/>
      <c r="K90" s="118"/>
      <c r="L90" s="118"/>
      <c r="M90" s="118"/>
      <c r="N90" s="118"/>
      <c r="O90" s="118"/>
      <c r="P90" s="118"/>
      <c r="Q90" s="118"/>
      <c r="R90" s="118"/>
    </row>
    <row r="91" spans="1:18" ht="15.75" customHeight="1" x14ac:dyDescent="0.2">
      <c r="A91" s="118"/>
      <c r="B91" s="118"/>
      <c r="C91" s="118"/>
      <c r="D91" s="118"/>
      <c r="E91" s="118"/>
      <c r="F91" s="118"/>
      <c r="G91" s="118"/>
      <c r="H91" s="118"/>
      <c r="I91" s="118"/>
      <c r="J91" s="118"/>
      <c r="K91" s="118"/>
      <c r="L91" s="118"/>
      <c r="M91" s="118"/>
      <c r="N91" s="118"/>
      <c r="O91" s="118"/>
      <c r="P91" s="118"/>
      <c r="Q91" s="118"/>
      <c r="R91" s="118"/>
    </row>
    <row r="92" spans="1:18" ht="15.75" customHeight="1" x14ac:dyDescent="0.2">
      <c r="A92" s="118"/>
      <c r="B92" s="118"/>
      <c r="C92" s="118"/>
      <c r="D92" s="118"/>
      <c r="E92" s="118"/>
      <c r="F92" s="118"/>
      <c r="G92" s="118"/>
      <c r="H92" s="118"/>
      <c r="I92" s="118"/>
      <c r="J92" s="118"/>
      <c r="K92" s="118"/>
      <c r="L92" s="118"/>
      <c r="M92" s="118"/>
      <c r="N92" s="118"/>
      <c r="O92" s="118"/>
      <c r="P92" s="118"/>
      <c r="Q92" s="118"/>
      <c r="R92" s="118"/>
    </row>
    <row r="93" spans="1:18" ht="15.75" customHeight="1" x14ac:dyDescent="0.2">
      <c r="A93" s="118"/>
      <c r="B93" s="118"/>
      <c r="C93" s="118"/>
      <c r="D93" s="118"/>
      <c r="E93" s="118"/>
      <c r="F93" s="118"/>
      <c r="G93" s="118"/>
      <c r="H93" s="118"/>
      <c r="I93" s="118"/>
      <c r="J93" s="118"/>
      <c r="K93" s="118"/>
      <c r="L93" s="118"/>
      <c r="M93" s="118"/>
      <c r="N93" s="118"/>
      <c r="O93" s="118"/>
      <c r="P93" s="118"/>
      <c r="Q93" s="118"/>
      <c r="R93" s="118"/>
    </row>
    <row r="94" spans="1:18" ht="15.75" customHeight="1" x14ac:dyDescent="0.2">
      <c r="A94" s="118"/>
      <c r="B94" s="118"/>
      <c r="C94" s="118"/>
      <c r="D94" s="118"/>
      <c r="E94" s="118"/>
      <c r="F94" s="118"/>
      <c r="G94" s="118"/>
      <c r="H94" s="118"/>
      <c r="I94" s="118"/>
      <c r="J94" s="118"/>
      <c r="K94" s="118"/>
      <c r="L94" s="118"/>
      <c r="M94" s="118"/>
      <c r="N94" s="118"/>
      <c r="O94" s="118"/>
      <c r="P94" s="118"/>
      <c r="Q94" s="118"/>
      <c r="R94" s="118"/>
    </row>
    <row r="95" spans="1:18" ht="15.75" customHeight="1" x14ac:dyDescent="0.2">
      <c r="A95" s="118"/>
      <c r="B95" s="118"/>
      <c r="C95" s="118"/>
      <c r="D95" s="118"/>
      <c r="E95" s="118"/>
      <c r="F95" s="118"/>
      <c r="G95" s="118"/>
      <c r="H95" s="118"/>
      <c r="I95" s="118"/>
      <c r="J95" s="118"/>
      <c r="K95" s="118"/>
      <c r="L95" s="118"/>
      <c r="M95" s="118"/>
      <c r="N95" s="118"/>
      <c r="O95" s="118"/>
      <c r="P95" s="118"/>
      <c r="Q95" s="118"/>
      <c r="R95" s="118"/>
    </row>
    <row r="96" spans="1:18" ht="15.75" customHeight="1" x14ac:dyDescent="0.2">
      <c r="A96" s="118"/>
      <c r="B96" s="118"/>
      <c r="C96" s="118"/>
      <c r="D96" s="118"/>
      <c r="E96" s="118"/>
      <c r="F96" s="118"/>
      <c r="G96" s="118"/>
      <c r="H96" s="118"/>
      <c r="I96" s="118"/>
      <c r="J96" s="118"/>
      <c r="K96" s="118"/>
      <c r="L96" s="118"/>
      <c r="M96" s="118"/>
      <c r="N96" s="118"/>
      <c r="O96" s="118"/>
      <c r="P96" s="118"/>
      <c r="Q96" s="118"/>
      <c r="R96" s="118"/>
    </row>
    <row r="97" spans="1:18" ht="15.75" customHeight="1" x14ac:dyDescent="0.2">
      <c r="A97" s="118"/>
      <c r="B97" s="118"/>
      <c r="C97" s="118"/>
      <c r="D97" s="118"/>
      <c r="E97" s="118"/>
      <c r="F97" s="118"/>
      <c r="G97" s="118"/>
      <c r="H97" s="118"/>
      <c r="I97" s="118"/>
      <c r="J97" s="118"/>
      <c r="K97" s="118"/>
      <c r="L97" s="118"/>
      <c r="M97" s="118"/>
      <c r="N97" s="118"/>
      <c r="O97" s="118"/>
      <c r="P97" s="118"/>
      <c r="Q97" s="118"/>
      <c r="R97" s="118"/>
    </row>
    <row r="98" spans="1:18" ht="15.75" customHeight="1" x14ac:dyDescent="0.2">
      <c r="A98" s="118"/>
      <c r="B98" s="118"/>
      <c r="C98" s="118"/>
      <c r="D98" s="118"/>
      <c r="E98" s="118"/>
      <c r="F98" s="118"/>
      <c r="G98" s="118"/>
      <c r="H98" s="118"/>
      <c r="I98" s="118"/>
      <c r="J98" s="118"/>
      <c r="K98" s="118"/>
      <c r="L98" s="118"/>
      <c r="M98" s="118"/>
      <c r="N98" s="118"/>
      <c r="O98" s="118"/>
      <c r="P98" s="118"/>
      <c r="Q98" s="118"/>
      <c r="R98" s="118"/>
    </row>
    <row r="99" spans="1:18" ht="15.75" customHeight="1" x14ac:dyDescent="0.2">
      <c r="A99" s="118"/>
      <c r="B99" s="118"/>
      <c r="C99" s="118"/>
      <c r="D99" s="118"/>
      <c r="E99" s="118"/>
      <c r="F99" s="118"/>
      <c r="G99" s="118"/>
      <c r="H99" s="118"/>
      <c r="I99" s="118"/>
      <c r="J99" s="118"/>
      <c r="K99" s="118"/>
      <c r="L99" s="118"/>
      <c r="M99" s="118"/>
      <c r="N99" s="118"/>
      <c r="O99" s="118"/>
      <c r="P99" s="118"/>
      <c r="Q99" s="118"/>
      <c r="R99" s="118"/>
    </row>
    <row r="100" spans="1:18" ht="15.75" customHeight="1" x14ac:dyDescent="0.2">
      <c r="A100" s="118"/>
      <c r="B100" s="118"/>
      <c r="C100" s="118"/>
      <c r="D100" s="118"/>
      <c r="E100" s="118"/>
      <c r="F100" s="118"/>
      <c r="G100" s="118"/>
      <c r="H100" s="118"/>
      <c r="I100" s="118"/>
      <c r="J100" s="118"/>
      <c r="K100" s="118"/>
      <c r="L100" s="118"/>
      <c r="M100" s="118"/>
      <c r="N100" s="118"/>
      <c r="O100" s="118"/>
      <c r="P100" s="118"/>
      <c r="Q100" s="118"/>
      <c r="R100" s="118"/>
    </row>
  </sheetData>
  <mergeCells count="1">
    <mergeCell ref="A19:D19"/>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39966"/>
  </sheetPr>
  <dimension ref="A1:Z100"/>
  <sheetViews>
    <sheetView showGridLines="0" tabSelected="1" topLeftCell="A6" workbookViewId="0">
      <selection activeCell="E74" sqref="E74"/>
    </sheetView>
  </sheetViews>
  <sheetFormatPr defaultColWidth="14.390625" defaultRowHeight="15" customHeight="1" x14ac:dyDescent="0.2"/>
  <cols>
    <col min="1" max="1" width="27.84375" customWidth="1"/>
    <col min="2" max="2" width="24.75" customWidth="1"/>
    <col min="3" max="3" width="21.1171875" customWidth="1"/>
    <col min="4" max="4" width="11.8359375" customWidth="1"/>
    <col min="5" max="5" width="11.97265625" customWidth="1"/>
    <col min="6" max="6" width="9.14453125" customWidth="1"/>
    <col min="7" max="7" width="15.6015625" customWidth="1"/>
    <col min="8" max="8" width="21.5234375" customWidth="1"/>
    <col min="9" max="9" width="9.14453125" customWidth="1"/>
    <col min="10" max="10" width="43.31640625" customWidth="1"/>
    <col min="11" max="26" width="9.14453125" customWidth="1"/>
  </cols>
  <sheetData>
    <row r="1" spans="1:26" ht="23.25" x14ac:dyDescent="0.3">
      <c r="A1" s="208" t="s">
        <v>130</v>
      </c>
      <c r="B1" s="208"/>
      <c r="C1" s="208"/>
      <c r="D1" s="208"/>
      <c r="E1" s="208"/>
      <c r="F1" s="208"/>
      <c r="G1" s="208"/>
      <c r="H1" s="208"/>
      <c r="I1" s="208"/>
      <c r="J1" s="208"/>
      <c r="K1" s="118"/>
      <c r="L1" s="118"/>
      <c r="M1" s="118"/>
      <c r="N1" s="118"/>
      <c r="O1" s="118"/>
      <c r="P1" s="118"/>
      <c r="Q1" s="118"/>
      <c r="R1" s="118"/>
      <c r="S1" s="118"/>
      <c r="T1" s="118"/>
      <c r="U1" s="118"/>
      <c r="V1" s="118"/>
      <c r="W1" s="118"/>
      <c r="X1" s="118"/>
      <c r="Y1" s="118"/>
      <c r="Z1" s="118"/>
    </row>
    <row r="2" spans="1:26" x14ac:dyDescent="0.2">
      <c r="A2" s="118"/>
      <c r="B2" s="118"/>
      <c r="C2" s="118"/>
      <c r="D2" s="118"/>
      <c r="E2" s="118"/>
      <c r="F2" s="118"/>
      <c r="G2" s="118"/>
      <c r="H2" s="118"/>
      <c r="I2" s="118"/>
      <c r="J2" s="118"/>
      <c r="K2" s="118"/>
      <c r="L2" s="118"/>
      <c r="M2" s="118"/>
      <c r="N2" s="118"/>
      <c r="O2" s="118"/>
      <c r="P2" s="118"/>
      <c r="Q2" s="118"/>
      <c r="R2" s="118"/>
      <c r="S2" s="118"/>
      <c r="T2" s="118"/>
      <c r="U2" s="118"/>
      <c r="V2" s="118"/>
      <c r="W2" s="118"/>
      <c r="X2" s="118"/>
      <c r="Y2" s="118"/>
      <c r="Z2" s="118"/>
    </row>
    <row r="3" spans="1:26" x14ac:dyDescent="0.2">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row>
    <row r="4" spans="1:26" ht="17.25" x14ac:dyDescent="0.2">
      <c r="A4" s="209" t="s">
        <v>131</v>
      </c>
      <c r="B4" s="209">
        <v>2023</v>
      </c>
      <c r="C4" s="209">
        <v>2022</v>
      </c>
      <c r="D4" s="209">
        <v>2021</v>
      </c>
      <c r="E4" s="209" t="s">
        <v>132</v>
      </c>
      <c r="F4" s="118"/>
      <c r="G4" s="118"/>
      <c r="H4" s="118"/>
      <c r="I4" s="118"/>
      <c r="J4" s="118"/>
      <c r="K4" s="118"/>
      <c r="L4" s="118"/>
      <c r="M4" s="118"/>
      <c r="N4" s="118"/>
      <c r="O4" s="118"/>
      <c r="P4" s="118"/>
      <c r="Q4" s="118"/>
      <c r="R4" s="118"/>
      <c r="S4" s="118"/>
      <c r="T4" s="118"/>
      <c r="U4" s="118"/>
      <c r="V4" s="118"/>
      <c r="W4" s="118"/>
      <c r="X4" s="118"/>
      <c r="Y4" s="118"/>
      <c r="Z4" s="118"/>
    </row>
    <row r="5" spans="1:26" ht="19.5" x14ac:dyDescent="0.2">
      <c r="A5" s="210" t="s">
        <v>133</v>
      </c>
      <c r="B5" s="211">
        <f>'Day 3.1 Analis Laporan Keuangan'!B10/'Day 3.1 Analis Laporan Keuangan'!B12</f>
        <v>1.6666666666666667</v>
      </c>
      <c r="C5" s="211">
        <f>'Day 3.1 Analis Laporan Keuangan'!C10/'Day 3.1 Analis Laporan Keuangan'!C12</f>
        <v>1.6551724137931034</v>
      </c>
      <c r="D5" s="211">
        <f>'Day 3.1 Analis Laporan Keuangan'!D10/'Day 3.1 Analis Laporan Keuangan'!D12</f>
        <v>1.6666666666666667</v>
      </c>
      <c r="E5" s="212" t="str">
        <f t="shared" ref="E5:E7" si="0">IF(B5&gt;=C5,"Naik",IF(B5=C5,"Tidak Ada Kenaikan","Turun"))</f>
        <v>Naik</v>
      </c>
      <c r="F5" s="118"/>
      <c r="G5" s="118"/>
      <c r="H5" s="118"/>
      <c r="I5" s="118"/>
      <c r="J5" s="118"/>
      <c r="K5" s="118"/>
      <c r="L5" s="118"/>
      <c r="M5" s="118"/>
      <c r="N5" s="118"/>
      <c r="O5" s="118"/>
      <c r="P5" s="118"/>
      <c r="Q5" s="118"/>
      <c r="R5" s="118"/>
      <c r="S5" s="118"/>
      <c r="T5" s="118"/>
      <c r="U5" s="118"/>
      <c r="V5" s="118"/>
      <c r="W5" s="118"/>
      <c r="X5" s="118"/>
      <c r="Y5" s="118"/>
      <c r="Z5" s="118"/>
    </row>
    <row r="6" spans="1:26" ht="51" x14ac:dyDescent="0.2">
      <c r="A6" s="210" t="s">
        <v>134</v>
      </c>
      <c r="B6" s="213">
        <f>'Day 3.1 Analis Laporan Keuangan'!B12/'Day 3.1 Analis Laporan Keuangan'!B10</f>
        <v>0.6</v>
      </c>
      <c r="C6" s="213">
        <f>'Day 3.1 Analis Laporan Keuangan'!C12/'Day 3.1 Analis Laporan Keuangan'!C10</f>
        <v>0.60416666666666663</v>
      </c>
      <c r="D6" s="213">
        <f>'Day 3.1 Analis Laporan Keuangan'!D12/'Day 3.1 Analis Laporan Keuangan'!D10</f>
        <v>0.6</v>
      </c>
      <c r="E6" s="212" t="str">
        <f t="shared" si="0"/>
        <v>Turun</v>
      </c>
      <c r="F6" s="118"/>
      <c r="G6" s="118"/>
      <c r="H6" s="118"/>
      <c r="I6" s="118"/>
      <c r="J6" s="118"/>
      <c r="K6" s="118"/>
      <c r="L6" s="118"/>
      <c r="M6" s="118"/>
      <c r="N6" s="118"/>
      <c r="O6" s="118"/>
      <c r="P6" s="118"/>
      <c r="Q6" s="118"/>
      <c r="R6" s="118"/>
      <c r="S6" s="118"/>
      <c r="T6" s="118"/>
      <c r="U6" s="118"/>
      <c r="V6" s="118"/>
      <c r="W6" s="118"/>
      <c r="X6" s="118"/>
      <c r="Y6" s="118"/>
      <c r="Z6" s="118"/>
    </row>
    <row r="7" spans="1:26" ht="35.25" x14ac:dyDescent="0.2">
      <c r="A7" s="210" t="s">
        <v>135</v>
      </c>
      <c r="B7" s="214">
        <f>'Day 3.1 Analis Laporan Keuangan'!B7/'Day 3.1 Analis Laporan Keuangan'!B9</f>
        <v>0.16666666666666666</v>
      </c>
      <c r="C7" s="214">
        <f>'Day 3.1 Analis Laporan Keuangan'!C7/'Day 3.1 Analis Laporan Keuangan'!C9</f>
        <v>0.15</v>
      </c>
      <c r="D7" s="214">
        <f>'Day 3.1 Analis Laporan Keuangan'!D7/'Day 3.1 Analis Laporan Keuangan'!D9</f>
        <v>0.15</v>
      </c>
      <c r="E7" s="212" t="str">
        <f t="shared" si="0"/>
        <v>Naik</v>
      </c>
      <c r="F7" s="118"/>
      <c r="G7" s="118"/>
      <c r="H7" s="118"/>
      <c r="I7" s="118"/>
      <c r="J7" s="118"/>
      <c r="K7" s="118"/>
      <c r="L7" s="118"/>
      <c r="M7" s="118"/>
      <c r="N7" s="118"/>
      <c r="O7" s="118"/>
      <c r="P7" s="118"/>
      <c r="Q7" s="118"/>
      <c r="R7" s="118"/>
      <c r="S7" s="118"/>
      <c r="T7" s="118"/>
      <c r="U7" s="118"/>
      <c r="V7" s="118"/>
      <c r="W7" s="118"/>
      <c r="X7" s="118"/>
      <c r="Y7" s="118"/>
      <c r="Z7" s="118"/>
    </row>
    <row r="8" spans="1:26" ht="15.75" customHeight="1" x14ac:dyDescent="0.2">
      <c r="A8" s="215"/>
      <c r="B8" s="216"/>
      <c r="C8" s="216"/>
      <c r="D8" s="216"/>
      <c r="E8" s="217"/>
      <c r="F8" s="118"/>
      <c r="G8" s="118"/>
      <c r="H8" s="118"/>
      <c r="I8" s="118"/>
      <c r="J8" s="118"/>
      <c r="K8" s="118"/>
      <c r="L8" s="118"/>
      <c r="M8" s="118"/>
      <c r="N8" s="118"/>
      <c r="O8" s="118"/>
      <c r="P8" s="118"/>
      <c r="Q8" s="118"/>
      <c r="R8" s="118"/>
      <c r="S8" s="118"/>
      <c r="T8" s="118"/>
      <c r="U8" s="118"/>
      <c r="V8" s="118"/>
      <c r="W8" s="118"/>
      <c r="X8" s="118"/>
      <c r="Y8" s="118"/>
      <c r="Z8" s="118"/>
    </row>
    <row r="9" spans="1:26" x14ac:dyDescent="0.2">
      <c r="A9" s="118"/>
      <c r="B9" s="118"/>
      <c r="C9" s="118"/>
      <c r="D9" s="118"/>
      <c r="E9" s="118"/>
      <c r="F9" s="118"/>
      <c r="G9" s="118"/>
      <c r="H9" s="118"/>
      <c r="I9" s="118"/>
      <c r="J9" s="118"/>
      <c r="K9" s="118"/>
      <c r="L9" s="118"/>
      <c r="M9" s="118"/>
      <c r="N9" s="118"/>
      <c r="O9" s="118"/>
      <c r="P9" s="118"/>
      <c r="Q9" s="118"/>
      <c r="R9" s="118"/>
      <c r="S9" s="118"/>
      <c r="T9" s="118"/>
      <c r="U9" s="118"/>
      <c r="V9" s="118"/>
      <c r="W9" s="118"/>
      <c r="X9" s="118"/>
      <c r="Y9" s="118"/>
      <c r="Z9" s="118"/>
    </row>
    <row r="10" spans="1:26" x14ac:dyDescent="0.2">
      <c r="A10" s="218" t="s">
        <v>136</v>
      </c>
      <c r="B10" s="219"/>
      <c r="C10" s="219"/>
      <c r="D10" s="219"/>
      <c r="E10" s="219"/>
      <c r="F10" s="219"/>
      <c r="G10" s="219"/>
      <c r="H10" s="220"/>
      <c r="I10" s="118"/>
      <c r="J10" s="118"/>
      <c r="K10" s="118"/>
      <c r="L10" s="118"/>
      <c r="M10" s="118"/>
      <c r="N10" s="118"/>
      <c r="O10" s="118"/>
      <c r="P10" s="118"/>
      <c r="Q10" s="118"/>
      <c r="R10" s="118"/>
      <c r="S10" s="118"/>
      <c r="T10" s="118"/>
      <c r="U10" s="118"/>
      <c r="V10" s="118"/>
      <c r="W10" s="118"/>
      <c r="X10" s="118"/>
      <c r="Y10" s="118"/>
      <c r="Z10" s="118"/>
    </row>
    <row r="11" spans="1:26" x14ac:dyDescent="0.2">
      <c r="A11" s="221"/>
      <c r="B11" s="222"/>
      <c r="C11" s="222"/>
      <c r="D11" s="222"/>
      <c r="E11" s="222"/>
      <c r="F11" s="222"/>
      <c r="G11" s="222"/>
      <c r="H11" s="223"/>
      <c r="I11" s="118"/>
      <c r="J11" s="118"/>
      <c r="K11" s="118"/>
      <c r="L11" s="118"/>
      <c r="M11" s="118"/>
      <c r="N11" s="118"/>
      <c r="O11" s="118"/>
      <c r="P11" s="118"/>
      <c r="Q11" s="118"/>
      <c r="R11" s="118"/>
      <c r="S11" s="118"/>
      <c r="T11" s="118"/>
      <c r="U11" s="118"/>
      <c r="V11" s="118"/>
      <c r="W11" s="118"/>
      <c r="X11" s="118"/>
      <c r="Y11" s="118"/>
      <c r="Z11" s="118"/>
    </row>
    <row r="12" spans="1:26" x14ac:dyDescent="0.2">
      <c r="A12" s="224" t="s">
        <v>137</v>
      </c>
      <c r="B12" s="225"/>
      <c r="C12" s="225"/>
      <c r="D12" s="225"/>
      <c r="E12" s="225"/>
      <c r="F12" s="225"/>
      <c r="G12" s="225"/>
      <c r="H12" s="226"/>
      <c r="I12" s="203"/>
      <c r="J12" s="118"/>
      <c r="K12" s="118"/>
      <c r="L12" s="118"/>
      <c r="M12" s="118"/>
      <c r="N12" s="118"/>
      <c r="O12" s="118"/>
      <c r="P12" s="118"/>
      <c r="Q12" s="118"/>
      <c r="R12" s="118"/>
      <c r="S12" s="118"/>
      <c r="T12" s="118"/>
      <c r="U12" s="118"/>
      <c r="V12" s="118"/>
      <c r="W12" s="118"/>
      <c r="X12" s="118"/>
      <c r="Y12" s="118"/>
      <c r="Z12" s="118"/>
    </row>
    <row r="13" spans="1:26" x14ac:dyDescent="0.2">
      <c r="A13" s="224" t="s">
        <v>138</v>
      </c>
      <c r="B13" s="225"/>
      <c r="C13" s="225"/>
      <c r="D13" s="225"/>
      <c r="E13" s="225"/>
      <c r="F13" s="225"/>
      <c r="G13" s="225"/>
      <c r="H13" s="226"/>
      <c r="I13" s="203"/>
      <c r="J13" s="118"/>
      <c r="K13" s="118"/>
      <c r="L13" s="118"/>
      <c r="M13" s="118"/>
      <c r="N13" s="118"/>
      <c r="O13" s="118"/>
      <c r="P13" s="118"/>
      <c r="Q13" s="118"/>
      <c r="R13" s="118"/>
      <c r="S13" s="118"/>
      <c r="T13" s="118"/>
      <c r="U13" s="118"/>
      <c r="V13" s="118"/>
      <c r="W13" s="118"/>
      <c r="X13" s="118"/>
      <c r="Y13" s="118"/>
      <c r="Z13" s="118"/>
    </row>
    <row r="14" spans="1:26" x14ac:dyDescent="0.2">
      <c r="A14" s="224" t="s">
        <v>139</v>
      </c>
      <c r="B14" s="225"/>
      <c r="C14" s="225"/>
      <c r="D14" s="225"/>
      <c r="E14" s="225"/>
      <c r="F14" s="225"/>
      <c r="G14" s="225"/>
      <c r="H14" s="226"/>
      <c r="I14" s="203"/>
      <c r="J14" s="118"/>
      <c r="K14" s="118"/>
      <c r="L14" s="118"/>
      <c r="M14" s="118"/>
      <c r="N14" s="118"/>
      <c r="O14" s="118"/>
      <c r="P14" s="118"/>
      <c r="Q14" s="118"/>
      <c r="R14" s="118"/>
      <c r="S14" s="118"/>
      <c r="T14" s="118"/>
      <c r="U14" s="118"/>
      <c r="V14" s="118"/>
      <c r="W14" s="118"/>
      <c r="X14" s="118"/>
      <c r="Y14" s="118"/>
      <c r="Z14" s="118"/>
    </row>
    <row r="15" spans="1:26" x14ac:dyDescent="0.2">
      <c r="A15" s="224"/>
      <c r="B15" s="225"/>
      <c r="C15" s="225"/>
      <c r="D15" s="225"/>
      <c r="E15" s="225"/>
      <c r="F15" s="225"/>
      <c r="G15" s="225"/>
      <c r="H15" s="226"/>
      <c r="I15" s="203"/>
      <c r="J15" s="118"/>
      <c r="K15" s="118"/>
      <c r="L15" s="118"/>
      <c r="M15" s="118"/>
      <c r="N15" s="118"/>
      <c r="O15" s="118"/>
      <c r="P15" s="118"/>
      <c r="Q15" s="118"/>
      <c r="R15" s="118"/>
      <c r="S15" s="118"/>
      <c r="T15" s="118"/>
      <c r="U15" s="118"/>
      <c r="V15" s="118"/>
      <c r="W15" s="118"/>
      <c r="X15" s="118"/>
      <c r="Y15" s="118"/>
      <c r="Z15" s="118"/>
    </row>
    <row r="16" spans="1:26" x14ac:dyDescent="0.2">
      <c r="A16" s="227" t="s">
        <v>140</v>
      </c>
      <c r="B16" s="225"/>
      <c r="C16" s="225"/>
      <c r="D16" s="225"/>
      <c r="E16" s="225"/>
      <c r="F16" s="225"/>
      <c r="G16" s="225"/>
      <c r="H16" s="226"/>
      <c r="I16" s="203"/>
      <c r="J16" s="118"/>
      <c r="K16" s="118"/>
      <c r="L16" s="118"/>
      <c r="M16" s="118"/>
      <c r="N16" s="118"/>
      <c r="O16" s="118"/>
      <c r="P16" s="118"/>
      <c r="Q16" s="118"/>
      <c r="R16" s="118"/>
      <c r="S16" s="118"/>
      <c r="T16" s="118"/>
      <c r="U16" s="118"/>
      <c r="V16" s="118"/>
      <c r="W16" s="118"/>
      <c r="X16" s="118"/>
      <c r="Y16" s="118"/>
      <c r="Z16" s="118"/>
    </row>
    <row r="17" spans="1:26" x14ac:dyDescent="0.2">
      <c r="A17" s="227" t="s">
        <v>141</v>
      </c>
      <c r="B17" s="225"/>
      <c r="C17" s="225"/>
      <c r="D17" s="225"/>
      <c r="E17" s="225"/>
      <c r="F17" s="225"/>
      <c r="G17" s="225"/>
      <c r="H17" s="226"/>
      <c r="I17" s="203"/>
      <c r="J17" s="118"/>
      <c r="K17" s="118"/>
      <c r="L17" s="118"/>
      <c r="M17" s="118"/>
      <c r="N17" s="118"/>
      <c r="O17" s="118"/>
      <c r="P17" s="118"/>
      <c r="Q17" s="118"/>
      <c r="R17" s="118"/>
      <c r="S17" s="118"/>
      <c r="T17" s="118"/>
      <c r="U17" s="118"/>
      <c r="V17" s="118"/>
      <c r="W17" s="118"/>
      <c r="X17" s="118"/>
      <c r="Y17" s="118"/>
      <c r="Z17" s="118"/>
    </row>
    <row r="18" spans="1:26" x14ac:dyDescent="0.2">
      <c r="A18" s="224"/>
      <c r="B18" s="225"/>
      <c r="C18" s="225"/>
      <c r="D18" s="225"/>
      <c r="E18" s="225"/>
      <c r="F18" s="225"/>
      <c r="G18" s="225"/>
      <c r="H18" s="226"/>
      <c r="I18" s="203"/>
      <c r="J18" s="118"/>
      <c r="K18" s="118"/>
      <c r="L18" s="118"/>
      <c r="M18" s="118"/>
      <c r="N18" s="118"/>
      <c r="O18" s="118"/>
      <c r="P18" s="118"/>
      <c r="Q18" s="118"/>
      <c r="R18" s="118"/>
      <c r="S18" s="118"/>
      <c r="T18" s="118"/>
      <c r="U18" s="118"/>
      <c r="V18" s="118"/>
      <c r="W18" s="118"/>
      <c r="X18" s="118"/>
      <c r="Y18" s="118"/>
      <c r="Z18" s="118"/>
    </row>
    <row r="19" spans="1:26" x14ac:dyDescent="0.2">
      <c r="A19" s="224" t="s">
        <v>142</v>
      </c>
      <c r="B19" s="225"/>
      <c r="C19" s="225"/>
      <c r="D19" s="225"/>
      <c r="E19" s="225"/>
      <c r="F19" s="225"/>
      <c r="G19" s="225"/>
      <c r="H19" s="226"/>
      <c r="I19" s="203"/>
      <c r="J19" s="118"/>
      <c r="K19" s="118"/>
      <c r="L19" s="118"/>
      <c r="M19" s="118"/>
      <c r="N19" s="118"/>
      <c r="O19" s="118"/>
      <c r="P19" s="118"/>
      <c r="Q19" s="118"/>
      <c r="R19" s="118"/>
      <c r="S19" s="118"/>
      <c r="T19" s="118"/>
      <c r="U19" s="118"/>
      <c r="V19" s="118"/>
      <c r="W19" s="118"/>
      <c r="X19" s="118"/>
      <c r="Y19" s="118"/>
      <c r="Z19" s="118"/>
    </row>
    <row r="20" spans="1:26" x14ac:dyDescent="0.2">
      <c r="A20" s="224" t="s">
        <v>143</v>
      </c>
      <c r="B20" s="225"/>
      <c r="C20" s="225"/>
      <c r="D20" s="225"/>
      <c r="E20" s="225"/>
      <c r="F20" s="225"/>
      <c r="G20" s="225"/>
      <c r="H20" s="226"/>
      <c r="I20" s="203"/>
      <c r="J20" s="118"/>
      <c r="K20" s="118"/>
      <c r="L20" s="118"/>
      <c r="M20" s="118"/>
      <c r="N20" s="118"/>
      <c r="O20" s="118"/>
      <c r="P20" s="118"/>
      <c r="Q20" s="118"/>
      <c r="R20" s="118"/>
      <c r="S20" s="118"/>
      <c r="T20" s="118"/>
      <c r="U20" s="118"/>
      <c r="V20" s="118"/>
      <c r="W20" s="118"/>
      <c r="X20" s="118"/>
      <c r="Y20" s="118"/>
      <c r="Z20" s="118"/>
    </row>
    <row r="21" spans="1:26" ht="15.75" customHeight="1" x14ac:dyDescent="0.2">
      <c r="A21" s="224"/>
      <c r="B21" s="225"/>
      <c r="C21" s="225"/>
      <c r="D21" s="225"/>
      <c r="E21" s="225"/>
      <c r="F21" s="225"/>
      <c r="G21" s="225"/>
      <c r="H21" s="226"/>
      <c r="I21" s="118"/>
      <c r="J21" s="118"/>
      <c r="K21" s="118"/>
      <c r="L21" s="118"/>
      <c r="M21" s="118"/>
      <c r="N21" s="118"/>
      <c r="O21" s="118"/>
      <c r="P21" s="118"/>
      <c r="Q21" s="118"/>
      <c r="R21" s="118"/>
      <c r="S21" s="118"/>
      <c r="T21" s="118"/>
      <c r="U21" s="118"/>
      <c r="V21" s="118"/>
      <c r="W21" s="118"/>
      <c r="X21" s="118"/>
      <c r="Y21" s="118"/>
      <c r="Z21" s="118"/>
    </row>
    <row r="22" spans="1:26" ht="15.75" customHeight="1" x14ac:dyDescent="0.2">
      <c r="A22" s="228"/>
      <c r="B22" s="228"/>
      <c r="C22" s="228"/>
      <c r="D22" s="228"/>
      <c r="E22" s="228"/>
      <c r="F22" s="228"/>
      <c r="G22" s="228"/>
      <c r="H22" s="229"/>
      <c r="I22" s="118"/>
      <c r="J22" s="118"/>
      <c r="K22" s="118"/>
      <c r="L22" s="118"/>
      <c r="M22" s="118"/>
      <c r="N22" s="118"/>
      <c r="O22" s="118"/>
      <c r="P22" s="118"/>
      <c r="Q22" s="118"/>
      <c r="R22" s="118"/>
      <c r="S22" s="118"/>
      <c r="T22" s="118"/>
      <c r="U22" s="118"/>
      <c r="V22" s="118"/>
      <c r="W22" s="118"/>
      <c r="X22" s="118"/>
      <c r="Y22" s="118"/>
      <c r="Z22" s="118"/>
    </row>
    <row r="23" spans="1:26" ht="15.75" customHeight="1" x14ac:dyDescent="0.2">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row>
    <row r="24" spans="1:26" ht="15.75" customHeight="1" x14ac:dyDescent="0.2">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row>
    <row r="25" spans="1:26" ht="31.5" customHeight="1" x14ac:dyDescent="0.2">
      <c r="A25" s="461" t="s">
        <v>144</v>
      </c>
      <c r="B25" s="461">
        <v>2023</v>
      </c>
      <c r="C25" s="461">
        <v>2022</v>
      </c>
      <c r="D25" s="461" t="s">
        <v>145</v>
      </c>
      <c r="E25" s="461" t="s">
        <v>146</v>
      </c>
      <c r="F25" s="118"/>
      <c r="G25" s="118"/>
      <c r="H25" s="118"/>
      <c r="I25" s="118"/>
      <c r="J25" s="118"/>
      <c r="K25" s="118"/>
      <c r="L25" s="118"/>
      <c r="M25" s="118"/>
      <c r="N25" s="118"/>
      <c r="O25" s="118"/>
      <c r="P25" s="118"/>
      <c r="Q25" s="118"/>
      <c r="R25" s="118"/>
      <c r="S25" s="118"/>
      <c r="T25" s="118"/>
      <c r="U25" s="118"/>
      <c r="V25" s="118"/>
      <c r="W25" s="118"/>
      <c r="X25" s="118"/>
      <c r="Y25" s="118"/>
      <c r="Z25" s="118"/>
    </row>
    <row r="26" spans="1:26" ht="31.5" customHeight="1" x14ac:dyDescent="0.2">
      <c r="A26" s="439"/>
      <c r="B26" s="439"/>
      <c r="C26" s="439"/>
      <c r="D26" s="439"/>
      <c r="E26" s="439"/>
      <c r="F26" s="118"/>
      <c r="G26" s="118"/>
      <c r="H26" s="118"/>
      <c r="I26" s="118"/>
      <c r="J26" s="118"/>
      <c r="K26" s="118"/>
      <c r="L26" s="118"/>
      <c r="M26" s="118"/>
      <c r="N26" s="118"/>
      <c r="O26" s="118"/>
      <c r="P26" s="118"/>
      <c r="Q26" s="118"/>
      <c r="R26" s="118"/>
      <c r="S26" s="118"/>
      <c r="T26" s="118"/>
      <c r="U26" s="118"/>
      <c r="V26" s="118"/>
      <c r="W26" s="118"/>
      <c r="X26" s="118"/>
      <c r="Y26" s="118"/>
      <c r="Z26" s="118"/>
    </row>
    <row r="27" spans="1:26" ht="15.75" customHeight="1" x14ac:dyDescent="0.2">
      <c r="A27" s="20" t="s">
        <v>147</v>
      </c>
      <c r="B27" s="230">
        <f>'Day 3.1 Analis Laporan Keuangan'!B9</f>
        <v>30000000000</v>
      </c>
      <c r="C27" s="230">
        <f>'Day 3.1 Analis Laporan Keuangan'!C9</f>
        <v>32000000000</v>
      </c>
      <c r="D27" s="231">
        <f t="shared" ref="D27:D29" si="1">IF(OR((B27-C27)/C27&gt;0,(B27-C27)/C27&lt;0),(B27-C27)/C27,"Tidak ada varaian")</f>
        <v>-6.25E-2</v>
      </c>
      <c r="E27" s="232" t="str">
        <f t="shared" ref="E27:E29" si="2">IF(B27&gt;C27,"Naik",IF(B27&lt;C27,"Turun","Tidak Ada Kenaikan"))</f>
        <v>Turun</v>
      </c>
      <c r="F27" s="118"/>
      <c r="G27" s="118"/>
      <c r="H27" s="233">
        <f>(B27-C27)/C27</f>
        <v>-6.25E-2</v>
      </c>
      <c r="I27" s="118"/>
      <c r="J27" s="118"/>
      <c r="K27" s="118"/>
      <c r="L27" s="118"/>
      <c r="M27" s="118"/>
      <c r="N27" s="118"/>
      <c r="O27" s="118"/>
      <c r="P27" s="118"/>
      <c r="Q27" s="118"/>
      <c r="R27" s="118"/>
      <c r="S27" s="118"/>
      <c r="T27" s="118"/>
      <c r="U27" s="118"/>
      <c r="V27" s="118"/>
      <c r="W27" s="118"/>
      <c r="X27" s="118"/>
      <c r="Y27" s="118"/>
      <c r="Z27" s="118"/>
    </row>
    <row r="28" spans="1:26" ht="15.75" customHeight="1" x14ac:dyDescent="0.2">
      <c r="A28" s="20" t="s">
        <v>148</v>
      </c>
      <c r="B28" s="230">
        <f>'Day 3.1 Analis Laporan Keuangan'!B8</f>
        <v>25000000000</v>
      </c>
      <c r="C28" s="230">
        <f>'Day 3.1 Analis Laporan Keuangan'!C8</f>
        <v>27200000000</v>
      </c>
      <c r="D28" s="231">
        <f t="shared" si="1"/>
        <v>-8.0882352941176475E-2</v>
      </c>
      <c r="E28" s="232" t="str">
        <f t="shared" si="2"/>
        <v>Turun</v>
      </c>
      <c r="F28" s="118"/>
      <c r="G28" s="118"/>
      <c r="H28" s="118"/>
      <c r="I28" s="118"/>
      <c r="J28" s="118"/>
      <c r="K28" s="118"/>
      <c r="L28" s="118"/>
      <c r="M28" s="118"/>
      <c r="N28" s="118"/>
      <c r="O28" s="118"/>
      <c r="P28" s="118"/>
      <c r="Q28" s="118"/>
      <c r="R28" s="118"/>
      <c r="S28" s="118"/>
      <c r="T28" s="118"/>
      <c r="U28" s="118"/>
      <c r="V28" s="118"/>
      <c r="W28" s="118"/>
      <c r="X28" s="118"/>
      <c r="Y28" s="118"/>
      <c r="Z28" s="118"/>
    </row>
    <row r="29" spans="1:26" ht="15.75" customHeight="1" x14ac:dyDescent="0.2">
      <c r="A29" s="20" t="s">
        <v>99</v>
      </c>
      <c r="B29" s="230">
        <f>'Day 3.1 Analis Laporan Keuangan'!B7</f>
        <v>5000000000</v>
      </c>
      <c r="C29" s="230">
        <f>'Day 3.1 Analis Laporan Keuangan'!C7</f>
        <v>4800000000</v>
      </c>
      <c r="D29" s="231">
        <f t="shared" si="1"/>
        <v>4.1666666666666664E-2</v>
      </c>
      <c r="E29" s="232" t="str">
        <f t="shared" si="2"/>
        <v>Naik</v>
      </c>
      <c r="F29" s="118"/>
      <c r="G29" s="118"/>
      <c r="H29" s="118"/>
      <c r="I29" s="118"/>
      <c r="J29" s="118"/>
      <c r="K29" s="118"/>
      <c r="L29" s="118"/>
      <c r="M29" s="118"/>
      <c r="N29" s="118"/>
      <c r="O29" s="118"/>
      <c r="P29" s="118"/>
      <c r="Q29" s="118"/>
      <c r="R29" s="118"/>
      <c r="S29" s="118"/>
      <c r="T29" s="118"/>
      <c r="U29" s="118"/>
      <c r="V29" s="118"/>
      <c r="W29" s="118"/>
      <c r="X29" s="118"/>
      <c r="Y29" s="118"/>
      <c r="Z29" s="118"/>
    </row>
    <row r="30" spans="1:26" ht="15.75" customHeight="1" x14ac:dyDescent="0.2">
      <c r="A30" s="118"/>
      <c r="B30" s="118"/>
      <c r="C30" s="118"/>
      <c r="D30" s="118"/>
      <c r="E30" s="233"/>
      <c r="F30" s="118"/>
      <c r="G30" s="118"/>
      <c r="H30" s="118"/>
      <c r="I30" s="118"/>
      <c r="J30" s="118"/>
      <c r="K30" s="118"/>
      <c r="L30" s="118"/>
      <c r="M30" s="118"/>
      <c r="N30" s="118"/>
      <c r="O30" s="118"/>
      <c r="P30" s="118"/>
      <c r="Q30" s="118"/>
      <c r="R30" s="118"/>
      <c r="S30" s="118"/>
      <c r="T30" s="118"/>
      <c r="U30" s="118"/>
      <c r="V30" s="118"/>
      <c r="W30" s="118"/>
      <c r="X30" s="118"/>
      <c r="Y30" s="118"/>
      <c r="Z30" s="118"/>
    </row>
    <row r="31" spans="1:26" ht="15.75" customHeight="1" x14ac:dyDescent="0.2">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spans="1:26" ht="15.75" customHeight="1" x14ac:dyDescent="0.2">
      <c r="A32" s="218" t="s">
        <v>149</v>
      </c>
      <c r="B32" s="234"/>
      <c r="C32" s="234"/>
      <c r="D32" s="234"/>
      <c r="E32" s="234"/>
      <c r="F32" s="234"/>
      <c r="G32" s="235"/>
      <c r="H32" s="236"/>
      <c r="I32" s="118"/>
      <c r="J32" s="118"/>
      <c r="K32" s="118"/>
      <c r="L32" s="118"/>
      <c r="M32" s="118"/>
      <c r="N32" s="118"/>
      <c r="O32" s="118"/>
      <c r="P32" s="118"/>
      <c r="Q32" s="118"/>
      <c r="R32" s="118"/>
      <c r="S32" s="118"/>
      <c r="T32" s="118"/>
      <c r="U32" s="118"/>
      <c r="V32" s="118"/>
      <c r="W32" s="118"/>
      <c r="X32" s="118"/>
      <c r="Y32" s="118"/>
      <c r="Z32" s="118"/>
    </row>
    <row r="33" spans="1:26" ht="15.75" customHeight="1" x14ac:dyDescent="0.2">
      <c r="A33" s="237"/>
      <c r="B33" s="237"/>
      <c r="C33" s="237"/>
      <c r="D33" s="237"/>
      <c r="E33" s="237"/>
      <c r="F33" s="238"/>
      <c r="G33" s="239"/>
      <c r="H33" s="239"/>
      <c r="I33" s="192"/>
      <c r="J33" s="192"/>
      <c r="K33" s="192"/>
      <c r="L33" s="192"/>
      <c r="M33" s="192"/>
      <c r="N33" s="192"/>
      <c r="O33" s="192"/>
      <c r="P33" s="192"/>
      <c r="Q33" s="118"/>
      <c r="R33" s="118"/>
      <c r="S33" s="118"/>
      <c r="T33" s="118"/>
      <c r="U33" s="118"/>
      <c r="V33" s="118"/>
      <c r="W33" s="118"/>
      <c r="X33" s="118"/>
      <c r="Y33" s="118"/>
      <c r="Z33" s="118"/>
    </row>
    <row r="34" spans="1:26" ht="15.75" customHeight="1" x14ac:dyDescent="0.2">
      <c r="A34" s="192"/>
      <c r="B34" s="192"/>
      <c r="C34" s="192"/>
      <c r="D34" s="192"/>
      <c r="E34" s="192"/>
      <c r="F34" s="192"/>
      <c r="G34" s="192"/>
      <c r="H34" s="192"/>
      <c r="I34" s="192"/>
      <c r="J34" s="192"/>
      <c r="K34" s="192"/>
      <c r="L34" s="192"/>
      <c r="M34" s="192"/>
      <c r="N34" s="192"/>
      <c r="O34" s="192"/>
      <c r="P34" s="192"/>
      <c r="Q34" s="118"/>
      <c r="R34" s="118"/>
      <c r="S34" s="118"/>
      <c r="T34" s="118"/>
      <c r="U34" s="118"/>
      <c r="V34" s="118"/>
      <c r="W34" s="118"/>
      <c r="X34" s="118"/>
      <c r="Y34" s="118"/>
      <c r="Z34" s="118"/>
    </row>
    <row r="35" spans="1:26" ht="15.75" customHeight="1" x14ac:dyDescent="0.2">
      <c r="A35" s="192"/>
      <c r="B35" s="192"/>
      <c r="C35" s="192"/>
      <c r="D35" s="192"/>
      <c r="E35" s="192"/>
      <c r="F35" s="192"/>
      <c r="G35" s="192"/>
      <c r="H35" s="192"/>
      <c r="I35" s="192"/>
      <c r="J35" s="192"/>
      <c r="K35" s="192"/>
      <c r="L35" s="192"/>
      <c r="M35" s="192"/>
      <c r="N35" s="192"/>
      <c r="O35" s="192"/>
      <c r="P35" s="192"/>
      <c r="Q35" s="118"/>
      <c r="R35" s="118"/>
      <c r="S35" s="118"/>
      <c r="T35" s="118"/>
      <c r="U35" s="118"/>
      <c r="V35" s="118"/>
      <c r="W35" s="118"/>
      <c r="X35" s="118"/>
      <c r="Y35" s="118"/>
      <c r="Z35" s="118"/>
    </row>
    <row r="36" spans="1:26" ht="15.75" customHeight="1" x14ac:dyDescent="0.2">
      <c r="A36" s="192"/>
      <c r="B36" s="192"/>
      <c r="C36" s="192"/>
      <c r="D36" s="192"/>
      <c r="E36" s="192"/>
      <c r="F36" s="192"/>
      <c r="G36" s="192"/>
      <c r="H36" s="192"/>
      <c r="I36" s="192"/>
      <c r="J36" s="192"/>
      <c r="K36" s="192"/>
      <c r="L36" s="192"/>
      <c r="M36" s="192"/>
      <c r="N36" s="192"/>
      <c r="O36" s="192"/>
      <c r="P36" s="192"/>
      <c r="Q36" s="118"/>
      <c r="R36" s="118"/>
      <c r="S36" s="118"/>
      <c r="T36" s="118"/>
      <c r="U36" s="118"/>
      <c r="V36" s="118"/>
      <c r="W36" s="118"/>
      <c r="X36" s="118"/>
      <c r="Y36" s="118"/>
      <c r="Z36" s="118"/>
    </row>
    <row r="37" spans="1:26" ht="15.75" customHeight="1" x14ac:dyDescent="0.2">
      <c r="A37" s="192"/>
      <c r="B37" s="192"/>
      <c r="C37" s="192"/>
      <c r="D37" s="192"/>
      <c r="E37" s="192"/>
      <c r="F37" s="192"/>
      <c r="G37" s="192"/>
      <c r="H37" s="192"/>
      <c r="I37" s="192"/>
      <c r="J37" s="192"/>
      <c r="K37" s="192"/>
      <c r="L37" s="192"/>
      <c r="M37" s="192"/>
      <c r="N37" s="192"/>
      <c r="O37" s="192"/>
      <c r="P37" s="192"/>
      <c r="Q37" s="118"/>
      <c r="R37" s="118"/>
      <c r="S37" s="118"/>
      <c r="T37" s="118"/>
      <c r="U37" s="118"/>
      <c r="V37" s="118"/>
      <c r="W37" s="118"/>
      <c r="X37" s="118"/>
      <c r="Y37" s="118"/>
      <c r="Z37" s="118"/>
    </row>
    <row r="38" spans="1:26" ht="15.75" customHeight="1" x14ac:dyDescent="0.2">
      <c r="A38" s="192"/>
      <c r="B38" s="192"/>
      <c r="C38" s="192"/>
      <c r="D38" s="192"/>
      <c r="E38" s="192"/>
      <c r="F38" s="192"/>
      <c r="G38" s="192"/>
      <c r="H38" s="192"/>
      <c r="I38" s="192"/>
      <c r="J38" s="192"/>
      <c r="K38" s="192"/>
      <c r="L38" s="192"/>
      <c r="M38" s="192"/>
      <c r="N38" s="192"/>
      <c r="O38" s="192"/>
      <c r="P38" s="192"/>
      <c r="Q38" s="118"/>
      <c r="R38" s="118"/>
      <c r="S38" s="118"/>
      <c r="T38" s="118"/>
      <c r="U38" s="118"/>
      <c r="V38" s="118"/>
      <c r="W38" s="118"/>
      <c r="X38" s="118"/>
      <c r="Y38" s="118"/>
      <c r="Z38" s="118"/>
    </row>
    <row r="39" spans="1:26" ht="15.75" customHeight="1" x14ac:dyDescent="0.2">
      <c r="A39" s="192"/>
      <c r="B39" s="192"/>
      <c r="C39" s="192"/>
      <c r="D39" s="192"/>
      <c r="E39" s="192"/>
      <c r="F39" s="192"/>
      <c r="G39" s="192"/>
      <c r="H39" s="192"/>
      <c r="I39" s="192"/>
      <c r="J39" s="192"/>
      <c r="K39" s="192"/>
      <c r="L39" s="192"/>
      <c r="M39" s="192"/>
      <c r="N39" s="192"/>
      <c r="O39" s="192"/>
      <c r="P39" s="192"/>
      <c r="Q39" s="118"/>
      <c r="R39" s="118"/>
      <c r="S39" s="118"/>
      <c r="T39" s="118"/>
      <c r="U39" s="118"/>
      <c r="V39" s="118"/>
      <c r="W39" s="118"/>
      <c r="X39" s="118"/>
      <c r="Y39" s="118"/>
      <c r="Z39" s="118"/>
    </row>
    <row r="40" spans="1:26" ht="15.75" customHeight="1" x14ac:dyDescent="0.2">
      <c r="A40" s="192"/>
      <c r="B40" s="192"/>
      <c r="C40" s="192"/>
      <c r="D40" s="192"/>
      <c r="E40" s="192"/>
      <c r="F40" s="192"/>
      <c r="G40" s="192"/>
      <c r="H40" s="192"/>
      <c r="I40" s="192"/>
      <c r="J40" s="192"/>
      <c r="K40" s="192"/>
      <c r="L40" s="192"/>
      <c r="M40" s="192"/>
      <c r="N40" s="192"/>
      <c r="O40" s="192"/>
      <c r="P40" s="192"/>
      <c r="Q40" s="118"/>
      <c r="R40" s="118"/>
      <c r="S40" s="118"/>
      <c r="T40" s="118"/>
      <c r="U40" s="118"/>
      <c r="V40" s="118"/>
      <c r="W40" s="118"/>
      <c r="X40" s="118"/>
      <c r="Y40" s="118"/>
      <c r="Z40" s="118"/>
    </row>
    <row r="41" spans="1:26" ht="15.75" customHeight="1" x14ac:dyDescent="0.2">
      <c r="A41" s="192" t="s">
        <v>39</v>
      </c>
      <c r="B41" s="192"/>
      <c r="C41" s="192"/>
      <c r="D41" s="192"/>
      <c r="E41" s="192"/>
      <c r="F41" s="192"/>
      <c r="G41" s="192"/>
      <c r="H41" s="192"/>
      <c r="I41" s="192"/>
      <c r="J41" s="192"/>
      <c r="K41" s="192"/>
      <c r="L41" s="192"/>
      <c r="M41" s="192"/>
      <c r="N41" s="192"/>
      <c r="O41" s="192"/>
      <c r="P41" s="192"/>
      <c r="Q41" s="118"/>
      <c r="R41" s="118"/>
      <c r="S41" s="118"/>
      <c r="T41" s="118"/>
      <c r="U41" s="118"/>
      <c r="V41" s="118"/>
      <c r="W41" s="118"/>
      <c r="X41" s="118"/>
      <c r="Y41" s="118"/>
      <c r="Z41" s="118"/>
    </row>
    <row r="42" spans="1:26" ht="15.75" customHeight="1" x14ac:dyDescent="0.2">
      <c r="A42" s="192"/>
      <c r="B42" s="192"/>
      <c r="C42" s="192"/>
      <c r="D42" s="192"/>
      <c r="E42" s="192"/>
      <c r="F42" s="192"/>
      <c r="G42" s="192"/>
      <c r="H42" s="192"/>
      <c r="I42" s="192"/>
      <c r="J42" s="192"/>
      <c r="K42" s="192"/>
      <c r="L42" s="192"/>
      <c r="M42" s="192"/>
      <c r="N42" s="192"/>
      <c r="O42" s="192"/>
      <c r="P42" s="192"/>
      <c r="Q42" s="118"/>
      <c r="R42" s="118"/>
      <c r="S42" s="118"/>
      <c r="T42" s="118"/>
      <c r="U42" s="118"/>
      <c r="V42" s="118"/>
      <c r="W42" s="118"/>
      <c r="X42" s="118"/>
      <c r="Y42" s="118"/>
      <c r="Z42" s="118"/>
    </row>
    <row r="43" spans="1:26" ht="15.75" customHeight="1" x14ac:dyDescent="0.2">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spans="1:26" ht="15.75" customHeight="1" x14ac:dyDescent="0.2">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row>
    <row r="45" spans="1:26" ht="15.75" customHeight="1" x14ac:dyDescent="0.2">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row>
    <row r="46" spans="1:26" ht="15.75" customHeight="1" x14ac:dyDescent="0.2">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row>
    <row r="47" spans="1:26" ht="15.75" customHeight="1" x14ac:dyDescent="0.2">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row>
    <row r="48" spans="1:26" ht="15.75" customHeight="1" x14ac:dyDescent="0.2">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spans="1:26" ht="15.75" customHeight="1" x14ac:dyDescent="0.2">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spans="1:26" ht="15.75" customHeight="1" x14ac:dyDescent="0.2">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row>
    <row r="51" spans="1:26" ht="15.75" customHeight="1" x14ac:dyDescent="0.2">
      <c r="A51" s="118"/>
      <c r="B51" s="118"/>
      <c r="C51" s="118"/>
      <c r="D51" s="118"/>
      <c r="E51" s="118"/>
      <c r="F51" s="118"/>
      <c r="G51" s="118"/>
      <c r="H51" s="118"/>
      <c r="I51" s="118"/>
      <c r="J51" s="118"/>
      <c r="K51" s="192"/>
      <c r="L51" s="192"/>
      <c r="M51" s="192"/>
      <c r="N51" s="192"/>
      <c r="O51" s="192"/>
      <c r="P51" s="192"/>
      <c r="Q51" s="192"/>
      <c r="R51" s="192"/>
      <c r="S51" s="192"/>
      <c r="T51" s="192"/>
      <c r="U51" s="192"/>
      <c r="V51" s="192"/>
      <c r="W51" s="192"/>
      <c r="X51" s="192"/>
      <c r="Y51" s="192"/>
      <c r="Z51" s="201"/>
    </row>
    <row r="52" spans="1:26" ht="15.75" customHeight="1" x14ac:dyDescent="0.2">
      <c r="A52" s="118"/>
      <c r="B52" s="118"/>
      <c r="C52" s="118"/>
      <c r="D52" s="118"/>
      <c r="E52" s="118"/>
      <c r="F52" s="118"/>
      <c r="G52" s="118"/>
      <c r="H52" s="118"/>
      <c r="I52" s="118"/>
      <c r="J52" s="118"/>
      <c r="K52" s="192"/>
      <c r="L52" s="192"/>
      <c r="M52" s="192"/>
      <c r="N52" s="192"/>
      <c r="O52" s="192"/>
      <c r="P52" s="192"/>
      <c r="Q52" s="192"/>
      <c r="R52" s="192"/>
      <c r="S52" s="192"/>
      <c r="T52" s="192"/>
      <c r="U52" s="192"/>
      <c r="V52" s="192"/>
      <c r="W52" s="192"/>
      <c r="X52" s="192"/>
      <c r="Y52" s="192"/>
      <c r="Z52" s="201"/>
    </row>
    <row r="53" spans="1:26" ht="15.75" customHeight="1" x14ac:dyDescent="0.2">
      <c r="A53" s="118"/>
      <c r="B53" s="118"/>
      <c r="C53" s="118"/>
      <c r="D53" s="118"/>
      <c r="E53" s="118"/>
      <c r="F53" s="118"/>
      <c r="G53" s="118"/>
      <c r="H53" s="118"/>
      <c r="I53" s="118"/>
      <c r="J53" s="118"/>
      <c r="K53" s="192"/>
      <c r="L53" s="192"/>
      <c r="M53" s="192"/>
      <c r="N53" s="192"/>
      <c r="O53" s="192"/>
      <c r="P53" s="192"/>
      <c r="Q53" s="192"/>
      <c r="R53" s="192"/>
      <c r="S53" s="192"/>
      <c r="T53" s="192"/>
      <c r="U53" s="192"/>
      <c r="V53" s="192"/>
      <c r="W53" s="192"/>
      <c r="X53" s="192"/>
      <c r="Y53" s="192"/>
      <c r="Z53" s="201"/>
    </row>
    <row r="54" spans="1:26" ht="15.75" customHeight="1" x14ac:dyDescent="0.2">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row>
    <row r="55" spans="1:26" ht="15.75" customHeight="1" x14ac:dyDescent="0.2">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row>
    <row r="56" spans="1:26" ht="15.75" customHeight="1" x14ac:dyDescent="0.2">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spans="1:26" ht="15.75" customHeight="1" x14ac:dyDescent="0.2">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spans="1:26" ht="15.75" customHeight="1" x14ac:dyDescent="0.2">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row>
    <row r="59" spans="1:26" ht="15.75" customHeight="1" x14ac:dyDescent="0.2">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row>
    <row r="60" spans="1:26" ht="15.75" customHeight="1" x14ac:dyDescent="0.2">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row>
    <row r="61" spans="1:26" ht="15.75" customHeight="1" x14ac:dyDescent="0.2">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row>
    <row r="62" spans="1:26" ht="15.75" customHeight="1" x14ac:dyDescent="0.2">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row>
    <row r="63" spans="1:26" ht="15.75" customHeight="1" x14ac:dyDescent="0.2">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spans="1:26" ht="15.75" customHeight="1" x14ac:dyDescent="0.2">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row>
    <row r="65" spans="1:26" ht="15.75" customHeight="1" x14ac:dyDescent="0.2">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row>
    <row r="66" spans="1:26" ht="15.75" customHeight="1" x14ac:dyDescent="0.2">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row>
    <row r="67" spans="1:26" ht="15.75" customHeight="1" x14ac:dyDescent="0.2">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spans="1:26" ht="15.75" customHeight="1" x14ac:dyDescent="0.2">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spans="1:26" ht="15.75" customHeight="1" x14ac:dyDescent="0.2">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spans="1:26" ht="15.75" customHeight="1" x14ac:dyDescent="0.2">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row>
    <row r="71" spans="1:26" ht="15.75" customHeight="1" x14ac:dyDescent="0.2">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row>
    <row r="72" spans="1:26" ht="15.75" customHeight="1" x14ac:dyDescent="0.2">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spans="1:26" ht="15.75" customHeight="1" x14ac:dyDescent="0.2">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row>
    <row r="74" spans="1:26" ht="15.75" customHeight="1" x14ac:dyDescent="0.2">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row>
    <row r="75" spans="1:26" ht="15.75" customHeight="1" x14ac:dyDescent="0.2">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row>
    <row r="76" spans="1:26" ht="15.75" customHeight="1" x14ac:dyDescent="0.2">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row>
    <row r="77" spans="1:26" ht="15.75" customHeight="1" x14ac:dyDescent="0.2">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row>
    <row r="78" spans="1:26" ht="15.75" customHeight="1" x14ac:dyDescent="0.2">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row>
    <row r="79" spans="1:26" ht="15.75" customHeight="1" x14ac:dyDescent="0.2">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spans="1:26" ht="15.75" customHeight="1" x14ac:dyDescent="0.2">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row>
    <row r="81" spans="1:26" ht="15.75" customHeight="1" x14ac:dyDescent="0.2">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row>
    <row r="82" spans="1:26" ht="15.75" customHeight="1" x14ac:dyDescent="0.2">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spans="1:26" ht="15.75" customHeight="1" x14ac:dyDescent="0.2">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row>
    <row r="84" spans="1:26" ht="15.75" customHeight="1" x14ac:dyDescent="0.2">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row>
    <row r="85" spans="1:26" ht="15.75" customHeight="1" x14ac:dyDescent="0.2">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row>
    <row r="86" spans="1:26" ht="15.75" customHeight="1" x14ac:dyDescent="0.2">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row>
    <row r="87" spans="1:26" ht="15.75" customHeight="1" x14ac:dyDescent="0.2">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row>
    <row r="88" spans="1:26" ht="15.75" customHeight="1" x14ac:dyDescent="0.2">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row>
    <row r="89" spans="1:26" ht="15.75" customHeight="1" x14ac:dyDescent="0.2">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row>
    <row r="90" spans="1:26" ht="15.75" customHeight="1" x14ac:dyDescent="0.2">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row>
    <row r="91" spans="1:26" ht="15.75" customHeight="1" x14ac:dyDescent="0.2">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row>
    <row r="92" spans="1:26" ht="15.75" customHeight="1" x14ac:dyDescent="0.2">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spans="1:26" ht="15.75" customHeight="1" x14ac:dyDescent="0.2">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row>
    <row r="94" spans="1:26" ht="15.75" customHeight="1" x14ac:dyDescent="0.2">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row>
    <row r="95" spans="1:26" ht="15.75" customHeight="1" x14ac:dyDescent="0.2">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row>
    <row r="96" spans="1:26" ht="15.75" customHeight="1" x14ac:dyDescent="0.2">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row>
    <row r="97" spans="1:26" ht="15.75" customHeight="1" x14ac:dyDescent="0.2">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row>
    <row r="98" spans="1:26" ht="15.75" customHeight="1" x14ac:dyDescent="0.2">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row>
    <row r="99" spans="1:26" ht="15.75" customHeight="1" x14ac:dyDescent="0.2">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row>
    <row r="100" spans="1:26" ht="15.75" customHeight="1" x14ac:dyDescent="0.2">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row>
  </sheetData>
  <mergeCells count="5">
    <mergeCell ref="A25:A26"/>
    <mergeCell ref="B25:B26"/>
    <mergeCell ref="C25:C26"/>
    <mergeCell ref="D25:D26"/>
    <mergeCell ref="E25:E26"/>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247"/>
  <sheetViews>
    <sheetView workbookViewId="0"/>
  </sheetViews>
  <sheetFormatPr defaultColWidth="14.390625" defaultRowHeight="15" customHeight="1" x14ac:dyDescent="0.2"/>
  <cols>
    <col min="1" max="1" width="67.93359375" customWidth="1"/>
    <col min="2" max="2" width="12.5078125" customWidth="1"/>
    <col min="3" max="3" width="18.83203125" customWidth="1"/>
    <col min="4" max="11" width="12.5078125" customWidth="1"/>
  </cols>
  <sheetData>
    <row r="1" spans="1:11" ht="54" customHeight="1" x14ac:dyDescent="0.2">
      <c r="A1" s="462" t="s">
        <v>150</v>
      </c>
      <c r="B1" s="426"/>
      <c r="C1" s="426"/>
      <c r="D1" s="426"/>
      <c r="E1" s="240"/>
      <c r="F1" s="241"/>
      <c r="G1" s="241"/>
      <c r="H1" s="241"/>
      <c r="I1" s="241"/>
      <c r="J1" s="241"/>
      <c r="K1" s="241"/>
    </row>
    <row r="2" spans="1:11" ht="15.75" customHeight="1" x14ac:dyDescent="0.25">
      <c r="A2" s="242"/>
      <c r="B2" s="3"/>
      <c r="C2" s="185"/>
      <c r="D2" s="185"/>
      <c r="E2" s="240"/>
      <c r="F2" s="241"/>
      <c r="G2" s="241"/>
      <c r="H2" s="241"/>
      <c r="I2" s="241"/>
      <c r="J2" s="241"/>
      <c r="K2" s="241"/>
    </row>
    <row r="3" spans="1:11" ht="47.25" customHeight="1" x14ac:dyDescent="0.2">
      <c r="A3" s="463" t="s">
        <v>151</v>
      </c>
      <c r="B3" s="426"/>
      <c r="C3" s="426"/>
      <c r="D3" s="426"/>
      <c r="E3" s="240"/>
      <c r="F3" s="241"/>
      <c r="G3" s="241"/>
      <c r="H3" s="241"/>
      <c r="I3" s="241"/>
      <c r="J3" s="241"/>
      <c r="K3" s="241"/>
    </row>
    <row r="4" spans="1:11" ht="15.75" customHeight="1" x14ac:dyDescent="0.25">
      <c r="A4" s="242"/>
      <c r="B4" s="243"/>
      <c r="C4" s="244"/>
      <c r="D4" s="244"/>
      <c r="E4" s="240"/>
      <c r="F4" s="241"/>
      <c r="G4" s="241"/>
      <c r="H4" s="241"/>
      <c r="I4" s="241"/>
      <c r="J4" s="241"/>
      <c r="K4" s="241"/>
    </row>
    <row r="5" spans="1:11" ht="15.75" customHeight="1" x14ac:dyDescent="0.25">
      <c r="A5" s="245" t="s">
        <v>152</v>
      </c>
      <c r="B5" s="246" t="s">
        <v>153</v>
      </c>
      <c r="C5" s="247" t="s">
        <v>154</v>
      </c>
      <c r="D5" s="247" t="s">
        <v>155</v>
      </c>
      <c r="E5" s="240"/>
      <c r="F5" s="241"/>
      <c r="G5" s="241"/>
      <c r="H5" s="241"/>
      <c r="I5" s="241"/>
      <c r="J5" s="241"/>
      <c r="K5" s="241"/>
    </row>
    <row r="6" spans="1:11" ht="15.75" customHeight="1" x14ac:dyDescent="0.25">
      <c r="A6" s="248" t="s">
        <v>156</v>
      </c>
      <c r="B6" s="249">
        <v>100</v>
      </c>
      <c r="C6" s="250">
        <v>35000</v>
      </c>
      <c r="D6" s="250">
        <f t="shared" ref="D6:D9" si="0">B6*C6</f>
        <v>3500000</v>
      </c>
      <c r="E6" s="240"/>
      <c r="F6" s="241"/>
      <c r="G6" s="241"/>
      <c r="H6" s="241"/>
      <c r="I6" s="241"/>
      <c r="J6" s="241"/>
      <c r="K6" s="241"/>
    </row>
    <row r="7" spans="1:11" ht="15.75" customHeight="1" x14ac:dyDescent="0.25">
      <c r="A7" s="248" t="s">
        <v>157</v>
      </c>
      <c r="B7" s="251">
        <v>30</v>
      </c>
      <c r="C7" s="250">
        <v>150000</v>
      </c>
      <c r="D7" s="250">
        <f t="shared" si="0"/>
        <v>4500000</v>
      </c>
      <c r="E7" s="240"/>
      <c r="F7" s="241"/>
      <c r="G7" s="241"/>
      <c r="H7" s="241"/>
      <c r="I7" s="241"/>
      <c r="J7" s="241"/>
      <c r="K7" s="241"/>
    </row>
    <row r="8" spans="1:11" ht="15.75" customHeight="1" x14ac:dyDescent="0.25">
      <c r="A8" s="252" t="s">
        <v>158</v>
      </c>
      <c r="B8" s="249">
        <v>100</v>
      </c>
      <c r="C8" s="250">
        <v>10000</v>
      </c>
      <c r="D8" s="250">
        <f t="shared" si="0"/>
        <v>1000000</v>
      </c>
      <c r="E8" s="240"/>
      <c r="F8" s="241"/>
      <c r="G8" s="241"/>
      <c r="H8" s="241"/>
      <c r="I8" s="241"/>
      <c r="J8" s="241"/>
      <c r="K8" s="241"/>
    </row>
    <row r="9" spans="1:11" ht="15.75" customHeight="1" x14ac:dyDescent="0.25">
      <c r="A9" s="245" t="s">
        <v>159</v>
      </c>
      <c r="B9" s="253">
        <v>100</v>
      </c>
      <c r="C9" s="250">
        <v>90000</v>
      </c>
      <c r="D9" s="250">
        <f t="shared" si="0"/>
        <v>9000000</v>
      </c>
      <c r="E9" s="240"/>
      <c r="F9" s="241"/>
      <c r="G9" s="241"/>
      <c r="H9" s="241"/>
      <c r="I9" s="241"/>
      <c r="J9" s="241"/>
      <c r="K9" s="241"/>
    </row>
    <row r="10" spans="1:11" ht="15.75" customHeight="1" x14ac:dyDescent="0.25">
      <c r="A10" s="248" t="s">
        <v>160</v>
      </c>
      <c r="B10" s="253"/>
      <c r="C10" s="250"/>
      <c r="D10" s="250">
        <f>SUM(D6:D9)</f>
        <v>18000000</v>
      </c>
      <c r="E10" s="240"/>
      <c r="F10" s="241"/>
      <c r="G10" s="241"/>
      <c r="H10" s="241"/>
      <c r="I10" s="241"/>
      <c r="J10" s="241"/>
      <c r="K10" s="241"/>
    </row>
    <row r="11" spans="1:11" ht="15.75" customHeight="1" x14ac:dyDescent="0.25">
      <c r="A11" s="242"/>
      <c r="B11" s="3"/>
      <c r="C11" s="185"/>
      <c r="D11" s="185"/>
      <c r="E11" s="240"/>
      <c r="F11" s="241"/>
      <c r="G11" s="241"/>
      <c r="H11" s="241"/>
      <c r="I11" s="241"/>
      <c r="J11" s="241"/>
      <c r="K11" s="241"/>
    </row>
    <row r="12" spans="1:11" ht="31.5" customHeight="1" x14ac:dyDescent="0.2">
      <c r="A12" s="464" t="s">
        <v>161</v>
      </c>
      <c r="B12" s="426"/>
      <c r="C12" s="426"/>
      <c r="D12" s="426"/>
      <c r="E12" s="240"/>
      <c r="F12" s="241"/>
      <c r="G12" s="241"/>
      <c r="H12" s="241"/>
      <c r="I12" s="241"/>
      <c r="J12" s="241"/>
      <c r="K12" s="241"/>
    </row>
    <row r="13" spans="1:11" ht="15.75" customHeight="1" x14ac:dyDescent="0.25">
      <c r="A13" s="254"/>
      <c r="B13" s="3"/>
      <c r="C13" s="185"/>
      <c r="D13" s="185"/>
      <c r="E13" s="240"/>
      <c r="F13" s="241"/>
      <c r="G13" s="241"/>
      <c r="H13" s="241"/>
      <c r="I13" s="241"/>
      <c r="J13" s="241"/>
      <c r="K13" s="241"/>
    </row>
    <row r="14" spans="1:11" ht="15.75" customHeight="1" x14ac:dyDescent="0.25">
      <c r="A14" s="245" t="s">
        <v>162</v>
      </c>
      <c r="B14" s="246" t="str">
        <f t="shared" ref="B14:D14" si="1">B5</f>
        <v>Qty</v>
      </c>
      <c r="C14" s="247" t="str">
        <f t="shared" si="1"/>
        <v>Harga Satuan</v>
      </c>
      <c r="D14" s="247" t="str">
        <f t="shared" si="1"/>
        <v>Total</v>
      </c>
      <c r="E14" s="240"/>
      <c r="F14" s="241"/>
      <c r="G14" s="241"/>
      <c r="H14" s="241"/>
      <c r="I14" s="241"/>
      <c r="J14" s="241"/>
      <c r="K14" s="241"/>
    </row>
    <row r="15" spans="1:11" ht="15.75" customHeight="1" x14ac:dyDescent="0.25">
      <c r="A15" s="248" t="s">
        <v>156</v>
      </c>
      <c r="B15" s="255">
        <v>80</v>
      </c>
      <c r="C15" s="250">
        <v>35000</v>
      </c>
      <c r="D15" s="250">
        <f t="shared" ref="D15:D16" si="2">B15*C15</f>
        <v>2800000</v>
      </c>
      <c r="E15" s="240"/>
      <c r="F15" s="241"/>
      <c r="G15" s="241"/>
      <c r="H15" s="241"/>
      <c r="I15" s="241"/>
      <c r="J15" s="241"/>
      <c r="K15" s="241"/>
    </row>
    <row r="16" spans="1:11" ht="15.75" customHeight="1" x14ac:dyDescent="0.25">
      <c r="A16" s="248" t="s">
        <v>157</v>
      </c>
      <c r="B16" s="249">
        <v>26</v>
      </c>
      <c r="C16" s="250">
        <v>150000</v>
      </c>
      <c r="D16" s="250">
        <f t="shared" si="2"/>
        <v>3900000</v>
      </c>
      <c r="E16" s="240"/>
      <c r="F16" s="241"/>
      <c r="G16" s="241"/>
      <c r="H16" s="241"/>
      <c r="I16" s="241"/>
      <c r="J16" s="241"/>
      <c r="K16" s="241"/>
    </row>
    <row r="17" spans="1:11" ht="15.75" customHeight="1" x14ac:dyDescent="0.25">
      <c r="A17" s="252" t="s">
        <v>163</v>
      </c>
      <c r="B17" s="253"/>
      <c r="C17" s="250"/>
      <c r="D17" s="250">
        <f>SUM(D15:D16)</f>
        <v>6700000</v>
      </c>
      <c r="E17" s="240"/>
      <c r="F17" s="241"/>
      <c r="G17" s="241"/>
      <c r="H17" s="241"/>
      <c r="I17" s="241"/>
      <c r="J17" s="241"/>
      <c r="K17" s="241"/>
    </row>
    <row r="18" spans="1:11" ht="15.75" customHeight="1" x14ac:dyDescent="0.25">
      <c r="A18" s="256"/>
      <c r="B18" s="3"/>
      <c r="C18" s="185"/>
      <c r="D18" s="185"/>
      <c r="E18" s="240"/>
      <c r="F18" s="241"/>
      <c r="G18" s="241"/>
      <c r="H18" s="241"/>
      <c r="I18" s="241"/>
      <c r="J18" s="241"/>
      <c r="K18" s="241"/>
    </row>
    <row r="19" spans="1:11" ht="15.75" customHeight="1" x14ac:dyDescent="0.25">
      <c r="A19" s="245" t="s">
        <v>164</v>
      </c>
      <c r="B19" s="246" t="str">
        <f t="shared" ref="B19:D19" si="3">B14</f>
        <v>Qty</v>
      </c>
      <c r="C19" s="247" t="str">
        <f t="shared" si="3"/>
        <v>Harga Satuan</v>
      </c>
      <c r="D19" s="247" t="str">
        <f t="shared" si="3"/>
        <v>Total</v>
      </c>
      <c r="E19" s="240"/>
      <c r="F19" s="241"/>
      <c r="G19" s="241"/>
      <c r="H19" s="241"/>
      <c r="I19" s="241"/>
      <c r="J19" s="241"/>
      <c r="K19" s="241"/>
    </row>
    <row r="20" spans="1:11" ht="15.75" customHeight="1" x14ac:dyDescent="0.25">
      <c r="A20" s="248" t="s">
        <v>158</v>
      </c>
      <c r="B20" s="251">
        <v>80</v>
      </c>
      <c r="C20" s="250">
        <v>10000</v>
      </c>
      <c r="D20" s="250">
        <f t="shared" ref="D20:D21" si="4">B20*C20</f>
        <v>800000</v>
      </c>
      <c r="E20" s="240"/>
      <c r="F20" s="241"/>
      <c r="G20" s="241"/>
      <c r="H20" s="241"/>
      <c r="I20" s="241"/>
      <c r="J20" s="241"/>
      <c r="K20" s="241"/>
    </row>
    <row r="21" spans="1:11" ht="15.75" customHeight="1" x14ac:dyDescent="0.25">
      <c r="A21" s="248" t="s">
        <v>159</v>
      </c>
      <c r="B21" s="249">
        <v>80</v>
      </c>
      <c r="C21" s="250">
        <v>90000</v>
      </c>
      <c r="D21" s="250">
        <f t="shared" si="4"/>
        <v>7200000</v>
      </c>
      <c r="E21" s="240"/>
      <c r="F21" s="241"/>
      <c r="G21" s="241"/>
      <c r="H21" s="241"/>
      <c r="I21" s="241"/>
      <c r="J21" s="241"/>
      <c r="K21" s="241"/>
    </row>
    <row r="22" spans="1:11" ht="15.75" customHeight="1" x14ac:dyDescent="0.25">
      <c r="A22" s="252" t="s">
        <v>165</v>
      </c>
      <c r="B22" s="253"/>
      <c r="C22" s="250"/>
      <c r="D22" s="250">
        <f>SUM(D20:D21)</f>
        <v>8000000</v>
      </c>
      <c r="E22" s="240"/>
      <c r="F22" s="241"/>
      <c r="G22" s="241"/>
      <c r="H22" s="241"/>
      <c r="I22" s="241"/>
      <c r="J22" s="241"/>
      <c r="K22" s="241"/>
    </row>
    <row r="23" spans="1:11" ht="15.75" customHeight="1" x14ac:dyDescent="0.25">
      <c r="A23" s="257"/>
      <c r="B23" s="3"/>
      <c r="C23" s="185"/>
      <c r="D23" s="185"/>
      <c r="E23" s="240"/>
      <c r="F23" s="241"/>
      <c r="G23" s="241"/>
      <c r="H23" s="241"/>
      <c r="I23" s="241"/>
      <c r="J23" s="241"/>
      <c r="K23" s="241"/>
    </row>
    <row r="24" spans="1:11" ht="15.75" customHeight="1" x14ac:dyDescent="0.25">
      <c r="A24" s="245" t="s">
        <v>166</v>
      </c>
      <c r="B24" s="246" t="s">
        <v>167</v>
      </c>
      <c r="C24" s="247" t="s">
        <v>168</v>
      </c>
      <c r="D24" s="247" t="s">
        <v>155</v>
      </c>
      <c r="E24" s="240"/>
      <c r="F24" s="241"/>
      <c r="G24" s="241"/>
      <c r="H24" s="241"/>
      <c r="I24" s="241"/>
      <c r="J24" s="241"/>
      <c r="K24" s="241"/>
    </row>
    <row r="25" spans="1:11" ht="15.75" customHeight="1" x14ac:dyDescent="0.25">
      <c r="A25" s="248" t="s">
        <v>169</v>
      </c>
      <c r="B25" s="258">
        <v>300</v>
      </c>
      <c r="C25" s="250">
        <v>12000</v>
      </c>
      <c r="D25" s="250">
        <f>B25*C25</f>
        <v>3600000</v>
      </c>
      <c r="E25" s="240"/>
      <c r="F25" s="241"/>
      <c r="G25" s="241"/>
      <c r="H25" s="241"/>
      <c r="I25" s="241"/>
      <c r="J25" s="241"/>
      <c r="K25" s="241"/>
    </row>
    <row r="26" spans="1:11" ht="15.75" customHeight="1" x14ac:dyDescent="0.25">
      <c r="A26" s="248" t="s">
        <v>170</v>
      </c>
      <c r="B26" s="253"/>
      <c r="C26" s="250"/>
      <c r="D26" s="250">
        <v>1500000</v>
      </c>
      <c r="E26" s="240"/>
      <c r="F26" s="241"/>
      <c r="G26" s="241"/>
      <c r="H26" s="241"/>
      <c r="I26" s="241"/>
      <c r="J26" s="241"/>
      <c r="K26" s="241"/>
    </row>
    <row r="27" spans="1:11" ht="15.75" customHeight="1" x14ac:dyDescent="0.25">
      <c r="A27" s="252" t="s">
        <v>171</v>
      </c>
      <c r="B27" s="253"/>
      <c r="C27" s="250"/>
      <c r="D27" s="250">
        <f>SUM(D25:D26)</f>
        <v>5100000</v>
      </c>
      <c r="E27" s="240"/>
      <c r="F27" s="241"/>
      <c r="G27" s="241"/>
      <c r="H27" s="241"/>
      <c r="I27" s="241"/>
      <c r="J27" s="241"/>
      <c r="K27" s="241"/>
    </row>
    <row r="28" spans="1:11" ht="15.75" customHeight="1" x14ac:dyDescent="0.25">
      <c r="A28" s="248" t="s">
        <v>172</v>
      </c>
      <c r="B28" s="253"/>
      <c r="C28" s="250"/>
      <c r="D28" s="250">
        <v>3000000</v>
      </c>
      <c r="E28" s="240"/>
      <c r="F28" s="241"/>
      <c r="G28" s="241"/>
      <c r="H28" s="241"/>
      <c r="I28" s="241"/>
      <c r="J28" s="241"/>
      <c r="K28" s="241"/>
    </row>
    <row r="29" spans="1:11" ht="15.75" customHeight="1" x14ac:dyDescent="0.25">
      <c r="A29" s="248" t="s">
        <v>173</v>
      </c>
      <c r="B29" s="253"/>
      <c r="C29" s="250"/>
      <c r="D29" s="250">
        <v>4000000</v>
      </c>
      <c r="E29" s="240"/>
      <c r="F29" s="241"/>
      <c r="G29" s="241"/>
      <c r="H29" s="241"/>
      <c r="I29" s="241"/>
      <c r="J29" s="241"/>
      <c r="K29" s="241"/>
    </row>
    <row r="30" spans="1:11" ht="15.75" customHeight="1" x14ac:dyDescent="0.25">
      <c r="A30" s="252" t="s">
        <v>174</v>
      </c>
      <c r="B30" s="253"/>
      <c r="C30" s="250"/>
      <c r="D30" s="250">
        <f>SUM(D28:D29)</f>
        <v>7000000</v>
      </c>
      <c r="E30" s="240"/>
      <c r="F30" s="241"/>
      <c r="G30" s="241"/>
      <c r="H30" s="241"/>
      <c r="I30" s="241"/>
      <c r="J30" s="241"/>
      <c r="K30" s="241"/>
    </row>
    <row r="31" spans="1:11" ht="15.75" customHeight="1" x14ac:dyDescent="0.25">
      <c r="A31" s="252" t="s">
        <v>175</v>
      </c>
      <c r="B31" s="253"/>
      <c r="C31" s="250"/>
      <c r="D31" s="250">
        <f>D27+D30</f>
        <v>12100000</v>
      </c>
      <c r="E31" s="240"/>
      <c r="F31" s="241"/>
      <c r="G31" s="241"/>
      <c r="H31" s="241"/>
      <c r="I31" s="241"/>
      <c r="J31" s="241"/>
      <c r="K31" s="241"/>
    </row>
    <row r="32" spans="1:11" ht="15.75" customHeight="1" x14ac:dyDescent="0.25">
      <c r="A32" s="257"/>
      <c r="B32" s="3"/>
      <c r="C32" s="185"/>
      <c r="D32" s="185"/>
      <c r="E32" s="240"/>
      <c r="F32" s="241"/>
      <c r="G32" s="241"/>
      <c r="H32" s="241"/>
      <c r="I32" s="241"/>
      <c r="J32" s="241"/>
      <c r="K32" s="241"/>
    </row>
    <row r="33" spans="1:11" ht="15.75" customHeight="1" x14ac:dyDescent="0.25">
      <c r="A33" s="259" t="s">
        <v>176</v>
      </c>
      <c r="B33" s="3"/>
      <c r="C33" s="185"/>
      <c r="D33" s="185"/>
      <c r="E33" s="240"/>
      <c r="F33" s="241"/>
      <c r="G33" s="241"/>
      <c r="H33" s="241"/>
      <c r="I33" s="241"/>
      <c r="J33" s="241"/>
      <c r="K33" s="241"/>
    </row>
    <row r="34" spans="1:11" ht="15.75" customHeight="1" x14ac:dyDescent="0.25">
      <c r="A34" s="257" t="s">
        <v>177</v>
      </c>
      <c r="B34" s="3"/>
      <c r="C34" s="185"/>
      <c r="D34" s="185"/>
      <c r="E34" s="240"/>
      <c r="F34" s="241"/>
      <c r="G34" s="241"/>
      <c r="H34" s="241"/>
      <c r="I34" s="241"/>
      <c r="J34" s="241"/>
      <c r="K34" s="241"/>
    </row>
    <row r="35" spans="1:11" ht="15.75" customHeight="1" x14ac:dyDescent="0.25">
      <c r="A35" s="257"/>
      <c r="B35" s="3"/>
      <c r="C35" s="185"/>
      <c r="D35" s="185"/>
      <c r="E35" s="240"/>
      <c r="F35" s="241"/>
      <c r="G35" s="241"/>
      <c r="H35" s="241"/>
      <c r="I35" s="241"/>
      <c r="J35" s="241"/>
      <c r="K35" s="241"/>
    </row>
    <row r="36" spans="1:11" ht="15.75" customHeight="1" x14ac:dyDescent="0.25">
      <c r="A36" s="259" t="s">
        <v>178</v>
      </c>
      <c r="B36" s="3"/>
      <c r="C36" s="185"/>
      <c r="D36" s="185"/>
      <c r="E36" s="240"/>
      <c r="F36" s="241"/>
      <c r="G36" s="241"/>
      <c r="H36" s="241"/>
      <c r="I36" s="241"/>
      <c r="J36" s="241"/>
      <c r="K36" s="241"/>
    </row>
    <row r="37" spans="1:11" ht="15.75" customHeight="1" x14ac:dyDescent="0.25">
      <c r="A37" s="257" t="s">
        <v>179</v>
      </c>
      <c r="B37" s="3"/>
      <c r="C37" s="185"/>
      <c r="D37" s="3"/>
      <c r="E37" s="240"/>
      <c r="F37" s="241"/>
      <c r="G37" s="241"/>
      <c r="H37" s="241"/>
      <c r="I37" s="241"/>
      <c r="J37" s="241"/>
      <c r="K37" s="241"/>
    </row>
    <row r="38" spans="1:11" ht="15.75" customHeight="1" x14ac:dyDescent="0.25">
      <c r="A38" s="257"/>
      <c r="B38" s="3"/>
      <c r="C38" s="185"/>
      <c r="D38" s="3"/>
      <c r="E38" s="240"/>
      <c r="F38" s="241"/>
      <c r="G38" s="241"/>
      <c r="H38" s="241"/>
      <c r="I38" s="241"/>
      <c r="J38" s="241"/>
      <c r="K38" s="241"/>
    </row>
    <row r="39" spans="1:11" ht="15.75" customHeight="1" x14ac:dyDescent="0.25">
      <c r="A39" s="248" t="s">
        <v>180</v>
      </c>
      <c r="B39" s="250">
        <v>1300000</v>
      </c>
      <c r="C39" s="185"/>
      <c r="D39" s="185"/>
      <c r="E39" s="240"/>
      <c r="F39" s="241"/>
      <c r="G39" s="241"/>
      <c r="H39" s="241"/>
      <c r="I39" s="241"/>
      <c r="J39" s="241"/>
      <c r="K39" s="241"/>
    </row>
    <row r="40" spans="1:11" ht="15.75" customHeight="1" x14ac:dyDescent="0.25">
      <c r="A40" s="248" t="s">
        <v>181</v>
      </c>
      <c r="B40" s="250">
        <v>1200000</v>
      </c>
      <c r="C40" s="185"/>
      <c r="D40" s="185"/>
      <c r="E40" s="240"/>
      <c r="F40" s="241"/>
      <c r="G40" s="241"/>
      <c r="H40" s="241"/>
      <c r="I40" s="241"/>
      <c r="J40" s="241"/>
      <c r="K40" s="241"/>
    </row>
    <row r="41" spans="1:11" ht="15.75" customHeight="1" x14ac:dyDescent="0.25">
      <c r="A41" s="248" t="s">
        <v>182</v>
      </c>
      <c r="B41" s="250">
        <v>900000</v>
      </c>
      <c r="C41" s="185"/>
      <c r="D41" s="185"/>
      <c r="E41" s="240"/>
      <c r="F41" s="241"/>
      <c r="G41" s="241"/>
      <c r="H41" s="241"/>
      <c r="I41" s="241"/>
      <c r="J41" s="241"/>
      <c r="K41" s="241"/>
    </row>
    <row r="42" spans="1:11" ht="15.75" customHeight="1" x14ac:dyDescent="0.25">
      <c r="A42" s="248" t="s">
        <v>183</v>
      </c>
      <c r="B42" s="250">
        <v>1100000</v>
      </c>
      <c r="C42" s="185"/>
      <c r="D42" s="185"/>
      <c r="E42" s="240"/>
      <c r="F42" s="241"/>
      <c r="G42" s="241"/>
      <c r="H42" s="241"/>
      <c r="I42" s="241"/>
      <c r="J42" s="241"/>
      <c r="K42" s="241"/>
    </row>
    <row r="43" spans="1:11" ht="15.75" customHeight="1" x14ac:dyDescent="0.25">
      <c r="A43" s="248" t="s">
        <v>184</v>
      </c>
      <c r="B43" s="250">
        <v>1000000</v>
      </c>
      <c r="C43" s="185"/>
      <c r="D43" s="185"/>
      <c r="E43" s="240"/>
      <c r="F43" s="241"/>
      <c r="G43" s="241"/>
      <c r="H43" s="241"/>
      <c r="I43" s="241"/>
      <c r="J43" s="241"/>
      <c r="K43" s="241"/>
    </row>
    <row r="44" spans="1:11" ht="15.75" customHeight="1" x14ac:dyDescent="0.25">
      <c r="A44" s="248" t="s">
        <v>185</v>
      </c>
      <c r="B44" s="250">
        <f>SUM(B39:B43)</f>
        <v>5500000</v>
      </c>
      <c r="C44" s="185"/>
      <c r="D44" s="185"/>
      <c r="E44" s="240"/>
      <c r="F44" s="241"/>
      <c r="G44" s="241"/>
      <c r="H44" s="241"/>
      <c r="I44" s="241"/>
      <c r="J44" s="241"/>
      <c r="K44" s="241"/>
    </row>
    <row r="45" spans="1:11" ht="15.75" customHeight="1" x14ac:dyDescent="0.25">
      <c r="A45" s="257"/>
      <c r="B45" s="3"/>
      <c r="C45" s="185"/>
      <c r="D45" s="185"/>
      <c r="E45" s="240"/>
      <c r="F45" s="241"/>
      <c r="G45" s="241"/>
      <c r="H45" s="241"/>
      <c r="I45" s="241"/>
      <c r="J45" s="241"/>
      <c r="K45" s="241"/>
    </row>
    <row r="46" spans="1:11" ht="15.75" customHeight="1" x14ac:dyDescent="0.25">
      <c r="A46" s="259" t="s">
        <v>186</v>
      </c>
      <c r="B46" s="3"/>
      <c r="C46" s="185"/>
      <c r="D46" s="185"/>
      <c r="E46" s="240"/>
      <c r="F46" s="241"/>
      <c r="G46" s="241"/>
      <c r="H46" s="241"/>
      <c r="I46" s="241"/>
      <c r="J46" s="241"/>
      <c r="K46" s="241"/>
    </row>
    <row r="47" spans="1:11" ht="15.75" customHeight="1" x14ac:dyDescent="0.25">
      <c r="A47" s="257" t="s">
        <v>187</v>
      </c>
      <c r="B47" s="3"/>
      <c r="C47" s="185"/>
      <c r="D47" s="185"/>
      <c r="E47" s="240"/>
      <c r="F47" s="241"/>
      <c r="G47" s="241"/>
      <c r="H47" s="241"/>
      <c r="I47" s="241"/>
      <c r="J47" s="241"/>
      <c r="K47" s="241"/>
    </row>
    <row r="48" spans="1:11" ht="15.75" customHeight="1" x14ac:dyDescent="0.25">
      <c r="A48" s="257"/>
      <c r="B48" s="3"/>
      <c r="C48" s="185"/>
      <c r="D48" s="185"/>
      <c r="E48" s="240"/>
      <c r="F48" s="241"/>
      <c r="G48" s="241"/>
      <c r="H48" s="241"/>
      <c r="I48" s="241"/>
      <c r="J48" s="241"/>
      <c r="K48" s="241"/>
    </row>
    <row r="49" spans="1:11" ht="15.75" customHeight="1" x14ac:dyDescent="0.25">
      <c r="A49" s="256"/>
      <c r="B49" s="3"/>
      <c r="C49" s="185"/>
      <c r="D49" s="185"/>
      <c r="E49" s="240"/>
      <c r="F49" s="241"/>
      <c r="G49" s="241"/>
      <c r="H49" s="241"/>
      <c r="I49" s="241"/>
      <c r="J49" s="241"/>
      <c r="K49" s="241"/>
    </row>
    <row r="50" spans="1:11" ht="15.75" customHeight="1" x14ac:dyDescent="0.25">
      <c r="A50" s="256"/>
      <c r="B50" s="3"/>
      <c r="C50" s="185"/>
      <c r="D50" s="185"/>
      <c r="E50" s="240"/>
      <c r="F50" s="241"/>
      <c r="G50" s="241"/>
      <c r="H50" s="241"/>
      <c r="I50" s="241"/>
      <c r="J50" s="241"/>
      <c r="K50" s="241"/>
    </row>
    <row r="51" spans="1:11" ht="15.75" customHeight="1" x14ac:dyDescent="0.25">
      <c r="A51" s="256"/>
      <c r="B51" s="3"/>
      <c r="C51" s="185"/>
      <c r="D51" s="185"/>
      <c r="E51" s="240"/>
      <c r="F51" s="241"/>
      <c r="G51" s="241"/>
      <c r="H51" s="241"/>
      <c r="I51" s="241"/>
      <c r="J51" s="241"/>
      <c r="K51" s="241"/>
    </row>
    <row r="52" spans="1:11" ht="15.75" customHeight="1" x14ac:dyDescent="0.25">
      <c r="A52" s="256"/>
      <c r="B52" s="3"/>
      <c r="C52" s="185"/>
      <c r="D52" s="185"/>
      <c r="E52" s="240"/>
      <c r="F52" s="241"/>
      <c r="G52" s="241"/>
      <c r="H52" s="241"/>
      <c r="I52" s="241"/>
      <c r="J52" s="241"/>
      <c r="K52" s="241"/>
    </row>
    <row r="53" spans="1:11" ht="15.75" customHeight="1" x14ac:dyDescent="0.25">
      <c r="A53" s="256"/>
      <c r="B53" s="3"/>
      <c r="C53" s="185"/>
      <c r="D53" s="185"/>
      <c r="E53" s="240"/>
      <c r="F53" s="241"/>
      <c r="G53" s="241"/>
      <c r="H53" s="241"/>
      <c r="I53" s="241"/>
      <c r="J53" s="241"/>
      <c r="K53" s="241"/>
    </row>
    <row r="54" spans="1:11" ht="15.75" customHeight="1" x14ac:dyDescent="0.25">
      <c r="A54" s="256"/>
      <c r="B54" s="3"/>
      <c r="C54" s="185"/>
      <c r="D54" s="185"/>
      <c r="E54" s="240"/>
      <c r="F54" s="241"/>
      <c r="G54" s="241"/>
      <c r="H54" s="241"/>
      <c r="I54" s="241"/>
      <c r="J54" s="241"/>
      <c r="K54" s="241"/>
    </row>
    <row r="55" spans="1:11" ht="15.75" customHeight="1" x14ac:dyDescent="0.25">
      <c r="A55" s="256"/>
      <c r="B55" s="3"/>
      <c r="C55" s="185"/>
      <c r="D55" s="185"/>
      <c r="E55" s="240"/>
      <c r="F55" s="241"/>
      <c r="G55" s="241"/>
      <c r="H55" s="241"/>
      <c r="I55" s="241"/>
      <c r="J55" s="241"/>
      <c r="K55" s="241"/>
    </row>
    <row r="56" spans="1:11" ht="15.75" customHeight="1" x14ac:dyDescent="0.25">
      <c r="A56" s="256"/>
      <c r="B56" s="3"/>
      <c r="C56" s="185"/>
      <c r="D56" s="185"/>
      <c r="E56" s="240"/>
      <c r="F56" s="241"/>
      <c r="G56" s="241"/>
      <c r="H56" s="241"/>
      <c r="I56" s="241"/>
      <c r="J56" s="241"/>
      <c r="K56" s="241"/>
    </row>
    <row r="57" spans="1:11" ht="15.75" customHeight="1" x14ac:dyDescent="0.25">
      <c r="A57" s="256"/>
      <c r="B57" s="3"/>
      <c r="C57" s="185"/>
      <c r="D57" s="185"/>
      <c r="E57" s="240"/>
      <c r="F57" s="241"/>
      <c r="G57" s="241"/>
      <c r="H57" s="241"/>
      <c r="I57" s="241"/>
      <c r="J57" s="241"/>
      <c r="K57" s="241"/>
    </row>
    <row r="58" spans="1:11" ht="15.75" customHeight="1" x14ac:dyDescent="0.25">
      <c r="A58" s="256"/>
      <c r="B58" s="3"/>
      <c r="C58" s="185"/>
      <c r="D58" s="185"/>
      <c r="E58" s="240"/>
      <c r="F58" s="241"/>
      <c r="G58" s="241"/>
      <c r="H58" s="241"/>
      <c r="I58" s="241"/>
      <c r="J58" s="241"/>
      <c r="K58" s="241"/>
    </row>
    <row r="59" spans="1:11" ht="15.75" customHeight="1" x14ac:dyDescent="0.25">
      <c r="A59" s="256"/>
      <c r="B59" s="3"/>
      <c r="C59" s="185"/>
      <c r="D59" s="185"/>
      <c r="E59" s="240"/>
      <c r="F59" s="241"/>
      <c r="G59" s="241"/>
      <c r="H59" s="241"/>
      <c r="I59" s="241"/>
      <c r="J59" s="241"/>
      <c r="K59" s="241"/>
    </row>
    <row r="60" spans="1:11" ht="15.75" customHeight="1" x14ac:dyDescent="0.25">
      <c r="A60" s="256"/>
      <c r="B60" s="3"/>
      <c r="C60" s="185"/>
      <c r="D60" s="185"/>
      <c r="E60" s="240"/>
      <c r="F60" s="241"/>
      <c r="G60" s="241"/>
      <c r="H60" s="241"/>
      <c r="I60" s="241"/>
      <c r="J60" s="241"/>
      <c r="K60" s="241"/>
    </row>
    <row r="61" spans="1:11" ht="15.75" customHeight="1" x14ac:dyDescent="0.25">
      <c r="A61" s="256"/>
      <c r="B61" s="3"/>
      <c r="C61" s="185"/>
      <c r="D61" s="185"/>
      <c r="E61" s="240"/>
      <c r="F61" s="241"/>
      <c r="G61" s="241"/>
      <c r="H61" s="241"/>
      <c r="I61" s="241"/>
      <c r="J61" s="241"/>
      <c r="K61" s="241"/>
    </row>
    <row r="62" spans="1:11" ht="15.75" customHeight="1" x14ac:dyDescent="0.25">
      <c r="A62" s="256"/>
      <c r="B62" s="3"/>
      <c r="C62" s="185"/>
      <c r="D62" s="185"/>
      <c r="E62" s="240"/>
      <c r="F62" s="241"/>
      <c r="G62" s="241"/>
      <c r="H62" s="241"/>
      <c r="I62" s="241"/>
      <c r="J62" s="241"/>
      <c r="K62" s="241"/>
    </row>
    <row r="63" spans="1:11" ht="15.75" customHeight="1" x14ac:dyDescent="0.25">
      <c r="A63" s="256"/>
      <c r="B63" s="3"/>
      <c r="C63" s="185"/>
      <c r="D63" s="185"/>
      <c r="E63" s="240"/>
      <c r="F63" s="241"/>
      <c r="G63" s="241"/>
      <c r="H63" s="241"/>
      <c r="I63" s="241"/>
      <c r="J63" s="241"/>
      <c r="K63" s="241"/>
    </row>
    <row r="64" spans="1:11" ht="15.75" customHeight="1" x14ac:dyDescent="0.25">
      <c r="A64" s="256"/>
      <c r="B64" s="3"/>
      <c r="C64" s="185"/>
      <c r="D64" s="185"/>
      <c r="E64" s="240"/>
      <c r="F64" s="241"/>
      <c r="G64" s="241"/>
      <c r="H64" s="241"/>
      <c r="I64" s="241"/>
      <c r="J64" s="241"/>
      <c r="K64" s="241"/>
    </row>
    <row r="65" spans="1:11" ht="15.75" customHeight="1" x14ac:dyDescent="0.25">
      <c r="A65" s="256"/>
      <c r="B65" s="3"/>
      <c r="C65" s="185"/>
      <c r="D65" s="185"/>
      <c r="E65" s="240"/>
      <c r="F65" s="241"/>
      <c r="G65" s="241"/>
      <c r="H65" s="241"/>
      <c r="I65" s="241"/>
      <c r="J65" s="241"/>
      <c r="K65" s="241"/>
    </row>
    <row r="66" spans="1:11" ht="15.75" customHeight="1" x14ac:dyDescent="0.25">
      <c r="A66" s="256"/>
      <c r="B66" s="3"/>
      <c r="C66" s="185"/>
      <c r="D66" s="185"/>
      <c r="E66" s="240"/>
      <c r="F66" s="241"/>
      <c r="G66" s="241"/>
      <c r="H66" s="241"/>
      <c r="I66" s="241"/>
      <c r="J66" s="241"/>
      <c r="K66" s="241"/>
    </row>
    <row r="67" spans="1:11" ht="15.75" customHeight="1" x14ac:dyDescent="0.25">
      <c r="A67" s="256"/>
      <c r="B67" s="3"/>
      <c r="C67" s="185"/>
      <c r="D67" s="185"/>
      <c r="E67" s="240"/>
      <c r="F67" s="241"/>
      <c r="G67" s="241"/>
      <c r="H67" s="241"/>
      <c r="I67" s="241"/>
      <c r="J67" s="241"/>
      <c r="K67" s="241"/>
    </row>
    <row r="68" spans="1:11" ht="15.75" customHeight="1" x14ac:dyDescent="0.25">
      <c r="A68" s="256"/>
      <c r="B68" s="3"/>
      <c r="C68" s="185"/>
      <c r="D68" s="185"/>
      <c r="E68" s="240"/>
      <c r="F68" s="241"/>
      <c r="G68" s="241"/>
      <c r="H68" s="241"/>
      <c r="I68" s="241"/>
      <c r="J68" s="241"/>
      <c r="K68" s="241"/>
    </row>
    <row r="69" spans="1:11" ht="15.75" customHeight="1" x14ac:dyDescent="0.25">
      <c r="A69" s="256"/>
      <c r="B69" s="3"/>
      <c r="C69" s="185"/>
      <c r="D69" s="185"/>
      <c r="E69" s="240"/>
      <c r="F69" s="241"/>
      <c r="G69" s="241"/>
      <c r="H69" s="241"/>
      <c r="I69" s="241"/>
      <c r="J69" s="241"/>
      <c r="K69" s="241"/>
    </row>
    <row r="70" spans="1:11" ht="15.75" customHeight="1" x14ac:dyDescent="0.25">
      <c r="A70" s="256"/>
      <c r="B70" s="3"/>
      <c r="C70" s="185"/>
      <c r="D70" s="185"/>
      <c r="E70" s="240"/>
      <c r="F70" s="241"/>
      <c r="G70" s="241"/>
      <c r="H70" s="241"/>
      <c r="I70" s="241"/>
      <c r="J70" s="241"/>
      <c r="K70" s="241"/>
    </row>
    <row r="71" spans="1:11" ht="15.75" customHeight="1" x14ac:dyDescent="0.25">
      <c r="A71" s="256"/>
      <c r="B71" s="3"/>
      <c r="C71" s="185"/>
      <c r="D71" s="185"/>
      <c r="E71" s="240"/>
      <c r="F71" s="241"/>
      <c r="G71" s="241"/>
      <c r="H71" s="241"/>
      <c r="I71" s="241"/>
      <c r="J71" s="241"/>
      <c r="K71" s="241"/>
    </row>
    <row r="72" spans="1:11" ht="15.75" customHeight="1" x14ac:dyDescent="0.25">
      <c r="A72" s="256"/>
      <c r="B72" s="3"/>
      <c r="C72" s="185"/>
      <c r="D72" s="185"/>
      <c r="E72" s="240"/>
      <c r="F72" s="241"/>
      <c r="G72" s="241"/>
      <c r="H72" s="241"/>
      <c r="I72" s="241"/>
      <c r="J72" s="241"/>
      <c r="K72" s="241"/>
    </row>
    <row r="73" spans="1:11" ht="15.75" customHeight="1" x14ac:dyDescent="0.25">
      <c r="A73" s="256"/>
      <c r="B73" s="3"/>
      <c r="C73" s="185"/>
      <c r="D73" s="185"/>
      <c r="E73" s="240"/>
      <c r="F73" s="241"/>
      <c r="G73" s="241"/>
      <c r="H73" s="241"/>
      <c r="I73" s="241"/>
      <c r="J73" s="241"/>
      <c r="K73" s="241"/>
    </row>
    <row r="74" spans="1:11" ht="15.75" customHeight="1" x14ac:dyDescent="0.25">
      <c r="A74" s="256"/>
      <c r="B74" s="3"/>
      <c r="C74" s="185"/>
      <c r="D74" s="185"/>
      <c r="E74" s="240"/>
      <c r="F74" s="241"/>
      <c r="G74" s="241"/>
      <c r="H74" s="241"/>
      <c r="I74" s="241"/>
      <c r="J74" s="241"/>
      <c r="K74" s="241"/>
    </row>
    <row r="75" spans="1:11" ht="15.75" customHeight="1" x14ac:dyDescent="0.25">
      <c r="A75" s="256"/>
      <c r="B75" s="3"/>
      <c r="C75" s="185"/>
      <c r="D75" s="185"/>
      <c r="E75" s="240"/>
      <c r="F75" s="241"/>
      <c r="G75" s="241"/>
      <c r="H75" s="241"/>
      <c r="I75" s="241"/>
      <c r="J75" s="241"/>
      <c r="K75" s="241"/>
    </row>
    <row r="76" spans="1:11" ht="15.75" customHeight="1" x14ac:dyDescent="0.25">
      <c r="A76" s="256"/>
      <c r="B76" s="3"/>
      <c r="C76" s="185"/>
      <c r="D76" s="185"/>
      <c r="E76" s="240"/>
      <c r="F76" s="241"/>
      <c r="G76" s="241"/>
      <c r="H76" s="241"/>
      <c r="I76" s="241"/>
      <c r="J76" s="241"/>
      <c r="K76" s="241"/>
    </row>
    <row r="77" spans="1:11" ht="15.75" customHeight="1" x14ac:dyDescent="0.25">
      <c r="A77" s="256"/>
      <c r="B77" s="3"/>
      <c r="C77" s="185"/>
      <c r="D77" s="185"/>
      <c r="E77" s="240"/>
      <c r="F77" s="241"/>
      <c r="G77" s="241"/>
      <c r="H77" s="241"/>
      <c r="I77" s="241"/>
      <c r="J77" s="241"/>
      <c r="K77" s="241"/>
    </row>
    <row r="78" spans="1:11" ht="15.75" customHeight="1" x14ac:dyDescent="0.25">
      <c r="A78" s="256"/>
      <c r="B78" s="3"/>
      <c r="C78" s="185"/>
      <c r="D78" s="185"/>
      <c r="E78" s="240"/>
      <c r="F78" s="241"/>
      <c r="G78" s="241"/>
      <c r="H78" s="241"/>
      <c r="I78" s="241"/>
      <c r="J78" s="241"/>
      <c r="K78" s="241"/>
    </row>
    <row r="79" spans="1:11" ht="15.75" customHeight="1" x14ac:dyDescent="0.25">
      <c r="A79" s="256"/>
      <c r="B79" s="3"/>
      <c r="C79" s="185"/>
      <c r="D79" s="185"/>
      <c r="E79" s="240"/>
      <c r="F79" s="241"/>
      <c r="G79" s="241"/>
      <c r="H79" s="241"/>
      <c r="I79" s="241"/>
      <c r="J79" s="241"/>
      <c r="K79" s="241"/>
    </row>
    <row r="80" spans="1:11" ht="15.75" customHeight="1" x14ac:dyDescent="0.25">
      <c r="A80" s="256"/>
      <c r="B80" s="3"/>
      <c r="C80" s="185"/>
      <c r="D80" s="185"/>
      <c r="E80" s="240"/>
      <c r="F80" s="241"/>
      <c r="G80" s="241"/>
      <c r="H80" s="241"/>
      <c r="I80" s="241"/>
      <c r="J80" s="241"/>
      <c r="K80" s="241"/>
    </row>
    <row r="81" spans="1:11" ht="15.75" customHeight="1" x14ac:dyDescent="0.25">
      <c r="A81" s="256"/>
      <c r="B81" s="3"/>
      <c r="C81" s="185"/>
      <c r="D81" s="185"/>
      <c r="E81" s="240"/>
      <c r="F81" s="241"/>
      <c r="G81" s="241"/>
      <c r="H81" s="241"/>
      <c r="I81" s="241"/>
      <c r="J81" s="241"/>
      <c r="K81" s="241"/>
    </row>
    <row r="82" spans="1:11" ht="15.75" customHeight="1" x14ac:dyDescent="0.25">
      <c r="A82" s="256"/>
      <c r="B82" s="3"/>
      <c r="C82" s="185"/>
      <c r="D82" s="185"/>
      <c r="E82" s="240"/>
      <c r="F82" s="241"/>
      <c r="G82" s="241"/>
      <c r="H82" s="241"/>
      <c r="I82" s="241"/>
      <c r="J82" s="241"/>
      <c r="K82" s="241"/>
    </row>
    <row r="83" spans="1:11" ht="15.75" customHeight="1" x14ac:dyDescent="0.25">
      <c r="A83" s="256"/>
      <c r="B83" s="3"/>
      <c r="C83" s="185"/>
      <c r="D83" s="185"/>
      <c r="E83" s="240"/>
      <c r="F83" s="241"/>
      <c r="G83" s="241"/>
      <c r="H83" s="241"/>
      <c r="I83" s="241"/>
      <c r="J83" s="241"/>
      <c r="K83" s="241"/>
    </row>
    <row r="84" spans="1:11" ht="15.75" customHeight="1" x14ac:dyDescent="0.25">
      <c r="A84" s="256"/>
      <c r="B84" s="3"/>
      <c r="C84" s="185"/>
      <c r="D84" s="185"/>
      <c r="E84" s="240"/>
      <c r="F84" s="241"/>
      <c r="G84" s="241"/>
      <c r="H84" s="241"/>
      <c r="I84" s="241"/>
      <c r="J84" s="241"/>
      <c r="K84" s="241"/>
    </row>
    <row r="85" spans="1:11" ht="15.75" customHeight="1" x14ac:dyDescent="0.25">
      <c r="A85" s="256"/>
      <c r="B85" s="3"/>
      <c r="C85" s="185"/>
      <c r="D85" s="185"/>
      <c r="E85" s="240"/>
      <c r="F85" s="241"/>
      <c r="G85" s="241"/>
      <c r="H85" s="241"/>
      <c r="I85" s="241"/>
      <c r="J85" s="241"/>
      <c r="K85" s="241"/>
    </row>
    <row r="86" spans="1:11" ht="15.75" customHeight="1" x14ac:dyDescent="0.25">
      <c r="A86" s="256"/>
      <c r="B86" s="3"/>
      <c r="C86" s="185"/>
      <c r="D86" s="185"/>
      <c r="E86" s="240"/>
      <c r="F86" s="241"/>
      <c r="G86" s="241"/>
      <c r="H86" s="241"/>
      <c r="I86" s="241"/>
      <c r="J86" s="241"/>
      <c r="K86" s="241"/>
    </row>
    <row r="87" spans="1:11" ht="15.75" customHeight="1" x14ac:dyDescent="0.25">
      <c r="A87" s="256"/>
      <c r="B87" s="3"/>
      <c r="C87" s="185"/>
      <c r="D87" s="185"/>
      <c r="E87" s="240"/>
      <c r="F87" s="241"/>
      <c r="G87" s="241"/>
      <c r="H87" s="241"/>
      <c r="I87" s="241"/>
      <c r="J87" s="241"/>
      <c r="K87" s="241"/>
    </row>
    <row r="88" spans="1:11" ht="15.75" customHeight="1" x14ac:dyDescent="0.25">
      <c r="A88" s="256"/>
      <c r="B88" s="3"/>
      <c r="C88" s="185"/>
      <c r="D88" s="185"/>
      <c r="E88" s="240"/>
      <c r="F88" s="241"/>
      <c r="G88" s="241"/>
      <c r="H88" s="241"/>
      <c r="I88" s="241"/>
      <c r="J88" s="241"/>
      <c r="K88" s="241"/>
    </row>
    <row r="89" spans="1:11" ht="15.75" customHeight="1" x14ac:dyDescent="0.25">
      <c r="A89" s="256"/>
      <c r="B89" s="3"/>
      <c r="C89" s="185"/>
      <c r="D89" s="185"/>
      <c r="E89" s="240"/>
      <c r="F89" s="241"/>
      <c r="G89" s="241"/>
      <c r="H89" s="241"/>
      <c r="I89" s="241"/>
      <c r="J89" s="241"/>
      <c r="K89" s="241"/>
    </row>
    <row r="90" spans="1:11" ht="15.75" customHeight="1" x14ac:dyDescent="0.25">
      <c r="A90" s="256"/>
      <c r="B90" s="3"/>
      <c r="C90" s="185"/>
      <c r="D90" s="185"/>
      <c r="E90" s="240"/>
      <c r="F90" s="241"/>
      <c r="G90" s="241"/>
      <c r="H90" s="241"/>
      <c r="I90" s="241"/>
      <c r="J90" s="241"/>
      <c r="K90" s="241"/>
    </row>
    <row r="91" spans="1:11" ht="15.75" customHeight="1" x14ac:dyDescent="0.25">
      <c r="A91" s="256"/>
      <c r="B91" s="3"/>
      <c r="C91" s="185"/>
      <c r="D91" s="185"/>
      <c r="E91" s="240"/>
      <c r="F91" s="241"/>
      <c r="G91" s="241"/>
      <c r="H91" s="241"/>
      <c r="I91" s="241"/>
      <c r="J91" s="241"/>
      <c r="K91" s="241"/>
    </row>
    <row r="92" spans="1:11" ht="15.75" customHeight="1" x14ac:dyDescent="0.25">
      <c r="A92" s="256"/>
      <c r="B92" s="3"/>
      <c r="C92" s="185"/>
      <c r="D92" s="185"/>
      <c r="E92" s="240"/>
      <c r="F92" s="241"/>
      <c r="G92" s="241"/>
      <c r="H92" s="241"/>
      <c r="I92" s="241"/>
      <c r="J92" s="241"/>
      <c r="K92" s="241"/>
    </row>
    <row r="93" spans="1:11" ht="15.75" customHeight="1" x14ac:dyDescent="0.25">
      <c r="A93" s="256"/>
      <c r="B93" s="3"/>
      <c r="C93" s="185"/>
      <c r="D93" s="185"/>
      <c r="E93" s="240"/>
      <c r="F93" s="241"/>
      <c r="G93" s="241"/>
      <c r="H93" s="241"/>
      <c r="I93" s="241"/>
      <c r="J93" s="241"/>
      <c r="K93" s="241"/>
    </row>
    <row r="94" spans="1:11" ht="15.75" customHeight="1" x14ac:dyDescent="0.25">
      <c r="A94" s="256"/>
      <c r="B94" s="3"/>
      <c r="C94" s="185"/>
      <c r="D94" s="185"/>
      <c r="E94" s="240"/>
      <c r="F94" s="241"/>
      <c r="G94" s="241"/>
      <c r="H94" s="241"/>
      <c r="I94" s="241"/>
      <c r="J94" s="241"/>
      <c r="K94" s="241"/>
    </row>
    <row r="95" spans="1:11" ht="15.75" customHeight="1" x14ac:dyDescent="0.25">
      <c r="A95" s="256"/>
      <c r="B95" s="3"/>
      <c r="C95" s="185"/>
      <c r="D95" s="185"/>
      <c r="E95" s="240"/>
      <c r="F95" s="241"/>
      <c r="G95" s="241"/>
      <c r="H95" s="241"/>
      <c r="I95" s="241"/>
      <c r="J95" s="241"/>
      <c r="K95" s="241"/>
    </row>
    <row r="96" spans="1:11" ht="15.75" customHeight="1" x14ac:dyDescent="0.25">
      <c r="A96" s="256"/>
      <c r="B96" s="3"/>
      <c r="C96" s="185"/>
      <c r="D96" s="185"/>
      <c r="E96" s="240"/>
      <c r="F96" s="241"/>
      <c r="G96" s="241"/>
      <c r="H96" s="241"/>
      <c r="I96" s="241"/>
      <c r="J96" s="241"/>
      <c r="K96" s="241"/>
    </row>
    <row r="97" spans="1:11" ht="15.75" customHeight="1" x14ac:dyDescent="0.25">
      <c r="A97" s="256"/>
      <c r="B97" s="3"/>
      <c r="C97" s="185"/>
      <c r="D97" s="185"/>
      <c r="E97" s="240"/>
      <c r="F97" s="241"/>
      <c r="G97" s="241"/>
      <c r="H97" s="241"/>
      <c r="I97" s="241"/>
      <c r="J97" s="241"/>
      <c r="K97" s="241"/>
    </row>
    <row r="98" spans="1:11" ht="15.75" customHeight="1" x14ac:dyDescent="0.25">
      <c r="A98" s="256"/>
      <c r="B98" s="3"/>
      <c r="C98" s="185"/>
      <c r="D98" s="185"/>
      <c r="E98" s="240"/>
      <c r="F98" s="241"/>
      <c r="G98" s="241"/>
      <c r="H98" s="241"/>
      <c r="I98" s="241"/>
      <c r="J98" s="241"/>
      <c r="K98" s="241"/>
    </row>
    <row r="99" spans="1:11" ht="15.75" customHeight="1" x14ac:dyDescent="0.25">
      <c r="A99" s="256"/>
      <c r="B99" s="3"/>
      <c r="C99" s="185"/>
      <c r="D99" s="185"/>
      <c r="E99" s="240"/>
      <c r="F99" s="241"/>
      <c r="G99" s="241"/>
      <c r="H99" s="241"/>
      <c r="I99" s="241"/>
      <c r="J99" s="241"/>
      <c r="K99" s="241"/>
    </row>
    <row r="100" spans="1:11" ht="15.75" customHeight="1" x14ac:dyDescent="0.25">
      <c r="A100" s="256"/>
      <c r="B100" s="3"/>
      <c r="C100" s="185"/>
      <c r="D100" s="185"/>
      <c r="E100" s="240"/>
      <c r="F100" s="241"/>
      <c r="G100" s="241"/>
      <c r="H100" s="241"/>
      <c r="I100" s="241"/>
      <c r="J100" s="241"/>
      <c r="K100" s="241"/>
    </row>
    <row r="101" spans="1:11" ht="15.75" customHeight="1" x14ac:dyDescent="0.25">
      <c r="A101" s="256"/>
      <c r="B101" s="3"/>
      <c r="C101" s="185"/>
      <c r="D101" s="185"/>
      <c r="E101" s="240"/>
      <c r="F101" s="241"/>
      <c r="G101" s="241"/>
      <c r="H101" s="241"/>
      <c r="I101" s="241"/>
      <c r="J101" s="241"/>
      <c r="K101" s="241"/>
    </row>
    <row r="102" spans="1:11" ht="15.75" customHeight="1" x14ac:dyDescent="0.25">
      <c r="A102" s="256"/>
      <c r="B102" s="3"/>
      <c r="C102" s="185"/>
      <c r="D102" s="185"/>
      <c r="E102" s="240"/>
      <c r="F102" s="241"/>
      <c r="G102" s="241"/>
      <c r="H102" s="241"/>
      <c r="I102" s="241"/>
      <c r="J102" s="241"/>
      <c r="K102" s="241"/>
    </row>
    <row r="103" spans="1:11" ht="15.75" customHeight="1" x14ac:dyDescent="0.25">
      <c r="A103" s="256"/>
      <c r="B103" s="3"/>
      <c r="C103" s="185"/>
      <c r="D103" s="185"/>
      <c r="E103" s="240"/>
      <c r="F103" s="241"/>
      <c r="G103" s="241"/>
      <c r="H103" s="241"/>
      <c r="I103" s="241"/>
      <c r="J103" s="241"/>
      <c r="K103" s="241"/>
    </row>
    <row r="104" spans="1:11" ht="15.75" customHeight="1" x14ac:dyDescent="0.25">
      <c r="A104" s="256"/>
      <c r="B104" s="3"/>
      <c r="C104" s="185"/>
      <c r="D104" s="185"/>
      <c r="E104" s="240"/>
      <c r="F104" s="241"/>
      <c r="G104" s="241"/>
      <c r="H104" s="241"/>
      <c r="I104" s="241"/>
      <c r="J104" s="241"/>
      <c r="K104" s="241"/>
    </row>
    <row r="105" spans="1:11" ht="15.75" customHeight="1" x14ac:dyDescent="0.25">
      <c r="A105" s="256"/>
      <c r="B105" s="3"/>
      <c r="C105" s="185"/>
      <c r="D105" s="185"/>
      <c r="E105" s="240"/>
      <c r="F105" s="241"/>
      <c r="G105" s="241"/>
      <c r="H105" s="241"/>
      <c r="I105" s="241"/>
      <c r="J105" s="241"/>
      <c r="K105" s="241"/>
    </row>
    <row r="106" spans="1:11" ht="15.75" customHeight="1" x14ac:dyDescent="0.25">
      <c r="A106" s="256"/>
      <c r="B106" s="3"/>
      <c r="C106" s="185"/>
      <c r="D106" s="185"/>
      <c r="E106" s="240"/>
      <c r="F106" s="241"/>
      <c r="G106" s="241"/>
      <c r="H106" s="241"/>
      <c r="I106" s="241"/>
      <c r="J106" s="241"/>
      <c r="K106" s="241"/>
    </row>
    <row r="107" spans="1:11" ht="15.75" customHeight="1" x14ac:dyDescent="0.25">
      <c r="A107" s="256"/>
      <c r="B107" s="3"/>
      <c r="C107" s="185"/>
      <c r="D107" s="185"/>
      <c r="E107" s="240"/>
      <c r="F107" s="241"/>
      <c r="G107" s="241"/>
      <c r="H107" s="241"/>
      <c r="I107" s="241"/>
      <c r="J107" s="241"/>
      <c r="K107" s="241"/>
    </row>
    <row r="108" spans="1:11" ht="15.75" customHeight="1" x14ac:dyDescent="0.25">
      <c r="A108" s="256"/>
      <c r="B108" s="3"/>
      <c r="C108" s="185"/>
      <c r="D108" s="185"/>
      <c r="E108" s="240"/>
      <c r="F108" s="241"/>
      <c r="G108" s="241"/>
      <c r="H108" s="241"/>
      <c r="I108" s="241"/>
      <c r="J108" s="241"/>
      <c r="K108" s="241"/>
    </row>
    <row r="109" spans="1:11" ht="15.75" customHeight="1" x14ac:dyDescent="0.25">
      <c r="A109" s="256"/>
      <c r="B109" s="3"/>
      <c r="C109" s="185"/>
      <c r="D109" s="185"/>
      <c r="E109" s="240"/>
      <c r="F109" s="241"/>
      <c r="G109" s="241"/>
      <c r="H109" s="241"/>
      <c r="I109" s="241"/>
      <c r="J109" s="241"/>
      <c r="K109" s="241"/>
    </row>
    <row r="110" spans="1:11" ht="15.75" customHeight="1" x14ac:dyDescent="0.25">
      <c r="A110" s="256"/>
      <c r="B110" s="3"/>
      <c r="C110" s="185"/>
      <c r="D110" s="185"/>
      <c r="E110" s="240"/>
      <c r="F110" s="241"/>
      <c r="G110" s="241"/>
      <c r="H110" s="241"/>
      <c r="I110" s="241"/>
      <c r="J110" s="241"/>
      <c r="K110" s="241"/>
    </row>
    <row r="111" spans="1:11" ht="15.75" customHeight="1" x14ac:dyDescent="0.25">
      <c r="A111" s="256"/>
      <c r="B111" s="3"/>
      <c r="C111" s="185"/>
      <c r="D111" s="185"/>
      <c r="E111" s="240"/>
      <c r="F111" s="241"/>
      <c r="G111" s="241"/>
      <c r="H111" s="241"/>
      <c r="I111" s="241"/>
      <c r="J111" s="241"/>
      <c r="K111" s="241"/>
    </row>
    <row r="112" spans="1:11" ht="15.75" customHeight="1" x14ac:dyDescent="0.25">
      <c r="A112" s="256"/>
      <c r="B112" s="3"/>
      <c r="C112" s="185"/>
      <c r="D112" s="185"/>
      <c r="E112" s="240"/>
      <c r="F112" s="241"/>
      <c r="G112" s="241"/>
      <c r="H112" s="241"/>
      <c r="I112" s="241"/>
      <c r="J112" s="241"/>
      <c r="K112" s="241"/>
    </row>
    <row r="113" spans="1:11" ht="15.75" customHeight="1" x14ac:dyDescent="0.25">
      <c r="A113" s="256"/>
      <c r="B113" s="3"/>
      <c r="C113" s="185"/>
      <c r="D113" s="185"/>
      <c r="E113" s="240"/>
      <c r="F113" s="241"/>
      <c r="G113" s="241"/>
      <c r="H113" s="241"/>
      <c r="I113" s="241"/>
      <c r="J113" s="241"/>
      <c r="K113" s="241"/>
    </row>
    <row r="114" spans="1:11" ht="15.75" customHeight="1" x14ac:dyDescent="0.25">
      <c r="A114" s="256"/>
      <c r="B114" s="3"/>
      <c r="C114" s="185"/>
      <c r="D114" s="185"/>
      <c r="E114" s="240"/>
      <c r="F114" s="241"/>
      <c r="G114" s="241"/>
      <c r="H114" s="241"/>
      <c r="I114" s="241"/>
      <c r="J114" s="241"/>
      <c r="K114" s="241"/>
    </row>
    <row r="115" spans="1:11" ht="15.75" customHeight="1" x14ac:dyDescent="0.25">
      <c r="A115" s="256"/>
      <c r="B115" s="3"/>
      <c r="C115" s="185"/>
      <c r="D115" s="185"/>
      <c r="E115" s="240"/>
      <c r="F115" s="241"/>
      <c r="G115" s="241"/>
      <c r="H115" s="241"/>
      <c r="I115" s="241"/>
      <c r="J115" s="241"/>
      <c r="K115" s="241"/>
    </row>
    <row r="116" spans="1:11" ht="15.75" customHeight="1" x14ac:dyDescent="0.25">
      <c r="A116" s="256"/>
      <c r="B116" s="3"/>
      <c r="C116" s="185"/>
      <c r="D116" s="185"/>
      <c r="E116" s="240"/>
      <c r="F116" s="241"/>
      <c r="G116" s="241"/>
      <c r="H116" s="241"/>
      <c r="I116" s="241"/>
      <c r="J116" s="241"/>
      <c r="K116" s="241"/>
    </row>
    <row r="117" spans="1:11" ht="15.75" customHeight="1" x14ac:dyDescent="0.2">
      <c r="A117" s="260"/>
      <c r="B117" s="261"/>
      <c r="C117" s="262"/>
      <c r="D117" s="262"/>
      <c r="E117" s="241"/>
      <c r="F117" s="241"/>
      <c r="G117" s="241"/>
      <c r="H117" s="241"/>
      <c r="I117" s="241"/>
      <c r="J117" s="241"/>
      <c r="K117" s="241"/>
    </row>
    <row r="118" spans="1:11" ht="15.75" customHeight="1" x14ac:dyDescent="0.2">
      <c r="A118" s="260"/>
      <c r="B118" s="261"/>
      <c r="C118" s="262"/>
      <c r="D118" s="262"/>
      <c r="E118" s="241"/>
      <c r="F118" s="241"/>
      <c r="G118" s="241"/>
      <c r="H118" s="241"/>
      <c r="I118" s="241"/>
      <c r="J118" s="241"/>
      <c r="K118" s="241"/>
    </row>
    <row r="119" spans="1:11" ht="15.75" customHeight="1" x14ac:dyDescent="0.2">
      <c r="A119" s="260"/>
      <c r="B119" s="261"/>
      <c r="C119" s="262"/>
      <c r="D119" s="262"/>
      <c r="E119" s="241"/>
      <c r="F119" s="241"/>
      <c r="G119" s="241"/>
      <c r="H119" s="241"/>
      <c r="I119" s="241"/>
      <c r="J119" s="241"/>
      <c r="K119" s="241"/>
    </row>
    <row r="120" spans="1:11" ht="15.75" customHeight="1" x14ac:dyDescent="0.2">
      <c r="A120" s="260"/>
      <c r="B120" s="261"/>
      <c r="C120" s="262"/>
      <c r="D120" s="262"/>
      <c r="E120" s="241"/>
      <c r="F120" s="241"/>
      <c r="G120" s="241"/>
      <c r="H120" s="241"/>
      <c r="I120" s="241"/>
      <c r="J120" s="241"/>
      <c r="K120" s="241"/>
    </row>
    <row r="121" spans="1:11" ht="15.75" customHeight="1" x14ac:dyDescent="0.2">
      <c r="A121" s="260"/>
      <c r="B121" s="261"/>
      <c r="C121" s="262"/>
      <c r="D121" s="262"/>
      <c r="E121" s="241"/>
      <c r="F121" s="241"/>
      <c r="G121" s="241"/>
      <c r="H121" s="241"/>
      <c r="I121" s="241"/>
      <c r="J121" s="241"/>
      <c r="K121" s="241"/>
    </row>
    <row r="122" spans="1:11" ht="15.75" customHeight="1" x14ac:dyDescent="0.2">
      <c r="A122" s="260"/>
      <c r="B122" s="261"/>
      <c r="C122" s="262"/>
      <c r="D122" s="262"/>
      <c r="E122" s="241"/>
      <c r="F122" s="241"/>
      <c r="G122" s="241"/>
      <c r="H122" s="241"/>
      <c r="I122" s="241"/>
      <c r="J122" s="241"/>
      <c r="K122" s="241"/>
    </row>
    <row r="123" spans="1:11" ht="15.75" customHeight="1" x14ac:dyDescent="0.2">
      <c r="A123" s="260"/>
      <c r="B123" s="261"/>
      <c r="C123" s="262"/>
      <c r="D123" s="262"/>
      <c r="E123" s="241"/>
      <c r="F123" s="241"/>
      <c r="G123" s="241"/>
      <c r="H123" s="241"/>
      <c r="I123" s="241"/>
      <c r="J123" s="241"/>
      <c r="K123" s="241"/>
    </row>
    <row r="124" spans="1:11" ht="15.75" customHeight="1" x14ac:dyDescent="0.2">
      <c r="A124" s="260"/>
      <c r="B124" s="261"/>
      <c r="C124" s="262"/>
      <c r="D124" s="262"/>
      <c r="E124" s="241"/>
      <c r="F124" s="241"/>
      <c r="G124" s="241"/>
      <c r="H124" s="241"/>
      <c r="I124" s="241"/>
      <c r="J124" s="241"/>
      <c r="K124" s="241"/>
    </row>
    <row r="125" spans="1:11" ht="15.75" customHeight="1" x14ac:dyDescent="0.2">
      <c r="A125" s="260"/>
      <c r="B125" s="261"/>
      <c r="C125" s="262"/>
      <c r="D125" s="262"/>
      <c r="E125" s="241"/>
      <c r="F125" s="241"/>
      <c r="G125" s="241"/>
      <c r="H125" s="241"/>
      <c r="I125" s="241"/>
      <c r="J125" s="241"/>
      <c r="K125" s="241"/>
    </row>
    <row r="126" spans="1:11" ht="15.75" customHeight="1" x14ac:dyDescent="0.2">
      <c r="A126" s="260"/>
      <c r="B126" s="261"/>
      <c r="C126" s="262"/>
      <c r="D126" s="262"/>
      <c r="E126" s="241"/>
      <c r="F126" s="241"/>
      <c r="G126" s="241"/>
      <c r="H126" s="241"/>
      <c r="I126" s="241"/>
      <c r="J126" s="241"/>
      <c r="K126" s="241"/>
    </row>
    <row r="127" spans="1:11" ht="15.75" customHeight="1" x14ac:dyDescent="0.2">
      <c r="A127" s="260"/>
      <c r="B127" s="261"/>
      <c r="C127" s="262"/>
      <c r="D127" s="262"/>
      <c r="E127" s="241"/>
      <c r="F127" s="241"/>
      <c r="G127" s="241"/>
      <c r="H127" s="241"/>
      <c r="I127" s="241"/>
      <c r="J127" s="241"/>
      <c r="K127" s="241"/>
    </row>
    <row r="128" spans="1:11" ht="15.75" customHeight="1" x14ac:dyDescent="0.2">
      <c r="A128" s="260"/>
      <c r="B128" s="261"/>
      <c r="C128" s="262"/>
      <c r="D128" s="262"/>
      <c r="E128" s="241"/>
      <c r="F128" s="241"/>
      <c r="G128" s="241"/>
      <c r="H128" s="241"/>
      <c r="I128" s="241"/>
      <c r="J128" s="241"/>
      <c r="K128" s="241"/>
    </row>
    <row r="129" spans="1:11" ht="15.75" customHeight="1" x14ac:dyDescent="0.2">
      <c r="A129" s="260"/>
      <c r="B129" s="261"/>
      <c r="C129" s="262"/>
      <c r="D129" s="262"/>
      <c r="E129" s="241"/>
      <c r="F129" s="241"/>
      <c r="G129" s="241"/>
      <c r="H129" s="241"/>
      <c r="I129" s="241"/>
      <c r="J129" s="241"/>
      <c r="K129" s="241"/>
    </row>
    <row r="130" spans="1:11" ht="15.75" customHeight="1" x14ac:dyDescent="0.2">
      <c r="A130" s="260"/>
      <c r="B130" s="261"/>
      <c r="C130" s="262"/>
      <c r="D130" s="262"/>
      <c r="E130" s="241"/>
      <c r="F130" s="241"/>
      <c r="G130" s="241"/>
      <c r="H130" s="241"/>
      <c r="I130" s="241"/>
      <c r="J130" s="241"/>
      <c r="K130" s="241"/>
    </row>
    <row r="131" spans="1:11" ht="15.75" customHeight="1" x14ac:dyDescent="0.2">
      <c r="A131" s="260"/>
      <c r="B131" s="261"/>
      <c r="C131" s="262"/>
      <c r="D131" s="262"/>
      <c r="E131" s="241"/>
      <c r="F131" s="241"/>
      <c r="G131" s="241"/>
      <c r="H131" s="241"/>
      <c r="I131" s="241"/>
      <c r="J131" s="241"/>
      <c r="K131" s="241"/>
    </row>
    <row r="132" spans="1:11" ht="15.75" customHeight="1" x14ac:dyDescent="0.2">
      <c r="A132" s="260"/>
      <c r="B132" s="261"/>
      <c r="C132" s="262"/>
      <c r="D132" s="262"/>
      <c r="E132" s="241"/>
      <c r="F132" s="241"/>
      <c r="G132" s="241"/>
      <c r="H132" s="241"/>
      <c r="I132" s="241"/>
      <c r="J132" s="241"/>
      <c r="K132" s="241"/>
    </row>
    <row r="133" spans="1:11" ht="15.75" customHeight="1" x14ac:dyDescent="0.2">
      <c r="A133" s="260"/>
      <c r="B133" s="261"/>
      <c r="C133" s="262"/>
      <c r="D133" s="262"/>
      <c r="E133" s="241"/>
      <c r="F133" s="241"/>
      <c r="G133" s="241"/>
      <c r="H133" s="241"/>
      <c r="I133" s="241"/>
      <c r="J133" s="241"/>
      <c r="K133" s="241"/>
    </row>
    <row r="134" spans="1:11" ht="15.75" customHeight="1" x14ac:dyDescent="0.2">
      <c r="A134" s="260"/>
      <c r="B134" s="261"/>
      <c r="C134" s="262"/>
      <c r="D134" s="262"/>
      <c r="E134" s="241"/>
      <c r="F134" s="241"/>
      <c r="G134" s="241"/>
      <c r="H134" s="241"/>
      <c r="I134" s="241"/>
      <c r="J134" s="241"/>
      <c r="K134" s="241"/>
    </row>
    <row r="135" spans="1:11" ht="15.75" customHeight="1" x14ac:dyDescent="0.2">
      <c r="A135" s="260"/>
      <c r="B135" s="261"/>
      <c r="C135" s="262"/>
      <c r="D135" s="262"/>
      <c r="E135" s="241"/>
      <c r="F135" s="241"/>
      <c r="G135" s="241"/>
      <c r="H135" s="241"/>
      <c r="I135" s="241"/>
      <c r="J135" s="241"/>
      <c r="K135" s="241"/>
    </row>
    <row r="136" spans="1:11" ht="15.75" customHeight="1" x14ac:dyDescent="0.2">
      <c r="A136" s="260"/>
      <c r="B136" s="261"/>
      <c r="C136" s="262"/>
      <c r="D136" s="262"/>
      <c r="E136" s="241"/>
      <c r="F136" s="241"/>
      <c r="G136" s="241"/>
      <c r="H136" s="241"/>
      <c r="I136" s="241"/>
      <c r="J136" s="241"/>
      <c r="K136" s="241"/>
    </row>
    <row r="137" spans="1:11" ht="15.75" customHeight="1" x14ac:dyDescent="0.2">
      <c r="A137" s="260"/>
      <c r="B137" s="261"/>
      <c r="C137" s="262"/>
      <c r="D137" s="262"/>
      <c r="E137" s="241"/>
      <c r="F137" s="241"/>
      <c r="G137" s="241"/>
      <c r="H137" s="241"/>
      <c r="I137" s="241"/>
      <c r="J137" s="241"/>
      <c r="K137" s="241"/>
    </row>
    <row r="138" spans="1:11" ht="15.75" customHeight="1" x14ac:dyDescent="0.2">
      <c r="A138" s="260"/>
      <c r="B138" s="261"/>
      <c r="C138" s="262"/>
      <c r="D138" s="262"/>
      <c r="E138" s="241"/>
      <c r="F138" s="241"/>
      <c r="G138" s="241"/>
      <c r="H138" s="241"/>
      <c r="I138" s="241"/>
      <c r="J138" s="241"/>
      <c r="K138" s="241"/>
    </row>
    <row r="139" spans="1:11" ht="15.75" customHeight="1" x14ac:dyDescent="0.2">
      <c r="A139" s="260"/>
      <c r="B139" s="261"/>
      <c r="C139" s="262"/>
      <c r="D139" s="262"/>
      <c r="E139" s="241"/>
      <c r="F139" s="241"/>
      <c r="G139" s="241"/>
      <c r="H139" s="241"/>
      <c r="I139" s="241"/>
      <c r="J139" s="241"/>
      <c r="K139" s="241"/>
    </row>
    <row r="140" spans="1:11" ht="15.75" customHeight="1" x14ac:dyDescent="0.2">
      <c r="A140" s="260"/>
      <c r="B140" s="261"/>
      <c r="C140" s="262"/>
      <c r="D140" s="262"/>
      <c r="E140" s="241"/>
      <c r="F140" s="241"/>
      <c r="G140" s="241"/>
      <c r="H140" s="241"/>
      <c r="I140" s="241"/>
      <c r="J140" s="241"/>
      <c r="K140" s="241"/>
    </row>
    <row r="141" spans="1:11" ht="15.75" customHeight="1" x14ac:dyDescent="0.2">
      <c r="A141" s="260"/>
      <c r="B141" s="261"/>
      <c r="C141" s="262"/>
      <c r="D141" s="262"/>
      <c r="E141" s="241"/>
      <c r="F141" s="241"/>
      <c r="G141" s="241"/>
      <c r="H141" s="241"/>
      <c r="I141" s="241"/>
      <c r="J141" s="241"/>
      <c r="K141" s="241"/>
    </row>
    <row r="142" spans="1:11" ht="15.75" customHeight="1" x14ac:dyDescent="0.2">
      <c r="A142" s="260"/>
      <c r="B142" s="261"/>
      <c r="C142" s="262"/>
      <c r="D142" s="262"/>
      <c r="E142" s="241"/>
      <c r="F142" s="241"/>
      <c r="G142" s="241"/>
      <c r="H142" s="241"/>
      <c r="I142" s="241"/>
      <c r="J142" s="241"/>
      <c r="K142" s="241"/>
    </row>
    <row r="143" spans="1:11" ht="15.75" customHeight="1" x14ac:dyDescent="0.2">
      <c r="A143" s="260"/>
      <c r="B143" s="261"/>
      <c r="C143" s="262"/>
      <c r="D143" s="262"/>
      <c r="E143" s="241"/>
      <c r="F143" s="241"/>
      <c r="G143" s="241"/>
      <c r="H143" s="241"/>
      <c r="I143" s="241"/>
      <c r="J143" s="241"/>
      <c r="K143" s="241"/>
    </row>
    <row r="144" spans="1:11" ht="15.75" customHeight="1" x14ac:dyDescent="0.2">
      <c r="A144" s="260"/>
      <c r="B144" s="261"/>
      <c r="C144" s="262"/>
      <c r="D144" s="262"/>
      <c r="E144" s="241"/>
      <c r="F144" s="241"/>
      <c r="G144" s="241"/>
      <c r="H144" s="241"/>
      <c r="I144" s="241"/>
      <c r="J144" s="241"/>
      <c r="K144" s="241"/>
    </row>
    <row r="145" spans="1:11" ht="15.75" customHeight="1" x14ac:dyDescent="0.2">
      <c r="A145" s="260"/>
      <c r="B145" s="261"/>
      <c r="C145" s="262"/>
      <c r="D145" s="262"/>
      <c r="E145" s="241"/>
      <c r="F145" s="241"/>
      <c r="G145" s="241"/>
      <c r="H145" s="241"/>
      <c r="I145" s="241"/>
      <c r="J145" s="241"/>
      <c r="K145" s="241"/>
    </row>
    <row r="146" spans="1:11" ht="15.75" customHeight="1" x14ac:dyDescent="0.2">
      <c r="A146" s="260"/>
      <c r="B146" s="261"/>
      <c r="C146" s="262"/>
      <c r="D146" s="262"/>
      <c r="E146" s="241"/>
      <c r="F146" s="241"/>
      <c r="G146" s="241"/>
      <c r="H146" s="241"/>
      <c r="I146" s="241"/>
      <c r="J146" s="241"/>
      <c r="K146" s="241"/>
    </row>
    <row r="147" spans="1:11" ht="15.75" customHeight="1" x14ac:dyDescent="0.2">
      <c r="A147" s="260"/>
      <c r="B147" s="261"/>
      <c r="C147" s="262"/>
      <c r="D147" s="262"/>
      <c r="E147" s="241"/>
      <c r="F147" s="241"/>
      <c r="G147" s="241"/>
      <c r="H147" s="241"/>
      <c r="I147" s="241"/>
      <c r="J147" s="241"/>
      <c r="K147" s="241"/>
    </row>
    <row r="148" spans="1:11" ht="15.75" customHeight="1" x14ac:dyDescent="0.2">
      <c r="A148" s="260"/>
      <c r="B148" s="261"/>
      <c r="C148" s="262"/>
      <c r="D148" s="262"/>
      <c r="E148" s="241"/>
      <c r="F148" s="241"/>
      <c r="G148" s="241"/>
      <c r="H148" s="241"/>
      <c r="I148" s="241"/>
      <c r="J148" s="241"/>
      <c r="K148" s="241"/>
    </row>
    <row r="149" spans="1:11" ht="15.75" customHeight="1" x14ac:dyDescent="0.2">
      <c r="A149" s="260"/>
      <c r="B149" s="261"/>
      <c r="C149" s="262"/>
      <c r="D149" s="262"/>
      <c r="E149" s="241"/>
      <c r="F149" s="241"/>
      <c r="G149" s="241"/>
      <c r="H149" s="241"/>
      <c r="I149" s="241"/>
      <c r="J149" s="241"/>
      <c r="K149" s="241"/>
    </row>
    <row r="150" spans="1:11" ht="15.75" customHeight="1" x14ac:dyDescent="0.2">
      <c r="A150" s="260"/>
      <c r="B150" s="261"/>
      <c r="C150" s="262"/>
      <c r="D150" s="262"/>
      <c r="E150" s="241"/>
      <c r="F150" s="241"/>
      <c r="G150" s="241"/>
      <c r="H150" s="241"/>
      <c r="I150" s="241"/>
      <c r="J150" s="241"/>
      <c r="K150" s="241"/>
    </row>
    <row r="151" spans="1:11" ht="15.75" customHeight="1" x14ac:dyDescent="0.2">
      <c r="A151" s="260"/>
      <c r="B151" s="261"/>
      <c r="C151" s="262"/>
      <c r="D151" s="262"/>
      <c r="E151" s="241"/>
      <c r="F151" s="241"/>
      <c r="G151" s="241"/>
      <c r="H151" s="241"/>
      <c r="I151" s="241"/>
      <c r="J151" s="241"/>
      <c r="K151" s="241"/>
    </row>
    <row r="152" spans="1:11" ht="15.75" customHeight="1" x14ac:dyDescent="0.2">
      <c r="A152" s="260"/>
      <c r="B152" s="261"/>
      <c r="C152" s="262"/>
      <c r="D152" s="262"/>
      <c r="E152" s="241"/>
      <c r="F152" s="241"/>
      <c r="G152" s="241"/>
      <c r="H152" s="241"/>
      <c r="I152" s="241"/>
      <c r="J152" s="241"/>
      <c r="K152" s="241"/>
    </row>
    <row r="153" spans="1:11" ht="15.75" customHeight="1" x14ac:dyDescent="0.2">
      <c r="A153" s="260"/>
      <c r="B153" s="261"/>
      <c r="C153" s="262"/>
      <c r="D153" s="262"/>
      <c r="E153" s="241"/>
      <c r="F153" s="241"/>
      <c r="G153" s="241"/>
      <c r="H153" s="241"/>
      <c r="I153" s="241"/>
      <c r="J153" s="241"/>
      <c r="K153" s="241"/>
    </row>
    <row r="154" spans="1:11" ht="15.75" customHeight="1" x14ac:dyDescent="0.2">
      <c r="A154" s="260"/>
      <c r="B154" s="261"/>
      <c r="C154" s="262"/>
      <c r="D154" s="262"/>
      <c r="E154" s="241"/>
      <c r="F154" s="241"/>
      <c r="G154" s="241"/>
      <c r="H154" s="241"/>
      <c r="I154" s="241"/>
      <c r="J154" s="241"/>
      <c r="K154" s="241"/>
    </row>
    <row r="155" spans="1:11" ht="15.75" customHeight="1" x14ac:dyDescent="0.2">
      <c r="A155" s="260"/>
      <c r="B155" s="261"/>
      <c r="C155" s="262"/>
      <c r="D155" s="262"/>
      <c r="E155" s="241"/>
      <c r="F155" s="241"/>
      <c r="G155" s="241"/>
      <c r="H155" s="241"/>
      <c r="I155" s="241"/>
      <c r="J155" s="241"/>
      <c r="K155" s="241"/>
    </row>
    <row r="156" spans="1:11" ht="15.75" customHeight="1" x14ac:dyDescent="0.2">
      <c r="A156" s="260"/>
      <c r="B156" s="261"/>
      <c r="C156" s="262"/>
      <c r="D156" s="262"/>
      <c r="E156" s="241"/>
      <c r="F156" s="241"/>
      <c r="G156" s="241"/>
      <c r="H156" s="241"/>
      <c r="I156" s="241"/>
      <c r="J156" s="241"/>
      <c r="K156" s="241"/>
    </row>
    <row r="157" spans="1:11" ht="15.75" customHeight="1" x14ac:dyDescent="0.2">
      <c r="A157" s="260"/>
      <c r="B157" s="261"/>
      <c r="C157" s="262"/>
      <c r="D157" s="262"/>
      <c r="E157" s="241"/>
      <c r="F157" s="241"/>
      <c r="G157" s="241"/>
      <c r="H157" s="241"/>
      <c r="I157" s="241"/>
      <c r="J157" s="241"/>
      <c r="K157" s="241"/>
    </row>
    <row r="158" spans="1:11" ht="15.75" customHeight="1" x14ac:dyDescent="0.2">
      <c r="A158" s="260"/>
      <c r="B158" s="261"/>
      <c r="C158" s="262"/>
      <c r="D158" s="262"/>
      <c r="E158" s="241"/>
      <c r="F158" s="241"/>
      <c r="G158" s="241"/>
      <c r="H158" s="241"/>
      <c r="I158" s="241"/>
      <c r="J158" s="241"/>
      <c r="K158" s="241"/>
    </row>
    <row r="159" spans="1:11" ht="15.75" customHeight="1" x14ac:dyDescent="0.2">
      <c r="A159" s="260"/>
      <c r="B159" s="261"/>
      <c r="C159" s="262"/>
      <c r="D159" s="262"/>
      <c r="E159" s="241"/>
      <c r="F159" s="241"/>
      <c r="G159" s="241"/>
      <c r="H159" s="241"/>
      <c r="I159" s="241"/>
      <c r="J159" s="241"/>
      <c r="K159" s="241"/>
    </row>
    <row r="160" spans="1:11" ht="15.75" customHeight="1" x14ac:dyDescent="0.2">
      <c r="A160" s="260"/>
      <c r="B160" s="261"/>
      <c r="C160" s="262"/>
      <c r="D160" s="262"/>
      <c r="E160" s="241"/>
      <c r="F160" s="241"/>
      <c r="G160" s="241"/>
      <c r="H160" s="241"/>
      <c r="I160" s="241"/>
      <c r="J160" s="241"/>
      <c r="K160" s="241"/>
    </row>
    <row r="161" spans="1:11" ht="15.75" customHeight="1" x14ac:dyDescent="0.2">
      <c r="A161" s="260"/>
      <c r="B161" s="261"/>
      <c r="C161" s="262"/>
      <c r="D161" s="262"/>
      <c r="E161" s="241"/>
      <c r="F161" s="241"/>
      <c r="G161" s="241"/>
      <c r="H161" s="241"/>
      <c r="I161" s="241"/>
      <c r="J161" s="241"/>
      <c r="K161" s="241"/>
    </row>
    <row r="162" spans="1:11" ht="15.75" customHeight="1" x14ac:dyDescent="0.2">
      <c r="A162" s="260"/>
      <c r="B162" s="261"/>
      <c r="C162" s="262"/>
      <c r="D162" s="262"/>
      <c r="E162" s="241"/>
      <c r="F162" s="241"/>
      <c r="G162" s="241"/>
      <c r="H162" s="241"/>
      <c r="I162" s="241"/>
      <c r="J162" s="241"/>
      <c r="K162" s="241"/>
    </row>
    <row r="163" spans="1:11" ht="15.75" customHeight="1" x14ac:dyDescent="0.2">
      <c r="A163" s="260"/>
      <c r="B163" s="261"/>
      <c r="C163" s="262"/>
      <c r="D163" s="262"/>
      <c r="E163" s="241"/>
      <c r="F163" s="241"/>
      <c r="G163" s="241"/>
      <c r="H163" s="241"/>
      <c r="I163" s="241"/>
      <c r="J163" s="241"/>
      <c r="K163" s="241"/>
    </row>
    <row r="164" spans="1:11" ht="15.75" customHeight="1" x14ac:dyDescent="0.2">
      <c r="A164" s="260"/>
      <c r="B164" s="261"/>
      <c r="C164" s="262"/>
      <c r="D164" s="262"/>
      <c r="E164" s="241"/>
      <c r="F164" s="241"/>
      <c r="G164" s="241"/>
      <c r="H164" s="241"/>
      <c r="I164" s="241"/>
      <c r="J164" s="241"/>
      <c r="K164" s="241"/>
    </row>
    <row r="165" spans="1:11" ht="15.75" customHeight="1" x14ac:dyDescent="0.2">
      <c r="A165" s="260"/>
      <c r="B165" s="261"/>
      <c r="C165" s="262"/>
      <c r="D165" s="262"/>
      <c r="E165" s="241"/>
      <c r="F165" s="241"/>
      <c r="G165" s="241"/>
      <c r="H165" s="241"/>
      <c r="I165" s="241"/>
      <c r="J165" s="241"/>
      <c r="K165" s="241"/>
    </row>
    <row r="166" spans="1:11" ht="15.75" customHeight="1" x14ac:dyDescent="0.2">
      <c r="A166" s="260"/>
      <c r="B166" s="261"/>
      <c r="C166" s="262"/>
      <c r="D166" s="262"/>
      <c r="E166" s="241"/>
      <c r="F166" s="241"/>
      <c r="G166" s="241"/>
      <c r="H166" s="241"/>
      <c r="I166" s="241"/>
      <c r="J166" s="241"/>
      <c r="K166" s="241"/>
    </row>
    <row r="167" spans="1:11" ht="15.75" customHeight="1" x14ac:dyDescent="0.2">
      <c r="A167" s="260"/>
      <c r="B167" s="261"/>
      <c r="C167" s="262"/>
      <c r="D167" s="262"/>
      <c r="E167" s="241"/>
      <c r="F167" s="241"/>
      <c r="G167" s="241"/>
      <c r="H167" s="241"/>
      <c r="I167" s="241"/>
      <c r="J167" s="241"/>
      <c r="K167" s="241"/>
    </row>
    <row r="168" spans="1:11" ht="15.75" customHeight="1" x14ac:dyDescent="0.2">
      <c r="A168" s="260"/>
      <c r="B168" s="261"/>
      <c r="C168" s="262"/>
      <c r="D168" s="262"/>
      <c r="E168" s="241"/>
      <c r="F168" s="241"/>
      <c r="G168" s="241"/>
      <c r="H168" s="241"/>
      <c r="I168" s="241"/>
      <c r="J168" s="241"/>
      <c r="K168" s="241"/>
    </row>
    <row r="169" spans="1:11" ht="15.75" customHeight="1" x14ac:dyDescent="0.2">
      <c r="A169" s="260"/>
      <c r="B169" s="261"/>
      <c r="C169" s="262"/>
      <c r="D169" s="262"/>
      <c r="E169" s="241"/>
      <c r="F169" s="241"/>
      <c r="G169" s="241"/>
      <c r="H169" s="241"/>
      <c r="I169" s="241"/>
      <c r="J169" s="241"/>
      <c r="K169" s="241"/>
    </row>
    <row r="170" spans="1:11" ht="15.75" customHeight="1" x14ac:dyDescent="0.2">
      <c r="A170" s="260"/>
      <c r="B170" s="261"/>
      <c r="C170" s="262"/>
      <c r="D170" s="262"/>
      <c r="E170" s="241"/>
      <c r="F170" s="241"/>
      <c r="G170" s="241"/>
      <c r="H170" s="241"/>
      <c r="I170" s="241"/>
      <c r="J170" s="241"/>
      <c r="K170" s="241"/>
    </row>
    <row r="171" spans="1:11" ht="15.75" customHeight="1" x14ac:dyDescent="0.2">
      <c r="A171" s="260"/>
      <c r="B171" s="261"/>
      <c r="C171" s="262"/>
      <c r="D171" s="262"/>
      <c r="E171" s="241"/>
      <c r="F171" s="241"/>
      <c r="G171" s="241"/>
      <c r="H171" s="241"/>
      <c r="I171" s="241"/>
      <c r="J171" s="241"/>
      <c r="K171" s="241"/>
    </row>
    <row r="172" spans="1:11" ht="15.75" customHeight="1" x14ac:dyDescent="0.2">
      <c r="A172" s="260"/>
      <c r="B172" s="261"/>
      <c r="C172" s="262"/>
      <c r="D172" s="262"/>
      <c r="E172" s="241"/>
      <c r="F172" s="241"/>
      <c r="G172" s="241"/>
      <c r="H172" s="241"/>
      <c r="I172" s="241"/>
      <c r="J172" s="241"/>
      <c r="K172" s="241"/>
    </row>
    <row r="173" spans="1:11" ht="15.75" customHeight="1" x14ac:dyDescent="0.2">
      <c r="A173" s="260"/>
      <c r="B173" s="261"/>
      <c r="C173" s="262"/>
      <c r="D173" s="262"/>
      <c r="E173" s="241"/>
      <c r="F173" s="241"/>
      <c r="G173" s="241"/>
      <c r="H173" s="241"/>
      <c r="I173" s="241"/>
      <c r="J173" s="241"/>
      <c r="K173" s="241"/>
    </row>
    <row r="174" spans="1:11" ht="15.75" customHeight="1" x14ac:dyDescent="0.2">
      <c r="A174" s="260"/>
      <c r="B174" s="261"/>
      <c r="C174" s="262"/>
      <c r="D174" s="262"/>
      <c r="E174" s="241"/>
      <c r="F174" s="241"/>
      <c r="G174" s="241"/>
      <c r="H174" s="241"/>
      <c r="I174" s="241"/>
      <c r="J174" s="241"/>
      <c r="K174" s="241"/>
    </row>
    <row r="175" spans="1:11" ht="15.75" customHeight="1" x14ac:dyDescent="0.2">
      <c r="A175" s="260"/>
      <c r="B175" s="261"/>
      <c r="C175" s="262"/>
      <c r="D175" s="262"/>
      <c r="E175" s="241"/>
      <c r="F175" s="241"/>
      <c r="G175" s="241"/>
      <c r="H175" s="241"/>
      <c r="I175" s="241"/>
      <c r="J175" s="241"/>
      <c r="K175" s="241"/>
    </row>
    <row r="176" spans="1:11" ht="15.75" customHeight="1" x14ac:dyDescent="0.2">
      <c r="A176" s="260"/>
      <c r="B176" s="261"/>
      <c r="C176" s="262"/>
      <c r="D176" s="262"/>
      <c r="E176" s="241"/>
      <c r="F176" s="241"/>
      <c r="G176" s="241"/>
      <c r="H176" s="241"/>
      <c r="I176" s="241"/>
      <c r="J176" s="241"/>
      <c r="K176" s="241"/>
    </row>
    <row r="177" spans="1:11" ht="15.75" customHeight="1" x14ac:dyDescent="0.2">
      <c r="A177" s="260"/>
      <c r="B177" s="261"/>
      <c r="C177" s="262"/>
      <c r="D177" s="262"/>
      <c r="E177" s="241"/>
      <c r="F177" s="241"/>
      <c r="G177" s="241"/>
      <c r="H177" s="241"/>
      <c r="I177" s="241"/>
      <c r="J177" s="241"/>
      <c r="K177" s="241"/>
    </row>
    <row r="178" spans="1:11" ht="15.75" customHeight="1" x14ac:dyDescent="0.2">
      <c r="A178" s="260"/>
      <c r="B178" s="261"/>
      <c r="C178" s="262"/>
      <c r="D178" s="262"/>
      <c r="E178" s="241"/>
      <c r="F178" s="241"/>
      <c r="G178" s="241"/>
      <c r="H178" s="241"/>
      <c r="I178" s="241"/>
      <c r="J178" s="241"/>
      <c r="K178" s="241"/>
    </row>
    <row r="179" spans="1:11" ht="15.75" customHeight="1" x14ac:dyDescent="0.2">
      <c r="A179" s="260"/>
      <c r="B179" s="261"/>
      <c r="C179" s="262"/>
      <c r="D179" s="262"/>
      <c r="E179" s="241"/>
      <c r="F179" s="241"/>
      <c r="G179" s="241"/>
      <c r="H179" s="241"/>
      <c r="I179" s="241"/>
      <c r="J179" s="241"/>
      <c r="K179" s="241"/>
    </row>
    <row r="180" spans="1:11" ht="15.75" customHeight="1" x14ac:dyDescent="0.2">
      <c r="A180" s="260"/>
      <c r="B180" s="261"/>
      <c r="C180" s="262"/>
      <c r="D180" s="262"/>
      <c r="E180" s="241"/>
      <c r="F180" s="241"/>
      <c r="G180" s="241"/>
      <c r="H180" s="241"/>
      <c r="I180" s="241"/>
      <c r="J180" s="241"/>
      <c r="K180" s="241"/>
    </row>
    <row r="181" spans="1:11" ht="15.75" customHeight="1" x14ac:dyDescent="0.2">
      <c r="A181" s="260"/>
      <c r="B181" s="261"/>
      <c r="C181" s="262"/>
      <c r="D181" s="262"/>
      <c r="E181" s="241"/>
      <c r="F181" s="241"/>
      <c r="G181" s="241"/>
      <c r="H181" s="241"/>
      <c r="I181" s="241"/>
      <c r="J181" s="241"/>
      <c r="K181" s="241"/>
    </row>
    <row r="182" spans="1:11" ht="15.75" customHeight="1" x14ac:dyDescent="0.2">
      <c r="A182" s="260"/>
      <c r="B182" s="261"/>
      <c r="C182" s="262"/>
      <c r="D182" s="262"/>
      <c r="E182" s="241"/>
      <c r="F182" s="241"/>
      <c r="G182" s="241"/>
      <c r="H182" s="241"/>
      <c r="I182" s="241"/>
      <c r="J182" s="241"/>
      <c r="K182" s="241"/>
    </row>
    <row r="183" spans="1:11" ht="15.75" customHeight="1" x14ac:dyDescent="0.2">
      <c r="A183" s="260"/>
      <c r="B183" s="261"/>
      <c r="C183" s="262"/>
      <c r="D183" s="262"/>
      <c r="E183" s="241"/>
      <c r="F183" s="241"/>
      <c r="G183" s="241"/>
      <c r="H183" s="241"/>
      <c r="I183" s="241"/>
      <c r="J183" s="241"/>
      <c r="K183" s="241"/>
    </row>
    <row r="184" spans="1:11" ht="15.75" customHeight="1" x14ac:dyDescent="0.2">
      <c r="A184" s="260"/>
      <c r="B184" s="261"/>
      <c r="C184" s="262"/>
      <c r="D184" s="262"/>
      <c r="E184" s="241"/>
      <c r="F184" s="241"/>
      <c r="G184" s="241"/>
      <c r="H184" s="241"/>
      <c r="I184" s="241"/>
      <c r="J184" s="241"/>
      <c r="K184" s="241"/>
    </row>
    <row r="185" spans="1:11" ht="15.75" customHeight="1" x14ac:dyDescent="0.2">
      <c r="A185" s="260"/>
      <c r="B185" s="261"/>
      <c r="C185" s="262"/>
      <c r="D185" s="262"/>
      <c r="E185" s="241"/>
      <c r="F185" s="241"/>
      <c r="G185" s="241"/>
      <c r="H185" s="241"/>
      <c r="I185" s="241"/>
      <c r="J185" s="241"/>
      <c r="K185" s="241"/>
    </row>
    <row r="186" spans="1:11" ht="15.75" customHeight="1" x14ac:dyDescent="0.2">
      <c r="A186" s="260"/>
      <c r="B186" s="261"/>
      <c r="C186" s="262"/>
      <c r="D186" s="262"/>
      <c r="E186" s="241"/>
      <c r="F186" s="241"/>
      <c r="G186" s="241"/>
      <c r="H186" s="241"/>
      <c r="I186" s="241"/>
      <c r="J186" s="241"/>
      <c r="K186" s="241"/>
    </row>
    <row r="187" spans="1:11" ht="15.75" customHeight="1" x14ac:dyDescent="0.2">
      <c r="A187" s="260"/>
      <c r="B187" s="261"/>
      <c r="C187" s="262"/>
      <c r="D187" s="262"/>
      <c r="E187" s="241"/>
      <c r="F187" s="241"/>
      <c r="G187" s="241"/>
      <c r="H187" s="241"/>
      <c r="I187" s="241"/>
      <c r="J187" s="241"/>
      <c r="K187" s="241"/>
    </row>
    <row r="188" spans="1:11" ht="15.75" customHeight="1" x14ac:dyDescent="0.2">
      <c r="A188" s="260"/>
      <c r="B188" s="261"/>
      <c r="C188" s="262"/>
      <c r="D188" s="262"/>
      <c r="E188" s="241"/>
      <c r="F188" s="241"/>
      <c r="G188" s="241"/>
      <c r="H188" s="241"/>
      <c r="I188" s="241"/>
      <c r="J188" s="241"/>
      <c r="K188" s="241"/>
    </row>
    <row r="189" spans="1:11" ht="15.75" customHeight="1" x14ac:dyDescent="0.2">
      <c r="A189" s="260"/>
      <c r="B189" s="261"/>
      <c r="C189" s="262"/>
      <c r="D189" s="262"/>
      <c r="E189" s="241"/>
      <c r="F189" s="241"/>
      <c r="G189" s="241"/>
      <c r="H189" s="241"/>
      <c r="I189" s="241"/>
      <c r="J189" s="241"/>
      <c r="K189" s="241"/>
    </row>
    <row r="190" spans="1:11" ht="15.75" customHeight="1" x14ac:dyDescent="0.2">
      <c r="A190" s="260"/>
      <c r="B190" s="261"/>
      <c r="C190" s="262"/>
      <c r="D190" s="262"/>
      <c r="E190" s="241"/>
      <c r="F190" s="241"/>
      <c r="G190" s="241"/>
      <c r="H190" s="241"/>
      <c r="I190" s="241"/>
      <c r="J190" s="241"/>
      <c r="K190" s="241"/>
    </row>
    <row r="191" spans="1:11" ht="15.75" customHeight="1" x14ac:dyDescent="0.2">
      <c r="A191" s="260"/>
      <c r="B191" s="261"/>
      <c r="C191" s="262"/>
      <c r="D191" s="262"/>
      <c r="E191" s="241"/>
      <c r="F191" s="241"/>
      <c r="G191" s="241"/>
      <c r="H191" s="241"/>
      <c r="I191" s="241"/>
      <c r="J191" s="241"/>
      <c r="K191" s="241"/>
    </row>
    <row r="192" spans="1:11" ht="15.75" customHeight="1" x14ac:dyDescent="0.2">
      <c r="A192" s="260"/>
      <c r="B192" s="261"/>
      <c r="C192" s="262"/>
      <c r="D192" s="262"/>
      <c r="E192" s="241"/>
      <c r="F192" s="241"/>
      <c r="G192" s="241"/>
      <c r="H192" s="241"/>
      <c r="I192" s="241"/>
      <c r="J192" s="241"/>
      <c r="K192" s="241"/>
    </row>
    <row r="193" spans="1:11" ht="15.75" customHeight="1" x14ac:dyDescent="0.2">
      <c r="A193" s="260"/>
      <c r="B193" s="261"/>
      <c r="C193" s="262"/>
      <c r="D193" s="262"/>
      <c r="E193" s="241"/>
      <c r="F193" s="241"/>
      <c r="G193" s="241"/>
      <c r="H193" s="241"/>
      <c r="I193" s="241"/>
      <c r="J193" s="241"/>
      <c r="K193" s="241"/>
    </row>
    <row r="194" spans="1:11" ht="15.75" customHeight="1" x14ac:dyDescent="0.2">
      <c r="A194" s="260"/>
      <c r="B194" s="261"/>
      <c r="C194" s="262"/>
      <c r="D194" s="262"/>
      <c r="E194" s="241"/>
      <c r="F194" s="241"/>
      <c r="G194" s="241"/>
      <c r="H194" s="241"/>
      <c r="I194" s="241"/>
      <c r="J194" s="241"/>
      <c r="K194" s="241"/>
    </row>
    <row r="195" spans="1:11" ht="15.75" customHeight="1" x14ac:dyDescent="0.2">
      <c r="A195" s="260"/>
      <c r="B195" s="261"/>
      <c r="C195" s="262"/>
      <c r="D195" s="262"/>
      <c r="E195" s="241"/>
      <c r="F195" s="241"/>
      <c r="G195" s="241"/>
      <c r="H195" s="241"/>
      <c r="I195" s="241"/>
      <c r="J195" s="241"/>
      <c r="K195" s="241"/>
    </row>
    <row r="196" spans="1:11" ht="15.75" customHeight="1" x14ac:dyDescent="0.2">
      <c r="A196" s="260"/>
      <c r="B196" s="261"/>
      <c r="C196" s="262"/>
      <c r="D196" s="262"/>
      <c r="E196" s="241"/>
      <c r="F196" s="241"/>
      <c r="G196" s="241"/>
      <c r="H196" s="241"/>
      <c r="I196" s="241"/>
      <c r="J196" s="241"/>
      <c r="K196" s="241"/>
    </row>
    <row r="197" spans="1:11" ht="15.75" customHeight="1" x14ac:dyDescent="0.2">
      <c r="A197" s="260"/>
      <c r="B197" s="261"/>
      <c r="C197" s="262"/>
      <c r="D197" s="262"/>
      <c r="E197" s="241"/>
      <c r="F197" s="241"/>
      <c r="G197" s="241"/>
      <c r="H197" s="241"/>
      <c r="I197" s="241"/>
      <c r="J197" s="241"/>
      <c r="K197" s="241"/>
    </row>
    <row r="198" spans="1:11" ht="15.75" customHeight="1" x14ac:dyDescent="0.2">
      <c r="A198" s="260"/>
      <c r="B198" s="261"/>
      <c r="C198" s="262"/>
      <c r="D198" s="262"/>
      <c r="E198" s="241"/>
      <c r="F198" s="241"/>
      <c r="G198" s="241"/>
      <c r="H198" s="241"/>
      <c r="I198" s="241"/>
      <c r="J198" s="241"/>
      <c r="K198" s="241"/>
    </row>
    <row r="199" spans="1:11" ht="15.75" customHeight="1" x14ac:dyDescent="0.2">
      <c r="A199" s="260"/>
      <c r="B199" s="261"/>
      <c r="C199" s="262"/>
      <c r="D199" s="262"/>
      <c r="E199" s="241"/>
      <c r="F199" s="241"/>
      <c r="G199" s="241"/>
      <c r="H199" s="241"/>
      <c r="I199" s="241"/>
      <c r="J199" s="241"/>
      <c r="K199" s="241"/>
    </row>
    <row r="200" spans="1:11" ht="15.75" customHeight="1" x14ac:dyDescent="0.2">
      <c r="A200" s="260"/>
      <c r="B200" s="261"/>
      <c r="C200" s="262"/>
      <c r="D200" s="262"/>
      <c r="E200" s="241"/>
      <c r="F200" s="241"/>
      <c r="G200" s="241"/>
      <c r="H200" s="241"/>
      <c r="I200" s="241"/>
      <c r="J200" s="241"/>
      <c r="K200" s="241"/>
    </row>
    <row r="201" spans="1:11" ht="15.75" customHeight="1" x14ac:dyDescent="0.2">
      <c r="A201" s="260"/>
      <c r="B201" s="261"/>
      <c r="C201" s="262"/>
      <c r="D201" s="262"/>
      <c r="E201" s="241"/>
      <c r="F201" s="241"/>
      <c r="G201" s="241"/>
      <c r="H201" s="241"/>
      <c r="I201" s="241"/>
      <c r="J201" s="241"/>
      <c r="K201" s="241"/>
    </row>
    <row r="202" spans="1:11" ht="15.75" customHeight="1" x14ac:dyDescent="0.2">
      <c r="A202" s="260"/>
      <c r="B202" s="261"/>
      <c r="C202" s="262"/>
      <c r="D202" s="262"/>
      <c r="E202" s="241"/>
      <c r="F202" s="241"/>
      <c r="G202" s="241"/>
      <c r="H202" s="241"/>
      <c r="I202" s="241"/>
      <c r="J202" s="241"/>
      <c r="K202" s="241"/>
    </row>
    <row r="203" spans="1:11" ht="15.75" customHeight="1" x14ac:dyDescent="0.2">
      <c r="A203" s="260"/>
      <c r="B203" s="261"/>
      <c r="C203" s="262"/>
      <c r="D203" s="262"/>
      <c r="E203" s="241"/>
      <c r="F203" s="241"/>
      <c r="G203" s="241"/>
      <c r="H203" s="241"/>
      <c r="I203" s="241"/>
      <c r="J203" s="241"/>
      <c r="K203" s="241"/>
    </row>
    <row r="204" spans="1:11" ht="15.75" customHeight="1" x14ac:dyDescent="0.2">
      <c r="A204" s="260"/>
      <c r="B204" s="261"/>
      <c r="C204" s="262"/>
      <c r="D204" s="262"/>
      <c r="E204" s="241"/>
      <c r="F204" s="241"/>
      <c r="G204" s="241"/>
      <c r="H204" s="241"/>
      <c r="I204" s="241"/>
      <c r="J204" s="241"/>
      <c r="K204" s="241"/>
    </row>
    <row r="205" spans="1:11" ht="15.75" customHeight="1" x14ac:dyDescent="0.2">
      <c r="A205" s="260"/>
      <c r="B205" s="261"/>
      <c r="C205" s="262"/>
      <c r="D205" s="262"/>
      <c r="E205" s="241"/>
      <c r="F205" s="241"/>
      <c r="G205" s="241"/>
      <c r="H205" s="241"/>
      <c r="I205" s="241"/>
      <c r="J205" s="241"/>
      <c r="K205" s="241"/>
    </row>
    <row r="206" spans="1:11" ht="15.75" customHeight="1" x14ac:dyDescent="0.2">
      <c r="A206" s="260"/>
      <c r="B206" s="261"/>
      <c r="C206" s="262"/>
      <c r="D206" s="262"/>
      <c r="E206" s="241"/>
      <c r="F206" s="241"/>
      <c r="G206" s="241"/>
      <c r="H206" s="241"/>
      <c r="I206" s="241"/>
      <c r="J206" s="241"/>
      <c r="K206" s="241"/>
    </row>
    <row r="207" spans="1:11" ht="15.75" customHeight="1" x14ac:dyDescent="0.2">
      <c r="A207" s="260"/>
      <c r="B207" s="261"/>
      <c r="C207" s="262"/>
      <c r="D207" s="262"/>
      <c r="E207" s="241"/>
      <c r="F207" s="241"/>
      <c r="G207" s="241"/>
      <c r="H207" s="241"/>
      <c r="I207" s="241"/>
      <c r="J207" s="241"/>
      <c r="K207" s="241"/>
    </row>
    <row r="208" spans="1:11" ht="15.75" customHeight="1" x14ac:dyDescent="0.2">
      <c r="A208" s="260"/>
      <c r="B208" s="261"/>
      <c r="C208" s="262"/>
      <c r="D208" s="262"/>
      <c r="E208" s="241"/>
      <c r="F208" s="241"/>
      <c r="G208" s="241"/>
      <c r="H208" s="241"/>
      <c r="I208" s="241"/>
      <c r="J208" s="241"/>
      <c r="K208" s="241"/>
    </row>
    <row r="209" spans="1:11" ht="15.75" customHeight="1" x14ac:dyDescent="0.2">
      <c r="A209" s="260"/>
      <c r="B209" s="261"/>
      <c r="C209" s="262"/>
      <c r="D209" s="262"/>
      <c r="E209" s="241"/>
      <c r="F209" s="241"/>
      <c r="G209" s="241"/>
      <c r="H209" s="241"/>
      <c r="I209" s="241"/>
      <c r="J209" s="241"/>
      <c r="K209" s="241"/>
    </row>
    <row r="210" spans="1:11" ht="15.75" customHeight="1" x14ac:dyDescent="0.2">
      <c r="A210" s="260"/>
      <c r="B210" s="261"/>
      <c r="C210" s="262"/>
      <c r="D210" s="262"/>
      <c r="E210" s="241"/>
      <c r="F210" s="241"/>
      <c r="G210" s="241"/>
      <c r="H210" s="241"/>
      <c r="I210" s="241"/>
      <c r="J210" s="241"/>
      <c r="K210" s="241"/>
    </row>
    <row r="211" spans="1:11" ht="15.75" customHeight="1" x14ac:dyDescent="0.2">
      <c r="A211" s="260"/>
      <c r="B211" s="261"/>
      <c r="C211" s="262"/>
      <c r="D211" s="262"/>
      <c r="E211" s="241"/>
      <c r="F211" s="241"/>
      <c r="G211" s="241"/>
      <c r="H211" s="241"/>
      <c r="I211" s="241"/>
      <c r="J211" s="241"/>
      <c r="K211" s="241"/>
    </row>
    <row r="212" spans="1:11" ht="15.75" customHeight="1" x14ac:dyDescent="0.2">
      <c r="A212" s="260"/>
      <c r="B212" s="261"/>
      <c r="C212" s="262"/>
      <c r="D212" s="262"/>
      <c r="E212" s="241"/>
      <c r="F212" s="241"/>
      <c r="G212" s="241"/>
      <c r="H212" s="241"/>
      <c r="I212" s="241"/>
      <c r="J212" s="241"/>
      <c r="K212" s="241"/>
    </row>
    <row r="213" spans="1:11" ht="15.75" customHeight="1" x14ac:dyDescent="0.2">
      <c r="A213" s="260"/>
      <c r="B213" s="261"/>
      <c r="C213" s="262"/>
      <c r="D213" s="262"/>
      <c r="E213" s="241"/>
      <c r="F213" s="241"/>
      <c r="G213" s="241"/>
      <c r="H213" s="241"/>
      <c r="I213" s="241"/>
      <c r="J213" s="241"/>
      <c r="K213" s="241"/>
    </row>
    <row r="214" spans="1:11" ht="15.75" customHeight="1" x14ac:dyDescent="0.2">
      <c r="A214" s="260"/>
      <c r="B214" s="261"/>
      <c r="C214" s="262"/>
      <c r="D214" s="262"/>
      <c r="E214" s="241"/>
      <c r="F214" s="241"/>
      <c r="G214" s="241"/>
      <c r="H214" s="241"/>
      <c r="I214" s="241"/>
      <c r="J214" s="241"/>
      <c r="K214" s="241"/>
    </row>
    <row r="215" spans="1:11" ht="15.75" customHeight="1" x14ac:dyDescent="0.2">
      <c r="A215" s="260"/>
      <c r="B215" s="261"/>
      <c r="C215" s="262"/>
      <c r="D215" s="262"/>
      <c r="E215" s="241"/>
      <c r="F215" s="241"/>
      <c r="G215" s="241"/>
      <c r="H215" s="241"/>
      <c r="I215" s="241"/>
      <c r="J215" s="241"/>
      <c r="K215" s="241"/>
    </row>
    <row r="216" spans="1:11" ht="15.75" customHeight="1" x14ac:dyDescent="0.2">
      <c r="A216" s="260"/>
      <c r="B216" s="261"/>
      <c r="C216" s="262"/>
      <c r="D216" s="262"/>
      <c r="E216" s="241"/>
      <c r="F216" s="241"/>
      <c r="G216" s="241"/>
      <c r="H216" s="241"/>
      <c r="I216" s="241"/>
      <c r="J216" s="241"/>
      <c r="K216" s="241"/>
    </row>
    <row r="217" spans="1:11" ht="15.75" customHeight="1" x14ac:dyDescent="0.2">
      <c r="A217" s="260"/>
      <c r="B217" s="261"/>
      <c r="C217" s="262"/>
      <c r="D217" s="262"/>
      <c r="E217" s="241"/>
      <c r="F217" s="241"/>
      <c r="G217" s="241"/>
      <c r="H217" s="241"/>
      <c r="I217" s="241"/>
      <c r="J217" s="241"/>
      <c r="K217" s="241"/>
    </row>
    <row r="218" spans="1:11" ht="15.75" customHeight="1" x14ac:dyDescent="0.2">
      <c r="A218" s="260"/>
      <c r="B218" s="261"/>
      <c r="C218" s="262"/>
      <c r="D218" s="262"/>
      <c r="E218" s="241"/>
      <c r="F218" s="241"/>
      <c r="G218" s="241"/>
      <c r="H218" s="241"/>
      <c r="I218" s="241"/>
      <c r="J218" s="241"/>
      <c r="K218" s="241"/>
    </row>
    <row r="219" spans="1:11" ht="15.75" customHeight="1" x14ac:dyDescent="0.2">
      <c r="A219" s="260"/>
      <c r="B219" s="261"/>
      <c r="C219" s="262"/>
      <c r="D219" s="262"/>
      <c r="E219" s="241"/>
      <c r="F219" s="241"/>
      <c r="G219" s="241"/>
      <c r="H219" s="241"/>
      <c r="I219" s="241"/>
      <c r="J219" s="241"/>
      <c r="K219" s="241"/>
    </row>
    <row r="220" spans="1:11" ht="15.75" customHeight="1" x14ac:dyDescent="0.2">
      <c r="A220" s="260"/>
      <c r="B220" s="261"/>
      <c r="C220" s="262"/>
      <c r="D220" s="262"/>
      <c r="E220" s="241"/>
      <c r="F220" s="241"/>
      <c r="G220" s="241"/>
      <c r="H220" s="241"/>
      <c r="I220" s="241"/>
      <c r="J220" s="241"/>
      <c r="K220" s="241"/>
    </row>
    <row r="221" spans="1:11" ht="15.75" customHeight="1" x14ac:dyDescent="0.2">
      <c r="A221" s="260"/>
      <c r="B221" s="261"/>
      <c r="C221" s="262"/>
      <c r="D221" s="262"/>
      <c r="E221" s="241"/>
      <c r="F221" s="241"/>
      <c r="G221" s="241"/>
      <c r="H221" s="241"/>
      <c r="I221" s="241"/>
      <c r="J221" s="241"/>
      <c r="K221" s="241"/>
    </row>
    <row r="222" spans="1:11" ht="15.75" customHeight="1" x14ac:dyDescent="0.2">
      <c r="A222" s="260"/>
      <c r="B222" s="261"/>
      <c r="C222" s="262"/>
      <c r="D222" s="262"/>
      <c r="E222" s="241"/>
      <c r="F222" s="241"/>
      <c r="G222" s="241"/>
      <c r="H222" s="241"/>
      <c r="I222" s="241"/>
      <c r="J222" s="241"/>
      <c r="K222" s="241"/>
    </row>
    <row r="223" spans="1:11" ht="15.75" customHeight="1" x14ac:dyDescent="0.2">
      <c r="A223" s="260"/>
      <c r="B223" s="261"/>
      <c r="C223" s="262"/>
      <c r="D223" s="262"/>
      <c r="E223" s="241"/>
      <c r="F223" s="241"/>
      <c r="G223" s="241"/>
      <c r="H223" s="241"/>
      <c r="I223" s="241"/>
      <c r="J223" s="241"/>
      <c r="K223" s="241"/>
    </row>
    <row r="224" spans="1:11" ht="15.75" customHeight="1" x14ac:dyDescent="0.2">
      <c r="A224" s="260"/>
      <c r="B224" s="261"/>
      <c r="C224" s="262"/>
      <c r="D224" s="262"/>
      <c r="E224" s="241"/>
      <c r="F224" s="241"/>
      <c r="G224" s="241"/>
      <c r="H224" s="241"/>
      <c r="I224" s="241"/>
      <c r="J224" s="241"/>
      <c r="K224" s="241"/>
    </row>
    <row r="225" spans="1:11" ht="15.75" customHeight="1" x14ac:dyDescent="0.2">
      <c r="A225" s="260"/>
      <c r="B225" s="261"/>
      <c r="C225" s="262"/>
      <c r="D225" s="262"/>
      <c r="E225" s="241"/>
      <c r="F225" s="241"/>
      <c r="G225" s="241"/>
      <c r="H225" s="241"/>
      <c r="I225" s="241"/>
      <c r="J225" s="241"/>
      <c r="K225" s="241"/>
    </row>
    <row r="226" spans="1:11" ht="15.75" customHeight="1" x14ac:dyDescent="0.2">
      <c r="A226" s="260"/>
      <c r="B226" s="261"/>
      <c r="C226" s="262"/>
      <c r="D226" s="262"/>
      <c r="E226" s="241"/>
      <c r="F226" s="241"/>
      <c r="G226" s="241"/>
      <c r="H226" s="241"/>
      <c r="I226" s="241"/>
      <c r="J226" s="241"/>
      <c r="K226" s="241"/>
    </row>
    <row r="227" spans="1:11" ht="15.75" customHeight="1" x14ac:dyDescent="0.2">
      <c r="A227" s="260"/>
      <c r="B227" s="261"/>
      <c r="C227" s="262"/>
      <c r="D227" s="262"/>
      <c r="E227" s="241"/>
      <c r="F227" s="241"/>
      <c r="G227" s="241"/>
      <c r="H227" s="241"/>
      <c r="I227" s="241"/>
      <c r="J227" s="241"/>
      <c r="K227" s="241"/>
    </row>
    <row r="228" spans="1:11" ht="15.75" customHeight="1" x14ac:dyDescent="0.2">
      <c r="A228" s="260"/>
      <c r="B228" s="261"/>
      <c r="C228" s="262"/>
      <c r="D228" s="262"/>
      <c r="E228" s="241"/>
      <c r="F228" s="241"/>
      <c r="G228" s="241"/>
      <c r="H228" s="241"/>
      <c r="I228" s="241"/>
      <c r="J228" s="241"/>
      <c r="K228" s="241"/>
    </row>
    <row r="229" spans="1:11" ht="15.75" customHeight="1" x14ac:dyDescent="0.2">
      <c r="A229" s="260"/>
      <c r="B229" s="261"/>
      <c r="C229" s="262"/>
      <c r="D229" s="262"/>
      <c r="E229" s="241"/>
      <c r="F229" s="241"/>
      <c r="G229" s="241"/>
      <c r="H229" s="241"/>
      <c r="I229" s="241"/>
      <c r="J229" s="241"/>
      <c r="K229" s="241"/>
    </row>
    <row r="230" spans="1:11" ht="15.75" customHeight="1" x14ac:dyDescent="0.2">
      <c r="A230" s="260"/>
      <c r="B230" s="261"/>
      <c r="C230" s="262"/>
      <c r="D230" s="262"/>
      <c r="E230" s="241"/>
      <c r="F230" s="241"/>
      <c r="G230" s="241"/>
      <c r="H230" s="241"/>
      <c r="I230" s="241"/>
      <c r="J230" s="241"/>
      <c r="K230" s="241"/>
    </row>
    <row r="231" spans="1:11" ht="15.75" customHeight="1" x14ac:dyDescent="0.2">
      <c r="A231" s="260"/>
      <c r="B231" s="261"/>
      <c r="C231" s="262"/>
      <c r="D231" s="262"/>
      <c r="E231" s="241"/>
      <c r="F231" s="241"/>
      <c r="G231" s="241"/>
      <c r="H231" s="241"/>
      <c r="I231" s="241"/>
      <c r="J231" s="241"/>
      <c r="K231" s="241"/>
    </row>
    <row r="232" spans="1:11" ht="15.75" customHeight="1" x14ac:dyDescent="0.2">
      <c r="A232" s="260"/>
      <c r="B232" s="261"/>
      <c r="C232" s="262"/>
      <c r="D232" s="262"/>
      <c r="E232" s="241"/>
      <c r="F232" s="241"/>
      <c r="G232" s="241"/>
      <c r="H232" s="241"/>
      <c r="I232" s="241"/>
      <c r="J232" s="241"/>
      <c r="K232" s="241"/>
    </row>
    <row r="233" spans="1:11" ht="15.75" customHeight="1" x14ac:dyDescent="0.2">
      <c r="A233" s="260"/>
      <c r="B233" s="261"/>
      <c r="C233" s="262"/>
      <c r="D233" s="262"/>
      <c r="E233" s="241"/>
      <c r="F233" s="241"/>
      <c r="G233" s="241"/>
      <c r="H233" s="241"/>
      <c r="I233" s="241"/>
      <c r="J233" s="241"/>
      <c r="K233" s="241"/>
    </row>
    <row r="234" spans="1:11" ht="15.75" customHeight="1" x14ac:dyDescent="0.2">
      <c r="A234" s="260"/>
      <c r="B234" s="261"/>
      <c r="C234" s="262"/>
      <c r="D234" s="262"/>
      <c r="E234" s="241"/>
      <c r="F234" s="241"/>
      <c r="G234" s="241"/>
      <c r="H234" s="241"/>
      <c r="I234" s="241"/>
      <c r="J234" s="241"/>
      <c r="K234" s="241"/>
    </row>
    <row r="235" spans="1:11" ht="15.75" customHeight="1" x14ac:dyDescent="0.2">
      <c r="A235" s="260"/>
      <c r="B235" s="261"/>
      <c r="C235" s="262"/>
      <c r="D235" s="262"/>
      <c r="E235" s="241"/>
      <c r="F235" s="241"/>
      <c r="G235" s="241"/>
      <c r="H235" s="241"/>
      <c r="I235" s="241"/>
      <c r="J235" s="241"/>
      <c r="K235" s="241"/>
    </row>
    <row r="236" spans="1:11" ht="15.75" customHeight="1" x14ac:dyDescent="0.2">
      <c r="A236" s="260"/>
      <c r="B236" s="261"/>
      <c r="C236" s="262"/>
      <c r="D236" s="262"/>
      <c r="E236" s="241"/>
      <c r="F236" s="241"/>
      <c r="G236" s="241"/>
      <c r="H236" s="241"/>
      <c r="I236" s="241"/>
      <c r="J236" s="241"/>
      <c r="K236" s="241"/>
    </row>
    <row r="237" spans="1:11" ht="15.75" customHeight="1" x14ac:dyDescent="0.2">
      <c r="A237" s="260"/>
      <c r="B237" s="261"/>
      <c r="C237" s="262"/>
      <c r="D237" s="262"/>
      <c r="E237" s="241"/>
      <c r="F237" s="241"/>
      <c r="G237" s="241"/>
      <c r="H237" s="241"/>
      <c r="I237" s="241"/>
      <c r="J237" s="241"/>
      <c r="K237" s="241"/>
    </row>
    <row r="238" spans="1:11" ht="15.75" customHeight="1" x14ac:dyDescent="0.2">
      <c r="A238" s="260"/>
      <c r="B238" s="261"/>
      <c r="C238" s="262"/>
      <c r="D238" s="262"/>
      <c r="E238" s="241"/>
      <c r="F238" s="241"/>
      <c r="G238" s="241"/>
      <c r="H238" s="241"/>
      <c r="I238" s="241"/>
      <c r="J238" s="241"/>
      <c r="K238" s="241"/>
    </row>
    <row r="239" spans="1:11" ht="15.75" customHeight="1" x14ac:dyDescent="0.2">
      <c r="A239" s="260"/>
      <c r="B239" s="261"/>
      <c r="C239" s="262"/>
      <c r="D239" s="262"/>
      <c r="E239" s="241"/>
      <c r="F239" s="241"/>
      <c r="G239" s="241"/>
      <c r="H239" s="241"/>
      <c r="I239" s="241"/>
      <c r="J239" s="241"/>
      <c r="K239" s="241"/>
    </row>
    <row r="240" spans="1:11" ht="15.75" customHeight="1" x14ac:dyDescent="0.2">
      <c r="A240" s="260"/>
      <c r="B240" s="261"/>
      <c r="C240" s="262"/>
      <c r="D240" s="262"/>
      <c r="E240" s="241"/>
      <c r="F240" s="241"/>
      <c r="G240" s="241"/>
      <c r="H240" s="241"/>
      <c r="I240" s="241"/>
      <c r="J240" s="241"/>
      <c r="K240" s="241"/>
    </row>
    <row r="241" spans="1:11" ht="15.75" customHeight="1" x14ac:dyDescent="0.2">
      <c r="A241" s="260"/>
      <c r="B241" s="261"/>
      <c r="C241" s="262"/>
      <c r="D241" s="262"/>
      <c r="E241" s="241"/>
      <c r="F241" s="241"/>
      <c r="G241" s="241"/>
      <c r="H241" s="241"/>
      <c r="I241" s="241"/>
      <c r="J241" s="241"/>
      <c r="K241" s="241"/>
    </row>
    <row r="242" spans="1:11" ht="15.75" customHeight="1" x14ac:dyDescent="0.2">
      <c r="A242" s="260"/>
      <c r="B242" s="261"/>
      <c r="C242" s="262"/>
      <c r="D242" s="262"/>
      <c r="E242" s="241"/>
      <c r="F242" s="241"/>
      <c r="G242" s="241"/>
      <c r="H242" s="241"/>
      <c r="I242" s="241"/>
      <c r="J242" s="241"/>
      <c r="K242" s="241"/>
    </row>
    <row r="243" spans="1:11" ht="15.75" customHeight="1" x14ac:dyDescent="0.2">
      <c r="A243" s="260"/>
      <c r="B243" s="261"/>
      <c r="C243" s="262"/>
      <c r="D243" s="262"/>
      <c r="E243" s="241"/>
      <c r="F243" s="241"/>
      <c r="G243" s="241"/>
      <c r="H243" s="241"/>
      <c r="I243" s="241"/>
      <c r="J243" s="241"/>
      <c r="K243" s="241"/>
    </row>
    <row r="244" spans="1:11" ht="15.75" customHeight="1" x14ac:dyDescent="0.2">
      <c r="A244" s="260"/>
      <c r="B244" s="261"/>
      <c r="C244" s="262"/>
      <c r="D244" s="262"/>
      <c r="E244" s="241"/>
      <c r="F244" s="241"/>
      <c r="G244" s="241"/>
      <c r="H244" s="241"/>
      <c r="I244" s="241"/>
      <c r="J244" s="241"/>
      <c r="K244" s="241"/>
    </row>
    <row r="245" spans="1:11" ht="15.75" customHeight="1" x14ac:dyDescent="0.2">
      <c r="A245" s="260"/>
      <c r="B245" s="261"/>
      <c r="C245" s="262"/>
      <c r="D245" s="262"/>
      <c r="E245" s="241"/>
      <c r="F245" s="241"/>
      <c r="G245" s="241"/>
      <c r="H245" s="241"/>
      <c r="I245" s="241"/>
      <c r="J245" s="241"/>
      <c r="K245" s="241"/>
    </row>
    <row r="246" spans="1:11" ht="15.75" customHeight="1" x14ac:dyDescent="0.2">
      <c r="A246" s="260"/>
      <c r="B246" s="261"/>
      <c r="C246" s="262"/>
      <c r="D246" s="262"/>
      <c r="E246" s="241"/>
      <c r="F246" s="241"/>
      <c r="G246" s="241"/>
      <c r="H246" s="241"/>
      <c r="I246" s="241"/>
      <c r="J246" s="241"/>
      <c r="K246" s="241"/>
    </row>
    <row r="247" spans="1:11" ht="15.75" customHeight="1" x14ac:dyDescent="0.2">
      <c r="A247" s="260"/>
      <c r="B247" s="261"/>
      <c r="C247" s="262"/>
      <c r="D247" s="262"/>
      <c r="E247" s="241"/>
      <c r="F247" s="241"/>
      <c r="G247" s="241"/>
      <c r="H247" s="241"/>
      <c r="I247" s="241"/>
      <c r="J247" s="241"/>
      <c r="K247" s="241"/>
    </row>
  </sheetData>
  <mergeCells count="3">
    <mergeCell ref="A1:D1"/>
    <mergeCell ref="A3:D3"/>
    <mergeCell ref="A12:D12"/>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M253"/>
  <sheetViews>
    <sheetView workbookViewId="0"/>
  </sheetViews>
  <sheetFormatPr defaultColWidth="14.390625" defaultRowHeight="15" customHeight="1" x14ac:dyDescent="0.2"/>
  <cols>
    <col min="1" max="1" width="12.5078125" customWidth="1"/>
    <col min="2" max="2" width="75.87109375" customWidth="1"/>
    <col min="3" max="3" width="4.9765625" customWidth="1"/>
    <col min="4" max="4" width="18.96484375" customWidth="1"/>
    <col min="5" max="5" width="21.65625" customWidth="1"/>
    <col min="6" max="6" width="12.5078125" customWidth="1"/>
    <col min="7" max="7" width="16.94921875" customWidth="1"/>
    <col min="8" max="8" width="20.4453125" customWidth="1"/>
    <col min="9" max="9" width="16.140625" customWidth="1"/>
    <col min="10" max="10" width="15.33203125" customWidth="1"/>
    <col min="11" max="11" width="14.125" customWidth="1"/>
    <col min="12" max="13" width="12.5078125" customWidth="1"/>
  </cols>
  <sheetData>
    <row r="1" spans="1:13" ht="15.75" customHeight="1" x14ac:dyDescent="0.2">
      <c r="A1" s="192"/>
      <c r="B1" s="192"/>
      <c r="C1" s="192"/>
      <c r="D1" s="263"/>
      <c r="E1" s="263"/>
      <c r="F1" s="241"/>
      <c r="G1" s="241"/>
      <c r="H1" s="241"/>
      <c r="I1" s="241"/>
      <c r="J1" s="241"/>
      <c r="K1" s="241"/>
      <c r="L1" s="241"/>
      <c r="M1" s="241"/>
    </row>
    <row r="2" spans="1:13" ht="15.75" customHeight="1" x14ac:dyDescent="0.3">
      <c r="A2" s="466" t="s">
        <v>188</v>
      </c>
      <c r="B2" s="426"/>
      <c r="C2" s="426"/>
      <c r="D2" s="426"/>
      <c r="E2" s="426"/>
      <c r="F2" s="241"/>
      <c r="G2" s="241"/>
      <c r="H2" s="241"/>
      <c r="I2" s="241"/>
      <c r="J2" s="241"/>
      <c r="K2" s="241"/>
      <c r="L2" s="241"/>
      <c r="M2" s="241"/>
    </row>
    <row r="3" spans="1:13" ht="15.75" customHeight="1" x14ac:dyDescent="0.3">
      <c r="A3" s="466" t="s">
        <v>30</v>
      </c>
      <c r="B3" s="426"/>
      <c r="C3" s="426"/>
      <c r="D3" s="426"/>
      <c r="E3" s="426"/>
      <c r="F3" s="241"/>
      <c r="G3" s="241"/>
      <c r="H3" s="241"/>
      <c r="I3" s="241"/>
      <c r="J3" s="241"/>
      <c r="K3" s="241"/>
      <c r="L3" s="241"/>
      <c r="M3" s="241"/>
    </row>
    <row r="4" spans="1:13" ht="15.75" customHeight="1" x14ac:dyDescent="0.3">
      <c r="A4" s="467">
        <v>43466</v>
      </c>
      <c r="B4" s="426"/>
      <c r="C4" s="426"/>
      <c r="D4" s="426"/>
      <c r="E4" s="426"/>
      <c r="F4" s="241"/>
      <c r="G4" s="241"/>
      <c r="H4" s="241"/>
      <c r="I4" s="241"/>
      <c r="J4" s="241"/>
      <c r="K4" s="241"/>
      <c r="L4" s="241"/>
      <c r="M4" s="241"/>
    </row>
    <row r="5" spans="1:13" ht="15.75" customHeight="1" x14ac:dyDescent="0.2">
      <c r="A5" s="192"/>
      <c r="B5" s="192"/>
      <c r="C5" s="192"/>
      <c r="D5" s="263"/>
      <c r="E5" s="263"/>
      <c r="F5" s="241"/>
      <c r="G5" s="241"/>
      <c r="H5" s="241"/>
      <c r="I5" s="241"/>
      <c r="J5" s="241"/>
      <c r="K5" s="241"/>
      <c r="L5" s="241"/>
      <c r="M5" s="241"/>
    </row>
    <row r="6" spans="1:13" ht="15.75" customHeight="1" x14ac:dyDescent="0.2">
      <c r="A6" s="264" t="s">
        <v>3</v>
      </c>
      <c r="B6" s="264" t="s">
        <v>4</v>
      </c>
      <c r="C6" s="264" t="s">
        <v>189</v>
      </c>
      <c r="D6" s="265" t="s">
        <v>33</v>
      </c>
      <c r="E6" s="265" t="s">
        <v>34</v>
      </c>
      <c r="F6" s="241"/>
      <c r="G6" s="241"/>
      <c r="H6" s="241"/>
      <c r="I6" s="241"/>
      <c r="J6" s="241"/>
      <c r="K6" s="241"/>
      <c r="L6" s="241"/>
      <c r="M6" s="241"/>
    </row>
    <row r="7" spans="1:13" ht="15.75" customHeight="1" x14ac:dyDescent="0.2">
      <c r="A7" s="468" t="s">
        <v>190</v>
      </c>
      <c r="B7" s="434"/>
      <c r="C7" s="434"/>
      <c r="D7" s="434"/>
      <c r="E7" s="435"/>
      <c r="F7" s="241"/>
      <c r="G7" s="241"/>
      <c r="H7" s="241"/>
      <c r="I7" s="241"/>
      <c r="J7" s="241"/>
      <c r="K7" s="241"/>
      <c r="L7" s="241"/>
      <c r="M7" s="241"/>
    </row>
    <row r="8" spans="1:13" ht="15.75" customHeight="1" x14ac:dyDescent="0.2">
      <c r="A8" s="266"/>
      <c r="B8" s="267" t="s">
        <v>191</v>
      </c>
      <c r="C8" s="268"/>
      <c r="D8" s="269">
        <f>SUM('Day 4.1 Akuntansi Biaya'!D6:D7)</f>
        <v>8000000</v>
      </c>
      <c r="E8" s="270"/>
      <c r="F8" s="241"/>
      <c r="G8" s="241"/>
      <c r="H8" s="241"/>
      <c r="I8" s="241"/>
      <c r="J8" s="241"/>
      <c r="K8" s="241"/>
      <c r="L8" s="241"/>
      <c r="M8" s="241"/>
    </row>
    <row r="9" spans="1:13" ht="15.75" customHeight="1" x14ac:dyDescent="0.2">
      <c r="A9" s="271"/>
      <c r="B9" s="272" t="s">
        <v>59</v>
      </c>
      <c r="C9" s="273"/>
      <c r="D9" s="274"/>
      <c r="E9" s="275">
        <f>D8</f>
        <v>8000000</v>
      </c>
      <c r="F9" s="241"/>
      <c r="G9" s="241"/>
      <c r="H9" s="241"/>
      <c r="I9" s="241"/>
      <c r="J9" s="241"/>
      <c r="K9" s="241"/>
      <c r="L9" s="241"/>
      <c r="M9" s="241"/>
    </row>
    <row r="10" spans="1:13" ht="15.75" customHeight="1" x14ac:dyDescent="0.2">
      <c r="A10" s="271"/>
      <c r="B10" s="276" t="s">
        <v>192</v>
      </c>
      <c r="C10" s="271"/>
      <c r="D10" s="274"/>
      <c r="E10" s="274"/>
      <c r="F10" s="241"/>
      <c r="G10" s="241"/>
      <c r="H10" s="241"/>
      <c r="I10" s="241"/>
      <c r="J10" s="241"/>
      <c r="K10" s="241"/>
      <c r="L10" s="241"/>
      <c r="M10" s="241"/>
    </row>
    <row r="11" spans="1:13" ht="15.75" customHeight="1" x14ac:dyDescent="0.2">
      <c r="A11" s="277"/>
      <c r="B11" s="271" t="s">
        <v>193</v>
      </c>
      <c r="C11" s="278"/>
      <c r="D11" s="279">
        <f>'Day 4.1 Akuntansi Biaya'!D8+'Day 4.1 Akuntansi Biaya'!D9</f>
        <v>10000000</v>
      </c>
      <c r="E11" s="274"/>
      <c r="F11" s="241"/>
      <c r="G11" s="241"/>
      <c r="H11" s="241"/>
      <c r="I11" s="241"/>
      <c r="J11" s="241"/>
      <c r="K11" s="241"/>
      <c r="L11" s="241"/>
      <c r="M11" s="241"/>
    </row>
    <row r="12" spans="1:13" ht="15.75" customHeight="1" x14ac:dyDescent="0.2">
      <c r="A12" s="271"/>
      <c r="B12" s="280" t="s">
        <v>59</v>
      </c>
      <c r="C12" s="278"/>
      <c r="D12" s="274"/>
      <c r="E12" s="279">
        <f>D11</f>
        <v>10000000</v>
      </c>
      <c r="F12" s="241"/>
      <c r="G12" s="241"/>
      <c r="H12" s="241"/>
      <c r="I12" s="241"/>
      <c r="J12" s="241"/>
      <c r="K12" s="241"/>
      <c r="L12" s="241"/>
      <c r="M12" s="241"/>
    </row>
    <row r="13" spans="1:13" ht="15.75" customHeight="1" x14ac:dyDescent="0.2">
      <c r="A13" s="271"/>
      <c r="B13" s="281"/>
      <c r="C13" s="271"/>
      <c r="D13" s="274"/>
      <c r="E13" s="274"/>
      <c r="F13" s="241"/>
      <c r="G13" s="241"/>
      <c r="H13" s="241"/>
      <c r="I13" s="241"/>
      <c r="J13" s="241"/>
      <c r="K13" s="241"/>
      <c r="L13" s="241"/>
      <c r="M13" s="241"/>
    </row>
    <row r="14" spans="1:13" ht="15.75" customHeight="1" x14ac:dyDescent="0.2">
      <c r="A14" s="469" t="s">
        <v>194</v>
      </c>
      <c r="B14" s="426"/>
      <c r="C14" s="426"/>
      <c r="D14" s="426"/>
      <c r="E14" s="426"/>
      <c r="F14" s="241"/>
      <c r="G14" s="241"/>
      <c r="H14" s="241"/>
      <c r="I14" s="241"/>
      <c r="J14" s="241"/>
      <c r="K14" s="241"/>
      <c r="L14" s="241"/>
      <c r="M14" s="241"/>
    </row>
    <row r="15" spans="1:13" ht="15.75" customHeight="1" x14ac:dyDescent="0.2">
      <c r="A15" s="282"/>
      <c r="B15" s="271" t="s">
        <v>195</v>
      </c>
      <c r="C15" s="278"/>
      <c r="D15" s="274">
        <f>'Day 4.1 Akuntansi Biaya'!D17</f>
        <v>6700000</v>
      </c>
      <c r="E15" s="279"/>
      <c r="F15" s="241"/>
      <c r="G15" s="241"/>
      <c r="H15" s="241"/>
      <c r="I15" s="241"/>
      <c r="J15" s="241"/>
      <c r="K15" s="241"/>
      <c r="L15" s="241"/>
      <c r="M15" s="241"/>
    </row>
    <row r="16" spans="1:13" ht="15.75" customHeight="1" x14ac:dyDescent="0.2">
      <c r="A16" s="271"/>
      <c r="B16" s="280" t="s">
        <v>196</v>
      </c>
      <c r="C16" s="271"/>
      <c r="D16" s="274"/>
      <c r="E16" s="274">
        <f>D15</f>
        <v>6700000</v>
      </c>
      <c r="F16" s="241"/>
      <c r="G16" s="241"/>
      <c r="H16" s="241"/>
      <c r="I16" s="241"/>
      <c r="J16" s="241"/>
      <c r="K16" s="241"/>
      <c r="L16" s="241"/>
      <c r="M16" s="241"/>
    </row>
    <row r="17" spans="1:13" ht="15.75" customHeight="1" x14ac:dyDescent="0.2">
      <c r="A17" s="277"/>
      <c r="B17" s="281"/>
      <c r="C17" s="278"/>
      <c r="D17" s="279"/>
      <c r="E17" s="274"/>
      <c r="F17" s="241"/>
      <c r="G17" s="241"/>
      <c r="H17" s="241"/>
      <c r="I17" s="241"/>
      <c r="J17" s="241"/>
      <c r="K17" s="241"/>
      <c r="L17" s="241"/>
      <c r="M17" s="241"/>
    </row>
    <row r="18" spans="1:13" ht="15.75" customHeight="1" x14ac:dyDescent="0.2">
      <c r="A18" s="282"/>
      <c r="B18" s="271" t="s">
        <v>197</v>
      </c>
      <c r="C18" s="278"/>
      <c r="D18" s="274">
        <f>'Day 4.1 Akuntansi Biaya'!D22</f>
        <v>8000000</v>
      </c>
      <c r="E18" s="279"/>
      <c r="F18" s="241"/>
      <c r="G18" s="241"/>
      <c r="H18" s="241"/>
      <c r="I18" s="241"/>
      <c r="J18" s="241"/>
      <c r="K18" s="241"/>
      <c r="L18" s="241"/>
      <c r="M18" s="241"/>
    </row>
    <row r="19" spans="1:13" ht="15.75" customHeight="1" x14ac:dyDescent="0.2">
      <c r="A19" s="271"/>
      <c r="B19" s="280" t="s">
        <v>193</v>
      </c>
      <c r="C19" s="271"/>
      <c r="D19" s="274"/>
      <c r="E19" s="274">
        <f>D18</f>
        <v>8000000</v>
      </c>
      <c r="F19" s="241"/>
      <c r="G19" s="241"/>
      <c r="H19" s="241"/>
      <c r="I19" s="241"/>
      <c r="J19" s="241"/>
      <c r="K19" s="241"/>
      <c r="L19" s="241"/>
      <c r="M19" s="241"/>
    </row>
    <row r="20" spans="1:13" ht="15.75" customHeight="1" x14ac:dyDescent="0.2">
      <c r="A20" s="283"/>
      <c r="B20" s="284"/>
      <c r="C20" s="285"/>
      <c r="D20" s="286"/>
      <c r="E20" s="287"/>
      <c r="F20" s="241"/>
      <c r="G20" s="241"/>
      <c r="H20" s="241"/>
      <c r="I20" s="241"/>
      <c r="J20" s="241"/>
      <c r="K20" s="241"/>
      <c r="L20" s="241"/>
      <c r="M20" s="241"/>
    </row>
    <row r="21" spans="1:13" ht="15.75" customHeight="1" x14ac:dyDescent="0.2">
      <c r="A21" s="465" t="s">
        <v>198</v>
      </c>
      <c r="B21" s="434"/>
      <c r="C21" s="434"/>
      <c r="D21" s="434"/>
      <c r="E21" s="435"/>
      <c r="F21" s="241"/>
      <c r="G21" s="241"/>
      <c r="H21" s="241"/>
      <c r="I21" s="241"/>
      <c r="J21" s="241"/>
      <c r="K21" s="241"/>
      <c r="L21" s="241"/>
      <c r="M21" s="241"/>
    </row>
    <row r="22" spans="1:13" ht="15.75" customHeight="1" x14ac:dyDescent="0.2">
      <c r="A22" s="288"/>
      <c r="B22" s="289" t="s">
        <v>199</v>
      </c>
      <c r="C22" s="289"/>
      <c r="D22" s="270">
        <f>'Day 4.1 Akuntansi Biaya'!D25</f>
        <v>3600000</v>
      </c>
      <c r="E22" s="270"/>
      <c r="F22" s="241"/>
      <c r="G22" s="290"/>
      <c r="H22" s="241"/>
      <c r="I22" s="241"/>
      <c r="J22" s="241"/>
      <c r="K22" s="241"/>
      <c r="L22" s="241"/>
      <c r="M22" s="241"/>
    </row>
    <row r="23" spans="1:13" ht="15.75" customHeight="1" x14ac:dyDescent="0.2">
      <c r="A23" s="277"/>
      <c r="B23" s="271" t="s">
        <v>197</v>
      </c>
      <c r="C23" s="278"/>
      <c r="D23" s="274">
        <f>'Day 4.1 Akuntansi Biaya'!D26</f>
        <v>1500000</v>
      </c>
      <c r="E23" s="274"/>
      <c r="F23" s="241"/>
      <c r="G23" s="241"/>
      <c r="H23" s="241"/>
      <c r="I23" s="241"/>
      <c r="J23" s="241"/>
      <c r="K23" s="241"/>
      <c r="L23" s="241"/>
      <c r="M23" s="241"/>
    </row>
    <row r="24" spans="1:13" ht="15.75" customHeight="1" x14ac:dyDescent="0.2">
      <c r="A24" s="271"/>
      <c r="B24" s="241" t="s">
        <v>200</v>
      </c>
      <c r="C24" s="278"/>
      <c r="D24" s="274">
        <f>'Day 4.1 Akuntansi Biaya'!D28</f>
        <v>3000000</v>
      </c>
      <c r="E24" s="279"/>
      <c r="F24" s="241"/>
      <c r="G24" s="241"/>
      <c r="H24" s="241"/>
      <c r="I24" s="241"/>
      <c r="J24" s="241"/>
      <c r="K24" s="241"/>
      <c r="L24" s="241"/>
      <c r="M24" s="241"/>
    </row>
    <row r="25" spans="1:13" ht="15.75" customHeight="1" x14ac:dyDescent="0.2">
      <c r="A25" s="271"/>
      <c r="B25" s="271" t="s">
        <v>201</v>
      </c>
      <c r="C25" s="271"/>
      <c r="D25" s="274">
        <f>'Day 4.1 Akuntansi Biaya'!D29</f>
        <v>4000000</v>
      </c>
      <c r="E25" s="274"/>
      <c r="F25" s="241"/>
      <c r="G25" s="241"/>
      <c r="H25" s="241"/>
      <c r="I25" s="241"/>
      <c r="J25" s="241"/>
      <c r="K25" s="241"/>
      <c r="L25" s="241"/>
      <c r="M25" s="241"/>
    </row>
    <row r="26" spans="1:13" ht="15.75" customHeight="1" x14ac:dyDescent="0.2">
      <c r="A26" s="277"/>
      <c r="B26" s="280" t="s">
        <v>202</v>
      </c>
      <c r="C26" s="278"/>
      <c r="D26" s="279"/>
      <c r="E26" s="274">
        <f>SUM(D22:D25)</f>
        <v>12100000</v>
      </c>
      <c r="F26" s="241"/>
      <c r="G26" s="241"/>
      <c r="H26" s="241"/>
      <c r="I26" s="241"/>
      <c r="J26" s="241"/>
      <c r="K26" s="241"/>
      <c r="L26" s="241"/>
      <c r="M26" s="241"/>
    </row>
    <row r="27" spans="1:13" ht="15.75" customHeight="1" x14ac:dyDescent="0.2">
      <c r="A27" s="271"/>
      <c r="B27" s="281"/>
      <c r="C27" s="278"/>
      <c r="D27" s="274"/>
      <c r="E27" s="279"/>
      <c r="F27" s="241"/>
      <c r="G27" s="241"/>
      <c r="H27" s="241"/>
      <c r="I27" s="241"/>
      <c r="J27" s="241"/>
      <c r="K27" s="241"/>
      <c r="L27" s="241"/>
      <c r="M27" s="241"/>
    </row>
    <row r="28" spans="1:13" ht="15.75" customHeight="1" x14ac:dyDescent="0.2">
      <c r="A28" s="282"/>
      <c r="B28" s="271" t="str">
        <f>B26</f>
        <v>Utang Gaji Dan Upah</v>
      </c>
      <c r="C28" s="271"/>
      <c r="D28" s="274">
        <f>SUM(D22:D25)</f>
        <v>12100000</v>
      </c>
      <c r="E28" s="274"/>
      <c r="F28" s="241"/>
      <c r="G28" s="240"/>
      <c r="H28" s="240"/>
      <c r="I28" s="240"/>
      <c r="J28" s="240"/>
      <c r="K28" s="240"/>
      <c r="L28" s="240"/>
      <c r="M28" s="240"/>
    </row>
    <row r="29" spans="1:13" ht="15.75" customHeight="1" x14ac:dyDescent="0.2">
      <c r="A29" s="277"/>
      <c r="B29" s="280" t="s">
        <v>203</v>
      </c>
      <c r="C29" s="278"/>
      <c r="D29" s="279"/>
      <c r="E29" s="274">
        <f>E26</f>
        <v>12100000</v>
      </c>
      <c r="F29" s="241"/>
      <c r="G29" s="240"/>
      <c r="H29" s="240"/>
      <c r="I29" s="240"/>
      <c r="J29" s="240"/>
      <c r="K29" s="240"/>
      <c r="L29" s="240"/>
      <c r="M29" s="240"/>
    </row>
    <row r="30" spans="1:13" ht="15.75" customHeight="1" x14ac:dyDescent="0.2">
      <c r="A30" s="271"/>
      <c r="B30" s="281"/>
      <c r="C30" s="278"/>
      <c r="D30" s="274"/>
      <c r="E30" s="279"/>
      <c r="F30" s="241"/>
      <c r="G30" s="240"/>
      <c r="H30" s="240"/>
      <c r="I30" s="240"/>
      <c r="J30" s="240"/>
      <c r="K30" s="240"/>
      <c r="L30" s="240"/>
      <c r="M30" s="240"/>
    </row>
    <row r="31" spans="1:13" ht="15.75" customHeight="1" x14ac:dyDescent="0.2">
      <c r="A31" s="469" t="s">
        <v>204</v>
      </c>
      <c r="B31" s="426"/>
      <c r="C31" s="426"/>
      <c r="D31" s="426"/>
      <c r="E31" s="426"/>
      <c r="F31" s="241"/>
      <c r="G31" s="240"/>
      <c r="H31" s="240"/>
      <c r="I31" s="240"/>
      <c r="J31" s="240"/>
      <c r="K31" s="240"/>
      <c r="L31" s="240"/>
      <c r="M31" s="240"/>
    </row>
    <row r="32" spans="1:13" ht="15.75" customHeight="1" x14ac:dyDescent="0.2">
      <c r="A32" s="282"/>
      <c r="B32" s="271" t="s">
        <v>205</v>
      </c>
      <c r="C32" s="278"/>
      <c r="D32" s="279">
        <f>H35</f>
        <v>10050000</v>
      </c>
      <c r="E32" s="274"/>
      <c r="F32" s="241"/>
      <c r="G32" s="473" t="s">
        <v>206</v>
      </c>
      <c r="H32" s="474"/>
      <c r="I32" s="240"/>
      <c r="J32" s="240"/>
      <c r="K32" s="240"/>
      <c r="L32" s="240"/>
      <c r="M32" s="240"/>
    </row>
    <row r="33" spans="1:13" ht="15.75" customHeight="1" x14ac:dyDescent="0.2">
      <c r="A33" s="271"/>
      <c r="B33" s="278" t="s">
        <v>207</v>
      </c>
      <c r="C33" s="278"/>
      <c r="D33" s="274"/>
      <c r="E33" s="279">
        <f>H35</f>
        <v>10050000</v>
      </c>
      <c r="F33" s="241"/>
      <c r="G33" s="291" t="s">
        <v>208</v>
      </c>
      <c r="H33" s="292">
        <v>6700000</v>
      </c>
      <c r="I33" s="240"/>
      <c r="J33" s="240"/>
      <c r="K33" s="240"/>
      <c r="L33" s="240"/>
      <c r="M33" s="240"/>
    </row>
    <row r="34" spans="1:13" ht="15.75" customHeight="1" x14ac:dyDescent="0.2">
      <c r="A34" s="271"/>
      <c r="B34" s="281"/>
      <c r="C34" s="271"/>
      <c r="D34" s="274"/>
      <c r="E34" s="274"/>
      <c r="F34" s="241"/>
      <c r="G34" s="293" t="s">
        <v>209</v>
      </c>
      <c r="H34" s="294">
        <v>1.5</v>
      </c>
      <c r="I34" s="240"/>
      <c r="J34" s="240"/>
      <c r="K34" s="240"/>
      <c r="L34" s="240"/>
      <c r="M34" s="240"/>
    </row>
    <row r="35" spans="1:13" ht="15.75" customHeight="1" x14ac:dyDescent="0.2">
      <c r="A35" s="282"/>
      <c r="B35" s="271" t="str">
        <f>B23</f>
        <v>Biaya Overhead Pabrik Sesungguhnya</v>
      </c>
      <c r="C35" s="278"/>
      <c r="D35" s="279">
        <f>'Day 4.1 Akuntansi Biaya'!B44</f>
        <v>5500000</v>
      </c>
      <c r="E35" s="274"/>
      <c r="F35" s="241"/>
      <c r="G35" s="205" t="s">
        <v>210</v>
      </c>
      <c r="H35" s="295">
        <f>H33*H34</f>
        <v>10050000</v>
      </c>
      <c r="I35" s="296"/>
      <c r="J35" s="240"/>
      <c r="K35" s="240"/>
      <c r="L35" s="240"/>
      <c r="M35" s="240"/>
    </row>
    <row r="36" spans="1:13" ht="15.75" customHeight="1" x14ac:dyDescent="0.2">
      <c r="A36" s="271"/>
      <c r="B36" s="280" t="s">
        <v>211</v>
      </c>
      <c r="C36" s="278"/>
      <c r="D36" s="279"/>
      <c r="E36" s="279">
        <v>1300000</v>
      </c>
      <c r="F36" s="241"/>
      <c r="G36" s="240"/>
      <c r="H36" s="240"/>
      <c r="I36" s="240"/>
      <c r="J36" s="240"/>
      <c r="K36" s="240"/>
      <c r="L36" s="240"/>
      <c r="M36" s="240"/>
    </row>
    <row r="37" spans="1:13" ht="15.75" customHeight="1" x14ac:dyDescent="0.2">
      <c r="A37" s="271"/>
      <c r="B37" s="280" t="s">
        <v>212</v>
      </c>
      <c r="C37" s="278"/>
      <c r="D37" s="297"/>
      <c r="E37" s="297">
        <v>1200000</v>
      </c>
      <c r="F37" s="241"/>
      <c r="G37" s="470" t="s">
        <v>213</v>
      </c>
      <c r="H37" s="471"/>
      <c r="I37" s="475"/>
      <c r="J37" s="240"/>
      <c r="K37" s="240"/>
      <c r="L37" s="240"/>
      <c r="M37" s="240"/>
    </row>
    <row r="38" spans="1:13" ht="15.75" customHeight="1" x14ac:dyDescent="0.2">
      <c r="A38" s="271"/>
      <c r="B38" s="298" t="s">
        <v>214</v>
      </c>
      <c r="C38" s="285"/>
      <c r="D38" s="287"/>
      <c r="E38" s="287">
        <f>I42</f>
        <v>3000000</v>
      </c>
      <c r="F38" s="241"/>
      <c r="G38" s="299" t="str">
        <f>'Day 4.1 Akuntansi Biaya'!A41</f>
        <v>Biaya Asuransi Gedung Pabrik &amp; Mesin</v>
      </c>
      <c r="H38" s="300"/>
      <c r="I38" s="301">
        <f t="array" ref="I38:I40">'Day 4.1 Akuntansi Biaya'!B41:B43</f>
        <v>900000</v>
      </c>
      <c r="J38" s="240"/>
      <c r="K38" s="240"/>
      <c r="L38" s="240"/>
      <c r="M38" s="240"/>
    </row>
    <row r="39" spans="1:13" ht="15.75" customHeight="1" x14ac:dyDescent="0.2">
      <c r="A39" s="302"/>
      <c r="B39" s="303" t="s">
        <v>215</v>
      </c>
      <c r="C39" s="304"/>
      <c r="D39" s="303"/>
      <c r="E39" s="305"/>
      <c r="F39" s="306"/>
      <c r="G39" s="307" t="str">
        <f>'Day 4.1 Akuntansi Biaya'!A42</f>
        <v>Biaya Pemeliharaan Mesin</v>
      </c>
      <c r="H39" s="308"/>
      <c r="I39" s="309">
        <v>1100000</v>
      </c>
      <c r="J39" s="240"/>
      <c r="K39" s="240"/>
      <c r="L39" s="240"/>
      <c r="M39" s="240"/>
    </row>
    <row r="40" spans="1:13" ht="15.75" customHeight="1" x14ac:dyDescent="0.2">
      <c r="A40" s="271"/>
      <c r="B40" s="310"/>
      <c r="C40" s="311"/>
      <c r="D40" s="270"/>
      <c r="E40" s="312"/>
      <c r="F40" s="241"/>
      <c r="G40" s="307" t="str">
        <f>'Day 4.1 Akuntansi Biaya'!A43</f>
        <v>Biaya Pemeliharaan Gedung</v>
      </c>
      <c r="H40" s="308"/>
      <c r="I40" s="309">
        <v>1000000</v>
      </c>
      <c r="J40" s="240"/>
      <c r="K40" s="240"/>
      <c r="L40" s="240"/>
      <c r="M40" s="240"/>
    </row>
    <row r="41" spans="1:13" ht="15.75" customHeight="1" x14ac:dyDescent="0.2">
      <c r="A41" s="282"/>
      <c r="B41" s="271" t="s">
        <v>216</v>
      </c>
      <c r="C41" s="278"/>
      <c r="D41" s="274">
        <f>D32</f>
        <v>10050000</v>
      </c>
      <c r="E41" s="279"/>
      <c r="F41" s="241"/>
      <c r="G41" s="313"/>
      <c r="H41" s="314"/>
      <c r="I41" s="309"/>
      <c r="J41" s="240"/>
      <c r="K41" s="240"/>
      <c r="L41" s="240"/>
      <c r="M41" s="240"/>
    </row>
    <row r="42" spans="1:13" ht="15.75" customHeight="1" x14ac:dyDescent="0.2">
      <c r="A42" s="271"/>
      <c r="B42" s="280" t="str">
        <f>B23</f>
        <v>Biaya Overhead Pabrik Sesungguhnya</v>
      </c>
      <c r="C42" s="278"/>
      <c r="D42" s="274"/>
      <c r="E42" s="279">
        <f>D41</f>
        <v>10050000</v>
      </c>
      <c r="F42" s="241"/>
      <c r="G42" s="315" t="s">
        <v>217</v>
      </c>
      <c r="H42" s="316"/>
      <c r="I42" s="317">
        <f>SUM(I38:I41)</f>
        <v>3000000</v>
      </c>
      <c r="J42" s="240"/>
      <c r="K42" s="240"/>
      <c r="L42" s="240"/>
      <c r="M42" s="240"/>
    </row>
    <row r="43" spans="1:13" ht="15.75" customHeight="1" x14ac:dyDescent="0.2">
      <c r="A43" s="271"/>
      <c r="B43" s="271"/>
      <c r="C43" s="278"/>
      <c r="D43" s="274"/>
      <c r="E43" s="279"/>
      <c r="F43" s="241"/>
      <c r="G43" s="240"/>
      <c r="H43" s="240"/>
      <c r="I43" s="240"/>
      <c r="J43" s="240"/>
      <c r="K43" s="240"/>
      <c r="L43" s="240"/>
      <c r="M43" s="240"/>
    </row>
    <row r="44" spans="1:13" ht="15.75" customHeight="1" x14ac:dyDescent="0.2">
      <c r="A44" s="271"/>
      <c r="B44" s="271" t="s">
        <v>218</v>
      </c>
      <c r="C44" s="278"/>
      <c r="D44" s="274">
        <f>K50</f>
        <v>4950000</v>
      </c>
      <c r="E44" s="279"/>
      <c r="F44" s="241"/>
      <c r="G44" s="240"/>
      <c r="H44" s="240"/>
      <c r="I44" s="240"/>
      <c r="J44" s="240"/>
      <c r="K44" s="240"/>
      <c r="L44" s="240"/>
      <c r="M44" s="240"/>
    </row>
    <row r="45" spans="1:13" ht="15.75" customHeight="1" x14ac:dyDescent="0.2">
      <c r="A45" s="271"/>
      <c r="B45" s="280" t="s">
        <v>216</v>
      </c>
      <c r="C45" s="278"/>
      <c r="D45" s="274"/>
      <c r="E45" s="279">
        <f>K50</f>
        <v>4950000</v>
      </c>
      <c r="F45" s="241"/>
      <c r="G45" s="470" t="s">
        <v>219</v>
      </c>
      <c r="H45" s="471"/>
      <c r="I45" s="471"/>
      <c r="J45" s="471"/>
      <c r="K45" s="318" t="s">
        <v>220</v>
      </c>
      <c r="L45" s="319" t="s">
        <v>221</v>
      </c>
      <c r="M45" s="240"/>
    </row>
    <row r="46" spans="1:13" ht="15.75" customHeight="1" x14ac:dyDescent="0.2">
      <c r="A46" s="271"/>
      <c r="B46" s="281"/>
      <c r="C46" s="278"/>
      <c r="D46" s="274"/>
      <c r="E46" s="279"/>
      <c r="F46" s="241"/>
      <c r="G46" s="320" t="s">
        <v>222</v>
      </c>
      <c r="H46" s="263">
        <f>E19</f>
        <v>8000000</v>
      </c>
      <c r="I46" s="192"/>
      <c r="J46" s="192"/>
      <c r="K46" s="321"/>
      <c r="L46" s="322"/>
      <c r="M46" s="240"/>
    </row>
    <row r="47" spans="1:13" ht="15.75" customHeight="1" x14ac:dyDescent="0.2">
      <c r="A47" s="469" t="s">
        <v>223</v>
      </c>
      <c r="B47" s="426"/>
      <c r="C47" s="426"/>
      <c r="D47" s="426"/>
      <c r="E47" s="426"/>
      <c r="F47" s="241"/>
      <c r="G47" s="320" t="s">
        <v>224</v>
      </c>
      <c r="H47" s="323">
        <f>'Day 4.1 Akuntansi Biaya'!D26</f>
        <v>1500000</v>
      </c>
      <c r="I47" s="192"/>
      <c r="J47" s="192"/>
      <c r="K47" s="324"/>
      <c r="L47" s="322"/>
      <c r="M47" s="240"/>
    </row>
    <row r="48" spans="1:13" ht="15.75" customHeight="1" x14ac:dyDescent="0.2">
      <c r="A48" s="325"/>
      <c r="B48" s="326" t="s">
        <v>225</v>
      </c>
      <c r="C48" s="327"/>
      <c r="D48" s="328">
        <f>SUM(E49:E51)</f>
        <v>20350000</v>
      </c>
      <c r="E48" s="329"/>
      <c r="F48" s="241"/>
      <c r="G48" s="320" t="s">
        <v>226</v>
      </c>
      <c r="H48" s="263">
        <f>D35</f>
        <v>5500000</v>
      </c>
      <c r="I48" s="192" t="s">
        <v>227</v>
      </c>
      <c r="J48" s="263">
        <f>E42</f>
        <v>10050000</v>
      </c>
      <c r="K48" s="324"/>
      <c r="L48" s="322"/>
      <c r="M48" s="240"/>
    </row>
    <row r="49" spans="1:13" ht="15.75" customHeight="1" x14ac:dyDescent="0.2">
      <c r="A49" s="326"/>
      <c r="B49" s="280" t="s">
        <v>228</v>
      </c>
      <c r="C49" s="327"/>
      <c r="D49" s="328"/>
      <c r="E49" s="329">
        <v>6700000</v>
      </c>
      <c r="F49" s="241"/>
      <c r="G49" s="320"/>
      <c r="H49" s="192"/>
      <c r="I49" s="192"/>
      <c r="J49" s="192"/>
      <c r="K49" s="324"/>
      <c r="L49" s="322"/>
      <c r="M49" s="240"/>
    </row>
    <row r="50" spans="1:13" ht="15.75" customHeight="1" x14ac:dyDescent="0.2">
      <c r="A50" s="326"/>
      <c r="B50" s="280" t="s">
        <v>229</v>
      </c>
      <c r="C50" s="327"/>
      <c r="D50" s="328"/>
      <c r="E50" s="329">
        <v>3600000</v>
      </c>
      <c r="F50" s="241"/>
      <c r="G50" s="320"/>
      <c r="H50" s="263">
        <f>SUM(H46:H48)</f>
        <v>15000000</v>
      </c>
      <c r="I50" s="330" t="s">
        <v>230</v>
      </c>
      <c r="J50" s="263">
        <f>J48</f>
        <v>10050000</v>
      </c>
      <c r="K50" s="331">
        <f>H50-J50</f>
        <v>4950000</v>
      </c>
      <c r="L50" s="332" t="s">
        <v>231</v>
      </c>
      <c r="M50" s="240"/>
    </row>
    <row r="51" spans="1:13" ht="15.75" customHeight="1" x14ac:dyDescent="0.2">
      <c r="A51" s="326"/>
      <c r="B51" s="280" t="s">
        <v>205</v>
      </c>
      <c r="C51" s="327"/>
      <c r="D51" s="328"/>
      <c r="E51" s="329">
        <f>D32</f>
        <v>10050000</v>
      </c>
      <c r="F51" s="241"/>
      <c r="G51" s="333"/>
      <c r="H51" s="334"/>
      <c r="I51" s="334"/>
      <c r="J51" s="334"/>
      <c r="K51" s="335"/>
      <c r="L51" s="336"/>
      <c r="M51" s="240"/>
    </row>
    <row r="52" spans="1:13" ht="21" customHeight="1" x14ac:dyDescent="0.2">
      <c r="A52" s="326"/>
      <c r="B52" s="337"/>
      <c r="C52" s="327"/>
      <c r="D52" s="328"/>
      <c r="E52" s="329"/>
      <c r="F52" s="241"/>
      <c r="G52" s="192"/>
      <c r="H52" s="263"/>
      <c r="I52" s="330"/>
      <c r="J52" s="263"/>
      <c r="K52" s="263"/>
      <c r="L52" s="338"/>
      <c r="M52" s="240"/>
    </row>
    <row r="53" spans="1:13" ht="15.75" customHeight="1" x14ac:dyDescent="0.2">
      <c r="A53" s="472" t="s">
        <v>38</v>
      </c>
      <c r="B53" s="434"/>
      <c r="C53" s="435"/>
      <c r="D53" s="339">
        <f t="shared" ref="D53:E53" si="0">SUM(D7:D52)</f>
        <v>107800000</v>
      </c>
      <c r="E53" s="339">
        <f t="shared" si="0"/>
        <v>107800000</v>
      </c>
      <c r="F53" s="241"/>
      <c r="G53" s="192"/>
      <c r="H53" s="192"/>
      <c r="I53" s="192"/>
      <c r="J53" s="192"/>
      <c r="K53" s="192"/>
      <c r="L53" s="192"/>
      <c r="M53" s="240"/>
    </row>
    <row r="54" spans="1:13" ht="15.75" customHeight="1" x14ac:dyDescent="0.2">
      <c r="A54" s="192"/>
      <c r="B54" s="192"/>
      <c r="C54" s="192"/>
      <c r="D54" s="263"/>
      <c r="E54" s="263"/>
      <c r="F54" s="241"/>
      <c r="G54" s="240"/>
      <c r="H54" s="240"/>
      <c r="I54" s="240"/>
      <c r="J54" s="240"/>
      <c r="K54" s="240"/>
      <c r="L54" s="240"/>
      <c r="M54" s="240"/>
    </row>
    <row r="55" spans="1:13" ht="15.75" customHeight="1" x14ac:dyDescent="0.2">
      <c r="A55" s="192"/>
      <c r="B55" s="192"/>
      <c r="C55" s="192"/>
      <c r="D55" s="263"/>
      <c r="E55" s="263"/>
      <c r="F55" s="241"/>
      <c r="G55" s="240"/>
      <c r="H55" s="240"/>
      <c r="I55" s="240"/>
      <c r="J55" s="240"/>
      <c r="K55" s="240"/>
      <c r="L55" s="240"/>
      <c r="M55" s="240"/>
    </row>
    <row r="56" spans="1:13" ht="15.75" customHeight="1" x14ac:dyDescent="0.2">
      <c r="A56" s="192"/>
      <c r="B56" s="192"/>
      <c r="C56" s="192"/>
      <c r="D56" s="263"/>
      <c r="E56" s="263"/>
      <c r="F56" s="241"/>
      <c r="G56" s="241"/>
      <c r="H56" s="241"/>
      <c r="I56" s="241"/>
      <c r="J56" s="241"/>
      <c r="K56" s="241"/>
      <c r="L56" s="241"/>
      <c r="M56" s="241"/>
    </row>
    <row r="57" spans="1:13" ht="15.75" customHeight="1" x14ac:dyDescent="0.2">
      <c r="A57" s="192"/>
      <c r="B57" s="192"/>
      <c r="C57" s="192"/>
      <c r="D57" s="263"/>
      <c r="E57" s="263"/>
      <c r="F57" s="241"/>
      <c r="G57" s="241"/>
      <c r="H57" s="241"/>
      <c r="I57" s="241"/>
      <c r="J57" s="241"/>
      <c r="K57" s="241"/>
      <c r="L57" s="241"/>
      <c r="M57" s="241"/>
    </row>
    <row r="58" spans="1:13" ht="15.75" customHeight="1" x14ac:dyDescent="0.2">
      <c r="A58" s="192"/>
      <c r="B58" s="192"/>
      <c r="C58" s="192"/>
      <c r="D58" s="263"/>
      <c r="E58" s="263"/>
      <c r="F58" s="241"/>
      <c r="G58" s="241"/>
      <c r="H58" s="241"/>
      <c r="I58" s="241"/>
      <c r="J58" s="241"/>
      <c r="K58" s="241"/>
      <c r="L58" s="241"/>
      <c r="M58" s="241"/>
    </row>
    <row r="59" spans="1:13" ht="15.75" customHeight="1" x14ac:dyDescent="0.2">
      <c r="A59" s="192"/>
      <c r="B59" s="192"/>
      <c r="C59" s="192"/>
      <c r="D59" s="263"/>
      <c r="E59" s="263"/>
      <c r="F59" s="241"/>
      <c r="G59" s="241"/>
      <c r="H59" s="241"/>
      <c r="I59" s="241"/>
      <c r="J59" s="241"/>
      <c r="K59" s="241"/>
      <c r="L59" s="241"/>
      <c r="M59" s="241"/>
    </row>
    <row r="60" spans="1:13" ht="15.75" customHeight="1" x14ac:dyDescent="0.2">
      <c r="A60" s="192"/>
      <c r="B60" s="192"/>
      <c r="C60" s="192"/>
      <c r="D60" s="263"/>
      <c r="E60" s="263"/>
      <c r="F60" s="241"/>
      <c r="G60" s="241"/>
      <c r="H60" s="241"/>
      <c r="I60" s="241"/>
      <c r="J60" s="241"/>
      <c r="K60" s="241"/>
      <c r="L60" s="241"/>
      <c r="M60" s="241"/>
    </row>
    <row r="61" spans="1:13" ht="15.75" customHeight="1" x14ac:dyDescent="0.2">
      <c r="A61" s="192"/>
      <c r="B61" s="192"/>
      <c r="C61" s="192"/>
      <c r="D61" s="263"/>
      <c r="E61" s="263"/>
      <c r="F61" s="241"/>
      <c r="G61" s="241"/>
      <c r="H61" s="241"/>
      <c r="I61" s="241"/>
      <c r="J61" s="241"/>
      <c r="K61" s="241"/>
      <c r="L61" s="241"/>
      <c r="M61" s="241"/>
    </row>
    <row r="62" spans="1:13" ht="15.75" customHeight="1" x14ac:dyDescent="0.2">
      <c r="A62" s="192"/>
      <c r="B62" s="192"/>
      <c r="C62" s="192"/>
      <c r="D62" s="263"/>
      <c r="E62" s="263"/>
      <c r="F62" s="241"/>
      <c r="G62" s="241"/>
      <c r="H62" s="241"/>
      <c r="I62" s="241"/>
      <c r="J62" s="241"/>
      <c r="K62" s="241"/>
      <c r="L62" s="241"/>
      <c r="M62" s="241"/>
    </row>
    <row r="63" spans="1:13" ht="15.75" customHeight="1" x14ac:dyDescent="0.2">
      <c r="A63" s="192"/>
      <c r="B63" s="192"/>
      <c r="C63" s="192"/>
      <c r="D63" s="263"/>
      <c r="E63" s="263"/>
      <c r="F63" s="241"/>
      <c r="G63" s="241"/>
      <c r="H63" s="241"/>
      <c r="I63" s="241"/>
      <c r="J63" s="241"/>
      <c r="K63" s="241"/>
      <c r="L63" s="241"/>
      <c r="M63" s="241"/>
    </row>
    <row r="64" spans="1:13" ht="15.75" customHeight="1" x14ac:dyDescent="0.2">
      <c r="A64" s="192"/>
      <c r="B64" s="192"/>
      <c r="C64" s="192"/>
      <c r="D64" s="263"/>
      <c r="E64" s="263"/>
      <c r="F64" s="241"/>
      <c r="G64" s="241"/>
      <c r="H64" s="241"/>
      <c r="I64" s="241"/>
      <c r="J64" s="241"/>
      <c r="K64" s="241"/>
      <c r="L64" s="241"/>
      <c r="M64" s="241"/>
    </row>
    <row r="65" spans="1:13" ht="15.75" customHeight="1" x14ac:dyDescent="0.2">
      <c r="A65" s="192"/>
      <c r="B65" s="192"/>
      <c r="C65" s="192"/>
      <c r="D65" s="263"/>
      <c r="E65" s="263"/>
      <c r="F65" s="241"/>
      <c r="G65" s="241"/>
      <c r="H65" s="241"/>
      <c r="I65" s="241"/>
      <c r="J65" s="241"/>
      <c r="K65" s="241"/>
      <c r="L65" s="241"/>
      <c r="M65" s="241"/>
    </row>
    <row r="66" spans="1:13" ht="15.75" customHeight="1" x14ac:dyDescent="0.2">
      <c r="A66" s="192"/>
      <c r="B66" s="192"/>
      <c r="C66" s="192"/>
      <c r="D66" s="263"/>
      <c r="E66" s="263"/>
      <c r="F66" s="241"/>
      <c r="G66" s="241"/>
      <c r="H66" s="241"/>
      <c r="I66" s="241"/>
      <c r="J66" s="241"/>
      <c r="K66" s="241"/>
      <c r="L66" s="241"/>
      <c r="M66" s="241"/>
    </row>
    <row r="67" spans="1:13" ht="15.75" customHeight="1" x14ac:dyDescent="0.2">
      <c r="A67" s="192"/>
      <c r="B67" s="192"/>
      <c r="C67" s="192"/>
      <c r="D67" s="263"/>
      <c r="E67" s="263"/>
      <c r="F67" s="241"/>
      <c r="G67" s="241"/>
      <c r="H67" s="241"/>
      <c r="I67" s="241"/>
      <c r="J67" s="241"/>
      <c r="K67" s="241"/>
      <c r="L67" s="241"/>
      <c r="M67" s="241"/>
    </row>
    <row r="68" spans="1:13" ht="15.75" customHeight="1" x14ac:dyDescent="0.2">
      <c r="A68" s="192"/>
      <c r="B68" s="192"/>
      <c r="C68" s="192"/>
      <c r="D68" s="263"/>
      <c r="E68" s="263"/>
      <c r="F68" s="241"/>
      <c r="G68" s="241"/>
      <c r="H68" s="241"/>
      <c r="I68" s="241"/>
      <c r="J68" s="241"/>
      <c r="K68" s="241"/>
      <c r="L68" s="241"/>
      <c r="M68" s="241"/>
    </row>
    <row r="69" spans="1:13" ht="15.75" customHeight="1" x14ac:dyDescent="0.2">
      <c r="A69" s="192"/>
      <c r="B69" s="192"/>
      <c r="C69" s="192"/>
      <c r="D69" s="263"/>
      <c r="E69" s="263"/>
      <c r="F69" s="241"/>
      <c r="G69" s="241"/>
      <c r="H69" s="241"/>
      <c r="I69" s="241"/>
      <c r="J69" s="241"/>
      <c r="K69" s="241"/>
      <c r="L69" s="241"/>
      <c r="M69" s="241"/>
    </row>
    <row r="70" spans="1:13" ht="15.75" customHeight="1" x14ac:dyDescent="0.2">
      <c r="A70" s="192"/>
      <c r="B70" s="192"/>
      <c r="C70" s="192"/>
      <c r="D70" s="263"/>
      <c r="E70" s="263"/>
      <c r="F70" s="241"/>
      <c r="G70" s="241"/>
      <c r="H70" s="241"/>
      <c r="I70" s="241"/>
      <c r="J70" s="241"/>
      <c r="K70" s="241"/>
      <c r="L70" s="241"/>
      <c r="M70" s="241"/>
    </row>
    <row r="71" spans="1:13" ht="15.75" customHeight="1" x14ac:dyDescent="0.2">
      <c r="A71" s="192"/>
      <c r="B71" s="192"/>
      <c r="C71" s="192"/>
      <c r="D71" s="263"/>
      <c r="E71" s="263"/>
      <c r="F71" s="241"/>
      <c r="G71" s="241"/>
      <c r="H71" s="241"/>
      <c r="I71" s="241"/>
      <c r="J71" s="241"/>
      <c r="K71" s="241"/>
      <c r="L71" s="241"/>
      <c r="M71" s="241"/>
    </row>
    <row r="72" spans="1:13" ht="15.75" customHeight="1" x14ac:dyDescent="0.2">
      <c r="A72" s="192"/>
      <c r="B72" s="192"/>
      <c r="C72" s="192"/>
      <c r="D72" s="263"/>
      <c r="E72" s="263"/>
      <c r="F72" s="241"/>
      <c r="G72" s="241"/>
      <c r="H72" s="241"/>
      <c r="I72" s="241"/>
      <c r="J72" s="241"/>
      <c r="K72" s="241"/>
      <c r="L72" s="241"/>
      <c r="M72" s="241"/>
    </row>
    <row r="73" spans="1:13" ht="15.75" customHeight="1" x14ac:dyDescent="0.2">
      <c r="A73" s="192"/>
      <c r="B73" s="192"/>
      <c r="C73" s="192"/>
      <c r="D73" s="263"/>
      <c r="E73" s="263"/>
      <c r="F73" s="241"/>
      <c r="G73" s="241"/>
      <c r="H73" s="241"/>
      <c r="I73" s="241"/>
      <c r="J73" s="241"/>
      <c r="K73" s="241"/>
      <c r="L73" s="241"/>
      <c r="M73" s="241"/>
    </row>
    <row r="74" spans="1:13" ht="15.75" customHeight="1" x14ac:dyDescent="0.2">
      <c r="A74" s="192"/>
      <c r="B74" s="192"/>
      <c r="C74" s="192"/>
      <c r="D74" s="263"/>
      <c r="E74" s="263"/>
      <c r="F74" s="241"/>
      <c r="G74" s="241"/>
      <c r="H74" s="241"/>
      <c r="I74" s="241"/>
      <c r="J74" s="241"/>
      <c r="K74" s="241"/>
      <c r="L74" s="241"/>
      <c r="M74" s="241"/>
    </row>
    <row r="75" spans="1:13" ht="15.75" customHeight="1" x14ac:dyDescent="0.2">
      <c r="A75" s="192"/>
      <c r="B75" s="192"/>
      <c r="C75" s="192"/>
      <c r="D75" s="263"/>
      <c r="E75" s="263"/>
      <c r="F75" s="241"/>
      <c r="G75" s="241"/>
      <c r="H75" s="241"/>
      <c r="I75" s="241"/>
      <c r="J75" s="241"/>
      <c r="K75" s="241"/>
      <c r="L75" s="241"/>
      <c r="M75" s="241"/>
    </row>
    <row r="76" spans="1:13" ht="15.75" customHeight="1" x14ac:dyDescent="0.2">
      <c r="A76" s="192"/>
      <c r="B76" s="192"/>
      <c r="C76" s="192"/>
      <c r="D76" s="263"/>
      <c r="E76" s="263"/>
      <c r="F76" s="241"/>
      <c r="G76" s="241"/>
      <c r="H76" s="241"/>
      <c r="I76" s="241"/>
      <c r="J76" s="241"/>
      <c r="K76" s="241"/>
      <c r="L76" s="241"/>
      <c r="M76" s="241"/>
    </row>
    <row r="77" spans="1:13" ht="15.75" customHeight="1" x14ac:dyDescent="0.2">
      <c r="A77" s="192"/>
      <c r="B77" s="192"/>
      <c r="C77" s="192"/>
      <c r="D77" s="263"/>
      <c r="E77" s="263"/>
      <c r="F77" s="241"/>
      <c r="G77" s="241"/>
      <c r="H77" s="241"/>
      <c r="I77" s="241"/>
      <c r="J77" s="241"/>
      <c r="K77" s="241"/>
      <c r="L77" s="241"/>
      <c r="M77" s="241"/>
    </row>
    <row r="78" spans="1:13" ht="15.75" customHeight="1" x14ac:dyDescent="0.2">
      <c r="A78" s="192"/>
      <c r="B78" s="192"/>
      <c r="C78" s="192"/>
      <c r="D78" s="263"/>
      <c r="E78" s="263"/>
      <c r="F78" s="241"/>
      <c r="G78" s="241"/>
      <c r="H78" s="241"/>
      <c r="I78" s="241"/>
      <c r="J78" s="241"/>
      <c r="K78" s="241"/>
      <c r="L78" s="241"/>
      <c r="M78" s="241"/>
    </row>
    <row r="79" spans="1:13" ht="15.75" customHeight="1" x14ac:dyDescent="0.2">
      <c r="A79" s="192"/>
      <c r="B79" s="192"/>
      <c r="C79" s="192"/>
      <c r="D79" s="263"/>
      <c r="E79" s="263"/>
      <c r="F79" s="241"/>
      <c r="G79" s="241"/>
      <c r="H79" s="241"/>
      <c r="I79" s="241"/>
      <c r="J79" s="241"/>
      <c r="K79" s="241"/>
      <c r="L79" s="241"/>
      <c r="M79" s="241"/>
    </row>
    <row r="80" spans="1:13" ht="15.75" customHeight="1" x14ac:dyDescent="0.2">
      <c r="A80" s="192"/>
      <c r="B80" s="192"/>
      <c r="C80" s="192"/>
      <c r="D80" s="263"/>
      <c r="E80" s="263"/>
      <c r="F80" s="241"/>
      <c r="G80" s="241"/>
      <c r="H80" s="241"/>
      <c r="I80" s="241"/>
      <c r="J80" s="241"/>
      <c r="K80" s="241"/>
      <c r="L80" s="241"/>
      <c r="M80" s="241"/>
    </row>
    <row r="81" spans="1:13" ht="15.75" customHeight="1" x14ac:dyDescent="0.2">
      <c r="A81" s="192"/>
      <c r="B81" s="192"/>
      <c r="C81" s="192"/>
      <c r="D81" s="263"/>
      <c r="E81" s="263"/>
      <c r="F81" s="241"/>
      <c r="G81" s="241"/>
      <c r="H81" s="241"/>
      <c r="I81" s="241"/>
      <c r="J81" s="241"/>
      <c r="K81" s="241"/>
      <c r="L81" s="241"/>
      <c r="M81" s="241"/>
    </row>
    <row r="82" spans="1:13" ht="15.75" customHeight="1" x14ac:dyDescent="0.2">
      <c r="A82" s="192"/>
      <c r="B82" s="192"/>
      <c r="C82" s="192"/>
      <c r="D82" s="263"/>
      <c r="E82" s="263"/>
      <c r="F82" s="241"/>
      <c r="G82" s="241"/>
      <c r="H82" s="241"/>
      <c r="I82" s="241"/>
      <c r="J82" s="241"/>
      <c r="K82" s="241"/>
      <c r="L82" s="241"/>
      <c r="M82" s="241"/>
    </row>
    <row r="83" spans="1:13" ht="15.75" customHeight="1" x14ac:dyDescent="0.2">
      <c r="A83" s="192"/>
      <c r="B83" s="192"/>
      <c r="C83" s="192"/>
      <c r="D83" s="263"/>
      <c r="E83" s="263"/>
      <c r="F83" s="241"/>
      <c r="G83" s="241"/>
      <c r="H83" s="241"/>
      <c r="I83" s="241"/>
      <c r="J83" s="241"/>
      <c r="K83" s="241"/>
      <c r="L83" s="241"/>
      <c r="M83" s="241"/>
    </row>
    <row r="84" spans="1:13" ht="15.75" customHeight="1" x14ac:dyDescent="0.2">
      <c r="A84" s="192"/>
      <c r="B84" s="192"/>
      <c r="C84" s="192"/>
      <c r="D84" s="263"/>
      <c r="E84" s="263"/>
      <c r="F84" s="241"/>
      <c r="G84" s="241"/>
      <c r="H84" s="241"/>
      <c r="I84" s="241"/>
      <c r="J84" s="241"/>
      <c r="K84" s="241"/>
      <c r="L84" s="241"/>
      <c r="M84" s="241"/>
    </row>
    <row r="85" spans="1:13" ht="15.75" customHeight="1" x14ac:dyDescent="0.2">
      <c r="A85" s="192"/>
      <c r="B85" s="192"/>
      <c r="C85" s="192"/>
      <c r="D85" s="263"/>
      <c r="E85" s="263"/>
      <c r="F85" s="241"/>
      <c r="G85" s="241"/>
      <c r="H85" s="241"/>
      <c r="I85" s="241"/>
      <c r="J85" s="241"/>
      <c r="K85" s="241"/>
      <c r="L85" s="241"/>
      <c r="M85" s="241"/>
    </row>
    <row r="86" spans="1:13" ht="15.75" customHeight="1" x14ac:dyDescent="0.2">
      <c r="A86" s="192"/>
      <c r="B86" s="192"/>
      <c r="C86" s="192"/>
      <c r="D86" s="263"/>
      <c r="E86" s="263"/>
      <c r="F86" s="241"/>
      <c r="G86" s="241"/>
      <c r="H86" s="241"/>
      <c r="I86" s="241"/>
      <c r="J86" s="241"/>
      <c r="K86" s="241"/>
      <c r="L86" s="241"/>
      <c r="M86" s="241"/>
    </row>
    <row r="87" spans="1:13" ht="15.75" customHeight="1" x14ac:dyDescent="0.2">
      <c r="A87" s="192"/>
      <c r="B87" s="192"/>
      <c r="C87" s="192"/>
      <c r="D87" s="263"/>
      <c r="E87" s="263"/>
      <c r="F87" s="241"/>
      <c r="G87" s="241"/>
      <c r="H87" s="241"/>
      <c r="I87" s="241"/>
      <c r="J87" s="241"/>
      <c r="K87" s="241"/>
      <c r="L87" s="241"/>
      <c r="M87" s="241"/>
    </row>
    <row r="88" spans="1:13" ht="15.75" customHeight="1" x14ac:dyDescent="0.2">
      <c r="A88" s="192"/>
      <c r="B88" s="192"/>
      <c r="C88" s="192"/>
      <c r="D88" s="263"/>
      <c r="E88" s="263"/>
      <c r="F88" s="241"/>
      <c r="G88" s="241"/>
      <c r="H88" s="241"/>
      <c r="I88" s="241"/>
      <c r="J88" s="241"/>
      <c r="K88" s="241"/>
      <c r="L88" s="241"/>
      <c r="M88" s="241"/>
    </row>
    <row r="89" spans="1:13" ht="15.75" customHeight="1" x14ac:dyDescent="0.2">
      <c r="A89" s="192"/>
      <c r="B89" s="192"/>
      <c r="C89" s="192"/>
      <c r="D89" s="263"/>
      <c r="E89" s="263"/>
      <c r="F89" s="241"/>
      <c r="G89" s="241"/>
      <c r="H89" s="241"/>
      <c r="I89" s="241"/>
      <c r="J89" s="241"/>
      <c r="K89" s="241"/>
      <c r="L89" s="241"/>
      <c r="M89" s="241"/>
    </row>
    <row r="90" spans="1:13" ht="15.75" customHeight="1" x14ac:dyDescent="0.2">
      <c r="A90" s="192"/>
      <c r="B90" s="192"/>
      <c r="C90" s="192"/>
      <c r="D90" s="263"/>
      <c r="E90" s="263"/>
      <c r="F90" s="241"/>
      <c r="G90" s="241"/>
      <c r="H90" s="241"/>
      <c r="I90" s="241"/>
      <c r="J90" s="241"/>
      <c r="K90" s="241"/>
      <c r="L90" s="241"/>
      <c r="M90" s="241"/>
    </row>
    <row r="91" spans="1:13" ht="15.75" customHeight="1" x14ac:dyDescent="0.2">
      <c r="A91" s="192"/>
      <c r="B91" s="192"/>
      <c r="C91" s="192"/>
      <c r="D91" s="263"/>
      <c r="E91" s="263"/>
      <c r="F91" s="241"/>
      <c r="G91" s="241"/>
      <c r="H91" s="241"/>
      <c r="I91" s="241"/>
      <c r="J91" s="241"/>
      <c r="K91" s="241"/>
      <c r="L91" s="241"/>
      <c r="M91" s="241"/>
    </row>
    <row r="92" spans="1:13" ht="15.75" customHeight="1" x14ac:dyDescent="0.2">
      <c r="A92" s="192"/>
      <c r="B92" s="192"/>
      <c r="C92" s="192"/>
      <c r="D92" s="263"/>
      <c r="E92" s="263"/>
      <c r="F92" s="241"/>
      <c r="G92" s="241"/>
      <c r="H92" s="241"/>
      <c r="I92" s="241"/>
      <c r="J92" s="241"/>
      <c r="K92" s="241"/>
      <c r="L92" s="241"/>
      <c r="M92" s="241"/>
    </row>
    <row r="93" spans="1:13" ht="15.75" customHeight="1" x14ac:dyDescent="0.2">
      <c r="A93" s="192"/>
      <c r="B93" s="192"/>
      <c r="C93" s="192"/>
      <c r="D93" s="263"/>
      <c r="E93" s="263"/>
      <c r="F93" s="241"/>
      <c r="G93" s="241"/>
      <c r="H93" s="241"/>
      <c r="I93" s="241"/>
      <c r="J93" s="241"/>
      <c r="K93" s="241"/>
      <c r="L93" s="241"/>
      <c r="M93" s="241"/>
    </row>
    <row r="94" spans="1:13" ht="15.75" customHeight="1" x14ac:dyDescent="0.2">
      <c r="A94" s="192"/>
      <c r="B94" s="192"/>
      <c r="C94" s="192"/>
      <c r="D94" s="263"/>
      <c r="E94" s="263"/>
      <c r="F94" s="241"/>
      <c r="G94" s="241"/>
      <c r="H94" s="241"/>
      <c r="I94" s="241"/>
      <c r="J94" s="241"/>
      <c r="K94" s="241"/>
      <c r="L94" s="241"/>
      <c r="M94" s="241"/>
    </row>
    <row r="95" spans="1:13" ht="15.75" customHeight="1" x14ac:dyDescent="0.2">
      <c r="A95" s="192"/>
      <c r="B95" s="192"/>
      <c r="C95" s="192"/>
      <c r="D95" s="263"/>
      <c r="E95" s="263"/>
      <c r="F95" s="241"/>
      <c r="G95" s="241"/>
      <c r="H95" s="241"/>
      <c r="I95" s="241"/>
      <c r="J95" s="241"/>
      <c r="K95" s="241"/>
      <c r="L95" s="241"/>
      <c r="M95" s="241"/>
    </row>
    <row r="96" spans="1:13" ht="15.75" customHeight="1" x14ac:dyDescent="0.2">
      <c r="A96" s="192"/>
      <c r="B96" s="192"/>
      <c r="C96" s="192"/>
      <c r="D96" s="263"/>
      <c r="E96" s="263"/>
      <c r="F96" s="241"/>
      <c r="G96" s="241"/>
      <c r="H96" s="241"/>
      <c r="I96" s="241"/>
      <c r="J96" s="241"/>
      <c r="K96" s="241"/>
      <c r="L96" s="241"/>
      <c r="M96" s="241"/>
    </row>
    <row r="97" spans="1:13" ht="15.75" customHeight="1" x14ac:dyDescent="0.2">
      <c r="A97" s="192"/>
      <c r="B97" s="192"/>
      <c r="C97" s="192"/>
      <c r="D97" s="263"/>
      <c r="E97" s="263"/>
      <c r="F97" s="241"/>
      <c r="G97" s="241"/>
      <c r="H97" s="241"/>
      <c r="I97" s="241"/>
      <c r="J97" s="241"/>
      <c r="K97" s="241"/>
      <c r="L97" s="241"/>
      <c r="M97" s="241"/>
    </row>
    <row r="98" spans="1:13" ht="15.75" customHeight="1" x14ac:dyDescent="0.2">
      <c r="A98" s="192"/>
      <c r="B98" s="192"/>
      <c r="C98" s="192"/>
      <c r="D98" s="263"/>
      <c r="E98" s="263"/>
      <c r="F98" s="241"/>
      <c r="G98" s="241"/>
      <c r="H98" s="241"/>
      <c r="I98" s="241"/>
      <c r="J98" s="241"/>
      <c r="K98" s="241"/>
      <c r="L98" s="241"/>
      <c r="M98" s="241"/>
    </row>
    <row r="99" spans="1:13" ht="15.75" customHeight="1" x14ac:dyDescent="0.2">
      <c r="A99" s="192"/>
      <c r="B99" s="192"/>
      <c r="C99" s="192"/>
      <c r="D99" s="263"/>
      <c r="E99" s="263"/>
      <c r="F99" s="241"/>
      <c r="G99" s="241"/>
      <c r="H99" s="241"/>
      <c r="I99" s="241"/>
      <c r="J99" s="241"/>
      <c r="K99" s="241"/>
      <c r="L99" s="241"/>
      <c r="M99" s="241"/>
    </row>
    <row r="100" spans="1:13" ht="15.75" customHeight="1" x14ac:dyDescent="0.2">
      <c r="A100" s="192"/>
      <c r="B100" s="192"/>
      <c r="C100" s="192"/>
      <c r="D100" s="263"/>
      <c r="E100" s="263"/>
      <c r="F100" s="241"/>
      <c r="G100" s="241"/>
      <c r="H100" s="241"/>
      <c r="I100" s="241"/>
      <c r="J100" s="241"/>
      <c r="K100" s="241"/>
      <c r="L100" s="241"/>
      <c r="M100" s="241"/>
    </row>
    <row r="101" spans="1:13" ht="15.75" customHeight="1" x14ac:dyDescent="0.2">
      <c r="A101" s="192"/>
      <c r="B101" s="192"/>
      <c r="C101" s="192"/>
      <c r="D101" s="263"/>
      <c r="E101" s="263"/>
      <c r="F101" s="241"/>
      <c r="G101" s="241"/>
      <c r="H101" s="241"/>
      <c r="I101" s="241"/>
      <c r="J101" s="241"/>
      <c r="K101" s="241"/>
      <c r="L101" s="241"/>
      <c r="M101" s="241"/>
    </row>
    <row r="102" spans="1:13" ht="15.75" customHeight="1" x14ac:dyDescent="0.2">
      <c r="A102" s="192"/>
      <c r="B102" s="192"/>
      <c r="C102" s="192"/>
      <c r="D102" s="263"/>
      <c r="E102" s="263"/>
      <c r="F102" s="241"/>
      <c r="G102" s="241"/>
      <c r="H102" s="241"/>
      <c r="I102" s="241"/>
      <c r="J102" s="241"/>
      <c r="K102" s="241"/>
      <c r="L102" s="241"/>
      <c r="M102" s="241"/>
    </row>
    <row r="103" spans="1:13" ht="15.75" customHeight="1" x14ac:dyDescent="0.2">
      <c r="A103" s="192"/>
      <c r="B103" s="192"/>
      <c r="C103" s="192"/>
      <c r="D103" s="263"/>
      <c r="E103" s="263"/>
      <c r="F103" s="241"/>
      <c r="G103" s="241"/>
      <c r="H103" s="241"/>
      <c r="I103" s="241"/>
      <c r="J103" s="241"/>
      <c r="K103" s="241"/>
      <c r="L103" s="241"/>
      <c r="M103" s="241"/>
    </row>
    <row r="104" spans="1:13" ht="15.75" customHeight="1" x14ac:dyDescent="0.2">
      <c r="A104" s="192"/>
      <c r="B104" s="192"/>
      <c r="C104" s="192"/>
      <c r="D104" s="263"/>
      <c r="E104" s="263"/>
      <c r="F104" s="241"/>
      <c r="G104" s="241"/>
      <c r="H104" s="241"/>
      <c r="I104" s="241"/>
      <c r="J104" s="241"/>
      <c r="K104" s="241"/>
      <c r="L104" s="241"/>
      <c r="M104" s="241"/>
    </row>
    <row r="105" spans="1:13" ht="15.75" customHeight="1" x14ac:dyDescent="0.2">
      <c r="A105" s="192"/>
      <c r="B105" s="192"/>
      <c r="C105" s="192"/>
      <c r="D105" s="263"/>
      <c r="E105" s="263"/>
      <c r="F105" s="241"/>
      <c r="G105" s="241"/>
      <c r="H105" s="241"/>
      <c r="I105" s="241"/>
      <c r="J105" s="241"/>
      <c r="K105" s="241"/>
      <c r="L105" s="241"/>
      <c r="M105" s="241"/>
    </row>
    <row r="106" spans="1:13" ht="15.75" customHeight="1" x14ac:dyDescent="0.2">
      <c r="A106" s="192"/>
      <c r="B106" s="192"/>
      <c r="C106" s="192"/>
      <c r="D106" s="263"/>
      <c r="E106" s="263"/>
      <c r="F106" s="241"/>
      <c r="G106" s="241"/>
      <c r="H106" s="241"/>
      <c r="I106" s="241"/>
      <c r="J106" s="241"/>
      <c r="K106" s="241"/>
      <c r="L106" s="241"/>
      <c r="M106" s="241"/>
    </row>
    <row r="107" spans="1:13" ht="15.75" customHeight="1" x14ac:dyDescent="0.2">
      <c r="A107" s="192"/>
      <c r="B107" s="192"/>
      <c r="C107" s="192"/>
      <c r="D107" s="263"/>
      <c r="E107" s="263"/>
      <c r="F107" s="241"/>
      <c r="G107" s="241"/>
      <c r="H107" s="241"/>
      <c r="I107" s="241"/>
      <c r="J107" s="241"/>
      <c r="K107" s="241"/>
      <c r="L107" s="241"/>
      <c r="M107" s="241"/>
    </row>
    <row r="108" spans="1:13" ht="15.75" customHeight="1" x14ac:dyDescent="0.2">
      <c r="A108" s="192"/>
      <c r="B108" s="192"/>
      <c r="C108" s="192"/>
      <c r="D108" s="263"/>
      <c r="E108" s="263"/>
      <c r="F108" s="241"/>
      <c r="G108" s="241"/>
      <c r="H108" s="241"/>
      <c r="I108" s="241"/>
      <c r="J108" s="241"/>
      <c r="K108" s="241"/>
      <c r="L108" s="241"/>
      <c r="M108" s="241"/>
    </row>
    <row r="109" spans="1:13" ht="15.75" customHeight="1" x14ac:dyDescent="0.2">
      <c r="A109" s="192"/>
      <c r="B109" s="192"/>
      <c r="C109" s="192"/>
      <c r="D109" s="263"/>
      <c r="E109" s="263"/>
      <c r="F109" s="241"/>
      <c r="G109" s="241"/>
      <c r="H109" s="241"/>
      <c r="I109" s="241"/>
      <c r="J109" s="241"/>
      <c r="K109" s="241"/>
      <c r="L109" s="241"/>
      <c r="M109" s="241"/>
    </row>
    <row r="110" spans="1:13" ht="15.75" customHeight="1" x14ac:dyDescent="0.2">
      <c r="A110" s="192"/>
      <c r="B110" s="192"/>
      <c r="C110" s="192"/>
      <c r="D110" s="263"/>
      <c r="E110" s="263"/>
      <c r="F110" s="241"/>
      <c r="G110" s="241"/>
      <c r="H110" s="241"/>
      <c r="I110" s="241"/>
      <c r="J110" s="241"/>
      <c r="K110" s="241"/>
      <c r="L110" s="241"/>
      <c r="M110" s="241"/>
    </row>
    <row r="111" spans="1:13" ht="15.75" customHeight="1" x14ac:dyDescent="0.2">
      <c r="A111" s="192"/>
      <c r="B111" s="192"/>
      <c r="C111" s="192"/>
      <c r="D111" s="263"/>
      <c r="E111" s="263"/>
      <c r="F111" s="241"/>
      <c r="G111" s="241"/>
      <c r="H111" s="241"/>
      <c r="I111" s="241"/>
      <c r="J111" s="241"/>
      <c r="K111" s="241"/>
      <c r="L111" s="241"/>
      <c r="M111" s="241"/>
    </row>
    <row r="112" spans="1:13" ht="15.75" customHeight="1" x14ac:dyDescent="0.2">
      <c r="A112" s="192"/>
      <c r="B112" s="192"/>
      <c r="C112" s="192"/>
      <c r="D112" s="263"/>
      <c r="E112" s="263"/>
      <c r="F112" s="241"/>
      <c r="G112" s="241"/>
      <c r="H112" s="241"/>
      <c r="I112" s="241"/>
      <c r="J112" s="241"/>
      <c r="K112" s="241"/>
      <c r="L112" s="241"/>
      <c r="M112" s="241"/>
    </row>
    <row r="113" spans="1:13" ht="15.75" customHeight="1" x14ac:dyDescent="0.2">
      <c r="A113" s="192"/>
      <c r="B113" s="192"/>
      <c r="C113" s="192"/>
      <c r="D113" s="263"/>
      <c r="E113" s="263"/>
      <c r="F113" s="241"/>
      <c r="G113" s="241"/>
      <c r="H113" s="241"/>
      <c r="I113" s="241"/>
      <c r="J113" s="241"/>
      <c r="K113" s="241"/>
      <c r="L113" s="241"/>
      <c r="M113" s="241"/>
    </row>
    <row r="114" spans="1:13" ht="15.75" customHeight="1" x14ac:dyDescent="0.2">
      <c r="A114" s="192"/>
      <c r="B114" s="192"/>
      <c r="C114" s="192"/>
      <c r="D114" s="263"/>
      <c r="E114" s="263"/>
      <c r="F114" s="241"/>
      <c r="G114" s="241"/>
      <c r="H114" s="241"/>
      <c r="I114" s="241"/>
      <c r="J114" s="241"/>
      <c r="K114" s="241"/>
      <c r="L114" s="241"/>
      <c r="M114" s="241"/>
    </row>
    <row r="115" spans="1:13" ht="15.75" customHeight="1" x14ac:dyDescent="0.2">
      <c r="A115" s="192"/>
      <c r="B115" s="192"/>
      <c r="C115" s="192"/>
      <c r="D115" s="263"/>
      <c r="E115" s="263"/>
      <c r="F115" s="241"/>
      <c r="G115" s="241"/>
      <c r="H115" s="241"/>
      <c r="I115" s="241"/>
      <c r="J115" s="241"/>
      <c r="K115" s="241"/>
      <c r="L115" s="241"/>
      <c r="M115" s="241"/>
    </row>
    <row r="116" spans="1:13" ht="15.75" customHeight="1" x14ac:dyDescent="0.2">
      <c r="A116" s="192"/>
      <c r="B116" s="192"/>
      <c r="C116" s="192"/>
      <c r="D116" s="263"/>
      <c r="E116" s="263"/>
      <c r="F116" s="241"/>
      <c r="G116" s="241"/>
      <c r="H116" s="241"/>
      <c r="I116" s="241"/>
      <c r="J116" s="241"/>
      <c r="K116" s="241"/>
      <c r="L116" s="241"/>
      <c r="M116" s="241"/>
    </row>
    <row r="117" spans="1:13" ht="15.75" customHeight="1" x14ac:dyDescent="0.2">
      <c r="A117" s="192"/>
      <c r="B117" s="192"/>
      <c r="C117" s="192"/>
      <c r="D117" s="263"/>
      <c r="E117" s="263"/>
      <c r="F117" s="241"/>
      <c r="G117" s="241"/>
      <c r="H117" s="241"/>
      <c r="I117" s="241"/>
      <c r="J117" s="241"/>
      <c r="K117" s="241"/>
      <c r="L117" s="241"/>
      <c r="M117" s="241"/>
    </row>
    <row r="118" spans="1:13" ht="15.75" customHeight="1" x14ac:dyDescent="0.2">
      <c r="A118" s="192"/>
      <c r="B118" s="192"/>
      <c r="C118" s="192"/>
      <c r="D118" s="263"/>
      <c r="E118" s="263"/>
      <c r="F118" s="241"/>
      <c r="G118" s="241"/>
      <c r="H118" s="241"/>
      <c r="I118" s="241"/>
      <c r="J118" s="241"/>
      <c r="K118" s="241"/>
      <c r="L118" s="241"/>
      <c r="M118" s="241"/>
    </row>
    <row r="119" spans="1:13" ht="15.75" customHeight="1" x14ac:dyDescent="0.2">
      <c r="A119" s="192"/>
      <c r="B119" s="192"/>
      <c r="C119" s="192"/>
      <c r="D119" s="263"/>
      <c r="E119" s="263"/>
      <c r="F119" s="241"/>
      <c r="G119" s="241"/>
      <c r="H119" s="241"/>
      <c r="I119" s="241"/>
      <c r="J119" s="241"/>
      <c r="K119" s="241"/>
      <c r="L119" s="241"/>
      <c r="M119" s="241"/>
    </row>
    <row r="120" spans="1:13" ht="15.75" customHeight="1" x14ac:dyDescent="0.2">
      <c r="A120" s="192"/>
      <c r="B120" s="192"/>
      <c r="C120" s="192"/>
      <c r="D120" s="263"/>
      <c r="E120" s="263"/>
      <c r="F120" s="241"/>
      <c r="G120" s="241"/>
      <c r="H120" s="241"/>
      <c r="I120" s="241"/>
      <c r="J120" s="241"/>
      <c r="K120" s="241"/>
      <c r="L120" s="241"/>
      <c r="M120" s="241"/>
    </row>
    <row r="121" spans="1:13" ht="15.75" customHeight="1" x14ac:dyDescent="0.2">
      <c r="A121" s="192"/>
      <c r="B121" s="192"/>
      <c r="C121" s="192"/>
      <c r="D121" s="263"/>
      <c r="E121" s="263"/>
      <c r="F121" s="241"/>
      <c r="G121" s="241"/>
      <c r="H121" s="241"/>
      <c r="I121" s="241"/>
      <c r="J121" s="241"/>
      <c r="K121" s="241"/>
      <c r="L121" s="241"/>
      <c r="M121" s="241"/>
    </row>
    <row r="122" spans="1:13" ht="15.75" customHeight="1" x14ac:dyDescent="0.2">
      <c r="A122" s="192"/>
      <c r="B122" s="192"/>
      <c r="C122" s="192"/>
      <c r="D122" s="263"/>
      <c r="E122" s="263"/>
      <c r="F122" s="241"/>
      <c r="G122" s="241"/>
      <c r="H122" s="241"/>
      <c r="I122" s="241"/>
      <c r="J122" s="241"/>
      <c r="K122" s="241"/>
      <c r="L122" s="241"/>
      <c r="M122" s="241"/>
    </row>
    <row r="123" spans="1:13" ht="15.75" customHeight="1" x14ac:dyDescent="0.2">
      <c r="A123" s="192"/>
      <c r="B123" s="192"/>
      <c r="C123" s="192"/>
      <c r="D123" s="263"/>
      <c r="E123" s="263"/>
      <c r="F123" s="241"/>
      <c r="G123" s="241"/>
      <c r="H123" s="241"/>
      <c r="I123" s="241"/>
      <c r="J123" s="241"/>
      <c r="K123" s="241"/>
      <c r="L123" s="241"/>
      <c r="M123" s="241"/>
    </row>
    <row r="124" spans="1:13" ht="15.75" customHeight="1" x14ac:dyDescent="0.2">
      <c r="A124" s="192"/>
      <c r="B124" s="192"/>
      <c r="C124" s="192"/>
      <c r="D124" s="263"/>
      <c r="E124" s="263"/>
      <c r="F124" s="241"/>
      <c r="G124" s="241"/>
      <c r="H124" s="241"/>
      <c r="I124" s="241"/>
      <c r="J124" s="241"/>
      <c r="K124" s="241"/>
      <c r="L124" s="241"/>
      <c r="M124" s="241"/>
    </row>
    <row r="125" spans="1:13" ht="15.75" customHeight="1" x14ac:dyDescent="0.2">
      <c r="A125" s="192"/>
      <c r="B125" s="192"/>
      <c r="C125" s="192"/>
      <c r="D125" s="263"/>
      <c r="E125" s="263"/>
      <c r="F125" s="241"/>
      <c r="G125" s="241"/>
      <c r="H125" s="241"/>
      <c r="I125" s="241"/>
      <c r="J125" s="241"/>
      <c r="K125" s="241"/>
      <c r="L125" s="241"/>
      <c r="M125" s="241"/>
    </row>
    <row r="126" spans="1:13" ht="15.75" customHeight="1" x14ac:dyDescent="0.2">
      <c r="A126" s="192"/>
      <c r="B126" s="192"/>
      <c r="C126" s="192"/>
      <c r="D126" s="263"/>
      <c r="E126" s="263"/>
      <c r="F126" s="241"/>
      <c r="G126" s="241"/>
      <c r="H126" s="241"/>
      <c r="I126" s="241"/>
      <c r="J126" s="241"/>
      <c r="K126" s="241"/>
      <c r="L126" s="241"/>
      <c r="M126" s="241"/>
    </row>
    <row r="127" spans="1:13" ht="15.75" customHeight="1" x14ac:dyDescent="0.2">
      <c r="A127" s="192"/>
      <c r="B127" s="192"/>
      <c r="C127" s="192"/>
      <c r="D127" s="263"/>
      <c r="E127" s="263"/>
      <c r="F127" s="241"/>
      <c r="G127" s="241"/>
      <c r="H127" s="241"/>
      <c r="I127" s="241"/>
      <c r="J127" s="241"/>
      <c r="K127" s="241"/>
      <c r="L127" s="241"/>
      <c r="M127" s="241"/>
    </row>
    <row r="128" spans="1:13" ht="15.75" customHeight="1" x14ac:dyDescent="0.2">
      <c r="A128" s="192"/>
      <c r="B128" s="192"/>
      <c r="C128" s="192"/>
      <c r="D128" s="263"/>
      <c r="E128" s="263"/>
      <c r="F128" s="241"/>
      <c r="G128" s="241"/>
      <c r="H128" s="241"/>
      <c r="I128" s="241"/>
      <c r="J128" s="241"/>
      <c r="K128" s="241"/>
      <c r="L128" s="241"/>
      <c r="M128" s="241"/>
    </row>
    <row r="129" spans="1:13" ht="15.75" customHeight="1" x14ac:dyDescent="0.2">
      <c r="A129" s="192"/>
      <c r="B129" s="192"/>
      <c r="C129" s="192"/>
      <c r="D129" s="263"/>
      <c r="E129" s="263"/>
      <c r="F129" s="241"/>
      <c r="G129" s="241"/>
      <c r="H129" s="241"/>
      <c r="I129" s="241"/>
      <c r="J129" s="241"/>
      <c r="K129" s="241"/>
      <c r="L129" s="241"/>
      <c r="M129" s="241"/>
    </row>
    <row r="130" spans="1:13" ht="15.75" customHeight="1" x14ac:dyDescent="0.2">
      <c r="A130" s="192"/>
      <c r="B130" s="192"/>
      <c r="C130" s="192"/>
      <c r="D130" s="263"/>
      <c r="E130" s="263"/>
      <c r="F130" s="241"/>
      <c r="G130" s="241"/>
      <c r="H130" s="241"/>
      <c r="I130" s="241"/>
      <c r="J130" s="241"/>
      <c r="K130" s="241"/>
      <c r="L130" s="241"/>
      <c r="M130" s="241"/>
    </row>
    <row r="131" spans="1:13" ht="15.75" customHeight="1" x14ac:dyDescent="0.2">
      <c r="A131" s="192"/>
      <c r="B131" s="192"/>
      <c r="C131" s="192"/>
      <c r="D131" s="263"/>
      <c r="E131" s="263"/>
      <c r="F131" s="241"/>
      <c r="G131" s="241"/>
      <c r="H131" s="241"/>
      <c r="I131" s="241"/>
      <c r="J131" s="241"/>
      <c r="K131" s="241"/>
      <c r="L131" s="241"/>
      <c r="M131" s="241"/>
    </row>
    <row r="132" spans="1:13" ht="15.75" customHeight="1" x14ac:dyDescent="0.2">
      <c r="A132" s="192"/>
      <c r="B132" s="192"/>
      <c r="C132" s="192"/>
      <c r="D132" s="263"/>
      <c r="E132" s="263"/>
      <c r="F132" s="241"/>
      <c r="G132" s="241"/>
      <c r="H132" s="241"/>
      <c r="I132" s="241"/>
      <c r="J132" s="241"/>
      <c r="K132" s="241"/>
      <c r="L132" s="241"/>
      <c r="M132" s="241"/>
    </row>
    <row r="133" spans="1:13" ht="15.75" customHeight="1" x14ac:dyDescent="0.2">
      <c r="A133" s="192"/>
      <c r="B133" s="192"/>
      <c r="C133" s="192"/>
      <c r="D133" s="263"/>
      <c r="E133" s="263"/>
      <c r="F133" s="241"/>
      <c r="G133" s="241"/>
      <c r="H133" s="241"/>
      <c r="I133" s="241"/>
      <c r="J133" s="241"/>
      <c r="K133" s="241"/>
      <c r="L133" s="241"/>
      <c r="M133" s="241"/>
    </row>
    <row r="134" spans="1:13" ht="15.75" customHeight="1" x14ac:dyDescent="0.2">
      <c r="A134" s="192"/>
      <c r="B134" s="192"/>
      <c r="C134" s="192"/>
      <c r="D134" s="263"/>
      <c r="E134" s="263"/>
      <c r="F134" s="241"/>
      <c r="G134" s="241"/>
      <c r="H134" s="241"/>
      <c r="I134" s="241"/>
      <c r="J134" s="241"/>
      <c r="K134" s="241"/>
      <c r="L134" s="241"/>
      <c r="M134" s="241"/>
    </row>
    <row r="135" spans="1:13" ht="15.75" customHeight="1" x14ac:dyDescent="0.2">
      <c r="A135" s="192"/>
      <c r="B135" s="192"/>
      <c r="C135" s="192"/>
      <c r="D135" s="263"/>
      <c r="E135" s="263"/>
      <c r="F135" s="241"/>
      <c r="G135" s="241"/>
      <c r="H135" s="241"/>
      <c r="I135" s="241"/>
      <c r="J135" s="241"/>
      <c r="K135" s="241"/>
      <c r="L135" s="241"/>
      <c r="M135" s="241"/>
    </row>
    <row r="136" spans="1:13" ht="15.75" customHeight="1" x14ac:dyDescent="0.2">
      <c r="A136" s="192"/>
      <c r="B136" s="192"/>
      <c r="C136" s="192"/>
      <c r="D136" s="263"/>
      <c r="E136" s="263"/>
      <c r="F136" s="241"/>
      <c r="G136" s="241"/>
      <c r="H136" s="241"/>
      <c r="I136" s="241"/>
      <c r="J136" s="241"/>
      <c r="K136" s="241"/>
      <c r="L136" s="241"/>
      <c r="M136" s="241"/>
    </row>
    <row r="137" spans="1:13" ht="15.75" customHeight="1" x14ac:dyDescent="0.2">
      <c r="A137" s="192"/>
      <c r="B137" s="192"/>
      <c r="C137" s="192"/>
      <c r="D137" s="263"/>
      <c r="E137" s="263"/>
      <c r="F137" s="241"/>
      <c r="G137" s="241"/>
      <c r="H137" s="241"/>
      <c r="I137" s="241"/>
      <c r="J137" s="241"/>
      <c r="K137" s="241"/>
      <c r="L137" s="241"/>
      <c r="M137" s="241"/>
    </row>
    <row r="138" spans="1:13" ht="15.75" customHeight="1" x14ac:dyDescent="0.2">
      <c r="A138" s="192"/>
      <c r="B138" s="192"/>
      <c r="C138" s="192"/>
      <c r="D138" s="263"/>
      <c r="E138" s="263"/>
      <c r="F138" s="241"/>
      <c r="G138" s="241"/>
      <c r="H138" s="241"/>
      <c r="I138" s="241"/>
      <c r="J138" s="241"/>
      <c r="K138" s="241"/>
      <c r="L138" s="241"/>
      <c r="M138" s="241"/>
    </row>
    <row r="139" spans="1:13" ht="15.75" customHeight="1" x14ac:dyDescent="0.2">
      <c r="A139" s="192"/>
      <c r="B139" s="192"/>
      <c r="C139" s="192"/>
      <c r="D139" s="263"/>
      <c r="E139" s="263"/>
      <c r="F139" s="241"/>
      <c r="G139" s="241"/>
      <c r="H139" s="241"/>
      <c r="I139" s="241"/>
      <c r="J139" s="241"/>
      <c r="K139" s="241"/>
      <c r="L139" s="241"/>
      <c r="M139" s="241"/>
    </row>
    <row r="140" spans="1:13" ht="15.75" customHeight="1" x14ac:dyDescent="0.2">
      <c r="A140" s="192"/>
      <c r="B140" s="192"/>
      <c r="C140" s="192"/>
      <c r="D140" s="263"/>
      <c r="E140" s="263"/>
      <c r="F140" s="241"/>
      <c r="G140" s="241"/>
      <c r="H140" s="241"/>
      <c r="I140" s="241"/>
      <c r="J140" s="241"/>
      <c r="K140" s="241"/>
      <c r="L140" s="241"/>
      <c r="M140" s="241"/>
    </row>
    <row r="141" spans="1:13" ht="15.75" customHeight="1" x14ac:dyDescent="0.2">
      <c r="A141" s="192"/>
      <c r="B141" s="192"/>
      <c r="C141" s="192"/>
      <c r="D141" s="263"/>
      <c r="E141" s="263"/>
      <c r="F141" s="241"/>
      <c r="G141" s="241"/>
      <c r="H141" s="241"/>
      <c r="I141" s="241"/>
      <c r="J141" s="241"/>
      <c r="K141" s="241"/>
      <c r="L141" s="241"/>
      <c r="M141" s="241"/>
    </row>
    <row r="142" spans="1:13" ht="15.75" customHeight="1" x14ac:dyDescent="0.2">
      <c r="A142" s="192"/>
      <c r="B142" s="192"/>
      <c r="C142" s="192"/>
      <c r="D142" s="263"/>
      <c r="E142" s="263"/>
      <c r="F142" s="241"/>
      <c r="G142" s="241"/>
      <c r="H142" s="241"/>
      <c r="I142" s="241"/>
      <c r="J142" s="241"/>
      <c r="K142" s="241"/>
      <c r="L142" s="241"/>
      <c r="M142" s="241"/>
    </row>
    <row r="143" spans="1:13" ht="15.75" customHeight="1" x14ac:dyDescent="0.2">
      <c r="A143" s="192"/>
      <c r="B143" s="192"/>
      <c r="C143" s="192"/>
      <c r="D143" s="263"/>
      <c r="E143" s="263"/>
      <c r="F143" s="241"/>
      <c r="G143" s="241"/>
      <c r="H143" s="241"/>
      <c r="I143" s="241"/>
      <c r="J143" s="241"/>
      <c r="K143" s="241"/>
      <c r="L143" s="241"/>
      <c r="M143" s="241"/>
    </row>
    <row r="144" spans="1:13" ht="15.75" customHeight="1" x14ac:dyDescent="0.2">
      <c r="A144" s="192"/>
      <c r="B144" s="192"/>
      <c r="C144" s="192"/>
      <c r="D144" s="263"/>
      <c r="E144" s="263"/>
      <c r="F144" s="241"/>
      <c r="G144" s="241"/>
      <c r="H144" s="241"/>
      <c r="I144" s="241"/>
      <c r="J144" s="241"/>
      <c r="K144" s="241"/>
      <c r="L144" s="241"/>
      <c r="M144" s="241"/>
    </row>
    <row r="145" spans="1:13" ht="15.75" customHeight="1" x14ac:dyDescent="0.2">
      <c r="A145" s="192"/>
      <c r="B145" s="192"/>
      <c r="C145" s="192"/>
      <c r="D145" s="263"/>
      <c r="E145" s="263"/>
      <c r="F145" s="241"/>
      <c r="G145" s="241"/>
      <c r="H145" s="241"/>
      <c r="I145" s="241"/>
      <c r="J145" s="241"/>
      <c r="K145" s="241"/>
      <c r="L145" s="241"/>
      <c r="M145" s="241"/>
    </row>
    <row r="146" spans="1:13" ht="15.75" customHeight="1" x14ac:dyDescent="0.2">
      <c r="A146" s="192"/>
      <c r="B146" s="192"/>
      <c r="C146" s="192"/>
      <c r="D146" s="263"/>
      <c r="E146" s="263"/>
      <c r="F146" s="241"/>
      <c r="G146" s="241"/>
      <c r="H146" s="241"/>
      <c r="I146" s="241"/>
      <c r="J146" s="241"/>
      <c r="K146" s="241"/>
      <c r="L146" s="241"/>
      <c r="M146" s="241"/>
    </row>
    <row r="147" spans="1:13" ht="15.75" customHeight="1" x14ac:dyDescent="0.2">
      <c r="A147" s="192"/>
      <c r="B147" s="192"/>
      <c r="C147" s="192"/>
      <c r="D147" s="263"/>
      <c r="E147" s="263"/>
      <c r="F147" s="241"/>
      <c r="G147" s="241"/>
      <c r="H147" s="241"/>
      <c r="I147" s="241"/>
      <c r="J147" s="241"/>
      <c r="K147" s="241"/>
      <c r="L147" s="241"/>
      <c r="M147" s="241"/>
    </row>
    <row r="148" spans="1:13" ht="15.75" customHeight="1" x14ac:dyDescent="0.2">
      <c r="A148" s="192"/>
      <c r="B148" s="192"/>
      <c r="C148" s="192"/>
      <c r="D148" s="263"/>
      <c r="E148" s="263"/>
      <c r="F148" s="241"/>
      <c r="G148" s="241"/>
      <c r="H148" s="241"/>
      <c r="I148" s="241"/>
      <c r="J148" s="241"/>
      <c r="K148" s="241"/>
      <c r="L148" s="241"/>
      <c r="M148" s="241"/>
    </row>
    <row r="149" spans="1:13" ht="15.75" customHeight="1" x14ac:dyDescent="0.2">
      <c r="A149" s="192"/>
      <c r="B149" s="192"/>
      <c r="C149" s="192"/>
      <c r="D149" s="263"/>
      <c r="E149" s="263"/>
      <c r="F149" s="241"/>
      <c r="G149" s="241"/>
      <c r="H149" s="241"/>
      <c r="I149" s="241"/>
      <c r="J149" s="241"/>
      <c r="K149" s="241"/>
      <c r="L149" s="241"/>
      <c r="M149" s="241"/>
    </row>
    <row r="150" spans="1:13" ht="15.75" customHeight="1" x14ac:dyDescent="0.2">
      <c r="A150" s="192"/>
      <c r="B150" s="192"/>
      <c r="C150" s="192"/>
      <c r="D150" s="263"/>
      <c r="E150" s="263"/>
      <c r="F150" s="241"/>
      <c r="G150" s="241"/>
      <c r="H150" s="241"/>
      <c r="I150" s="241"/>
      <c r="J150" s="241"/>
      <c r="K150" s="241"/>
      <c r="L150" s="241"/>
      <c r="M150" s="241"/>
    </row>
    <row r="151" spans="1:13" ht="15.75" customHeight="1" x14ac:dyDescent="0.2">
      <c r="A151" s="192"/>
      <c r="B151" s="192"/>
      <c r="C151" s="192"/>
      <c r="D151" s="263"/>
      <c r="E151" s="263"/>
      <c r="F151" s="241"/>
      <c r="G151" s="241"/>
      <c r="H151" s="241"/>
      <c r="I151" s="241"/>
      <c r="J151" s="241"/>
      <c r="K151" s="241"/>
      <c r="L151" s="241"/>
      <c r="M151" s="241"/>
    </row>
    <row r="152" spans="1:13" ht="15.75" customHeight="1" x14ac:dyDescent="0.2">
      <c r="A152" s="192"/>
      <c r="B152" s="192"/>
      <c r="C152" s="192"/>
      <c r="D152" s="263"/>
      <c r="E152" s="263"/>
      <c r="F152" s="241"/>
      <c r="G152" s="241"/>
      <c r="H152" s="241"/>
      <c r="I152" s="241"/>
      <c r="J152" s="241"/>
      <c r="K152" s="241"/>
      <c r="L152" s="241"/>
      <c r="M152" s="241"/>
    </row>
    <row r="153" spans="1:13" ht="15.75" customHeight="1" x14ac:dyDescent="0.2">
      <c r="A153" s="192"/>
      <c r="B153" s="192"/>
      <c r="C153" s="192"/>
      <c r="D153" s="263"/>
      <c r="E153" s="263"/>
      <c r="F153" s="241"/>
      <c r="G153" s="241"/>
      <c r="H153" s="241"/>
      <c r="I153" s="241"/>
      <c r="J153" s="241"/>
      <c r="K153" s="241"/>
      <c r="L153" s="241"/>
      <c r="M153" s="241"/>
    </row>
    <row r="154" spans="1:13" ht="15.75" customHeight="1" x14ac:dyDescent="0.2">
      <c r="A154" s="192"/>
      <c r="B154" s="192"/>
      <c r="C154" s="192"/>
      <c r="D154" s="263"/>
      <c r="E154" s="263"/>
      <c r="F154" s="241"/>
      <c r="G154" s="241"/>
      <c r="H154" s="241"/>
      <c r="I154" s="241"/>
      <c r="J154" s="241"/>
      <c r="K154" s="241"/>
      <c r="L154" s="241"/>
      <c r="M154" s="241"/>
    </row>
    <row r="155" spans="1:13" ht="15.75" customHeight="1" x14ac:dyDescent="0.2">
      <c r="A155" s="192"/>
      <c r="B155" s="192"/>
      <c r="C155" s="192"/>
      <c r="D155" s="263"/>
      <c r="E155" s="263"/>
      <c r="F155" s="241"/>
      <c r="G155" s="241"/>
      <c r="H155" s="241"/>
      <c r="I155" s="241"/>
      <c r="J155" s="241"/>
      <c r="K155" s="241"/>
      <c r="L155" s="241"/>
      <c r="M155" s="241"/>
    </row>
    <row r="156" spans="1:13" ht="15.75" customHeight="1" x14ac:dyDescent="0.2">
      <c r="A156" s="192"/>
      <c r="B156" s="192"/>
      <c r="C156" s="192"/>
      <c r="D156" s="263"/>
      <c r="E156" s="263"/>
      <c r="F156" s="241"/>
      <c r="G156" s="241"/>
      <c r="H156" s="241"/>
      <c r="I156" s="241"/>
      <c r="J156" s="241"/>
      <c r="K156" s="241"/>
      <c r="L156" s="241"/>
      <c r="M156" s="241"/>
    </row>
    <row r="157" spans="1:13" ht="15.75" customHeight="1" x14ac:dyDescent="0.2">
      <c r="A157" s="192"/>
      <c r="B157" s="192"/>
      <c r="C157" s="192"/>
      <c r="D157" s="263"/>
      <c r="E157" s="263"/>
      <c r="F157" s="241"/>
      <c r="G157" s="241"/>
      <c r="H157" s="241"/>
      <c r="I157" s="241"/>
      <c r="J157" s="241"/>
      <c r="K157" s="241"/>
      <c r="L157" s="241"/>
      <c r="M157" s="241"/>
    </row>
    <row r="158" spans="1:13" ht="15.75" customHeight="1" x14ac:dyDescent="0.2">
      <c r="A158" s="192"/>
      <c r="B158" s="192"/>
      <c r="C158" s="192"/>
      <c r="D158" s="263"/>
      <c r="E158" s="263"/>
      <c r="F158" s="241"/>
      <c r="G158" s="241"/>
      <c r="H158" s="241"/>
      <c r="I158" s="241"/>
      <c r="J158" s="241"/>
      <c r="K158" s="241"/>
      <c r="L158" s="241"/>
      <c r="M158" s="241"/>
    </row>
    <row r="159" spans="1:13" ht="15.75" customHeight="1" x14ac:dyDescent="0.2">
      <c r="A159" s="192"/>
      <c r="B159" s="192"/>
      <c r="C159" s="192"/>
      <c r="D159" s="263"/>
      <c r="E159" s="263"/>
      <c r="F159" s="241"/>
      <c r="G159" s="241"/>
      <c r="H159" s="241"/>
      <c r="I159" s="241"/>
      <c r="J159" s="241"/>
      <c r="K159" s="241"/>
      <c r="L159" s="241"/>
      <c r="M159" s="241"/>
    </row>
    <row r="160" spans="1:13" ht="15.75" customHeight="1" x14ac:dyDescent="0.2">
      <c r="A160" s="192"/>
      <c r="B160" s="192"/>
      <c r="C160" s="192"/>
      <c r="D160" s="263"/>
      <c r="E160" s="263"/>
      <c r="F160" s="241"/>
      <c r="G160" s="241"/>
      <c r="H160" s="241"/>
      <c r="I160" s="241"/>
      <c r="J160" s="241"/>
      <c r="K160" s="241"/>
      <c r="L160" s="241"/>
      <c r="M160" s="241"/>
    </row>
    <row r="161" spans="1:13" ht="15.75" customHeight="1" x14ac:dyDescent="0.2">
      <c r="A161" s="192"/>
      <c r="B161" s="192"/>
      <c r="C161" s="192"/>
      <c r="D161" s="263"/>
      <c r="E161" s="263"/>
      <c r="F161" s="241"/>
      <c r="G161" s="241"/>
      <c r="H161" s="241"/>
      <c r="I161" s="241"/>
      <c r="J161" s="241"/>
      <c r="K161" s="241"/>
      <c r="L161" s="241"/>
      <c r="M161" s="241"/>
    </row>
    <row r="162" spans="1:13" ht="15.75" customHeight="1" x14ac:dyDescent="0.2">
      <c r="A162" s="192"/>
      <c r="B162" s="192"/>
      <c r="C162" s="192"/>
      <c r="D162" s="263"/>
      <c r="E162" s="263"/>
      <c r="F162" s="241"/>
      <c r="G162" s="241"/>
      <c r="H162" s="241"/>
      <c r="I162" s="241"/>
      <c r="J162" s="241"/>
      <c r="K162" s="241"/>
      <c r="L162" s="241"/>
      <c r="M162" s="241"/>
    </row>
    <row r="163" spans="1:13" ht="15.75" customHeight="1" x14ac:dyDescent="0.2">
      <c r="A163" s="192"/>
      <c r="B163" s="192"/>
      <c r="C163" s="192"/>
      <c r="D163" s="263"/>
      <c r="E163" s="263"/>
      <c r="F163" s="241"/>
      <c r="G163" s="241"/>
      <c r="H163" s="241"/>
      <c r="I163" s="241"/>
      <c r="J163" s="241"/>
      <c r="K163" s="241"/>
      <c r="L163" s="241"/>
      <c r="M163" s="241"/>
    </row>
    <row r="164" spans="1:13" ht="15.75" customHeight="1" x14ac:dyDescent="0.2">
      <c r="A164" s="192"/>
      <c r="B164" s="192"/>
      <c r="C164" s="192"/>
      <c r="D164" s="263"/>
      <c r="E164" s="263"/>
      <c r="F164" s="241"/>
      <c r="G164" s="241"/>
      <c r="H164" s="241"/>
      <c r="I164" s="241"/>
      <c r="J164" s="241"/>
      <c r="K164" s="241"/>
      <c r="L164" s="241"/>
      <c r="M164" s="241"/>
    </row>
    <row r="165" spans="1:13" ht="15.75" customHeight="1" x14ac:dyDescent="0.2">
      <c r="A165" s="192"/>
      <c r="B165" s="192"/>
      <c r="C165" s="192"/>
      <c r="D165" s="263"/>
      <c r="E165" s="263"/>
      <c r="F165" s="241"/>
      <c r="G165" s="241"/>
      <c r="H165" s="241"/>
      <c r="I165" s="241"/>
      <c r="J165" s="241"/>
      <c r="K165" s="241"/>
      <c r="L165" s="241"/>
      <c r="M165" s="241"/>
    </row>
    <row r="166" spans="1:13" ht="15.75" customHeight="1" x14ac:dyDescent="0.2">
      <c r="A166" s="192"/>
      <c r="B166" s="192"/>
      <c r="C166" s="192"/>
      <c r="D166" s="263"/>
      <c r="E166" s="263"/>
      <c r="F166" s="241"/>
      <c r="G166" s="241"/>
      <c r="H166" s="241"/>
      <c r="I166" s="241"/>
      <c r="J166" s="241"/>
      <c r="K166" s="241"/>
      <c r="L166" s="241"/>
      <c r="M166" s="241"/>
    </row>
    <row r="167" spans="1:13" ht="15.75" customHeight="1" x14ac:dyDescent="0.2">
      <c r="A167" s="192"/>
      <c r="B167" s="192"/>
      <c r="C167" s="192"/>
      <c r="D167" s="263"/>
      <c r="E167" s="263"/>
      <c r="F167" s="241"/>
      <c r="G167" s="241"/>
      <c r="H167" s="241"/>
      <c r="I167" s="241"/>
      <c r="J167" s="241"/>
      <c r="K167" s="241"/>
      <c r="L167" s="241"/>
      <c r="M167" s="241"/>
    </row>
    <row r="168" spans="1:13" ht="15.75" customHeight="1" x14ac:dyDescent="0.2">
      <c r="A168" s="192"/>
      <c r="B168" s="192"/>
      <c r="C168" s="192"/>
      <c r="D168" s="263"/>
      <c r="E168" s="263"/>
      <c r="F168" s="241"/>
      <c r="G168" s="241"/>
      <c r="H168" s="241"/>
      <c r="I168" s="241"/>
      <c r="J168" s="241"/>
      <c r="K168" s="241"/>
      <c r="L168" s="241"/>
      <c r="M168" s="241"/>
    </row>
    <row r="169" spans="1:13" ht="15.75" customHeight="1" x14ac:dyDescent="0.2">
      <c r="A169" s="192"/>
      <c r="B169" s="192"/>
      <c r="C169" s="192"/>
      <c r="D169" s="263"/>
      <c r="E169" s="263"/>
      <c r="F169" s="241"/>
      <c r="G169" s="241"/>
      <c r="H169" s="241"/>
      <c r="I169" s="241"/>
      <c r="J169" s="241"/>
      <c r="K169" s="241"/>
      <c r="L169" s="241"/>
      <c r="M169" s="241"/>
    </row>
    <row r="170" spans="1:13" ht="15.75" customHeight="1" x14ac:dyDescent="0.2">
      <c r="A170" s="192"/>
      <c r="B170" s="192"/>
      <c r="C170" s="192"/>
      <c r="D170" s="263"/>
      <c r="E170" s="263"/>
      <c r="F170" s="241"/>
      <c r="G170" s="241"/>
      <c r="H170" s="241"/>
      <c r="I170" s="241"/>
      <c r="J170" s="241"/>
      <c r="K170" s="241"/>
      <c r="L170" s="241"/>
      <c r="M170" s="241"/>
    </row>
    <row r="171" spans="1:13" ht="15.75" customHeight="1" x14ac:dyDescent="0.2">
      <c r="A171" s="192"/>
      <c r="B171" s="192"/>
      <c r="C171" s="192"/>
      <c r="D171" s="263"/>
      <c r="E171" s="263"/>
      <c r="F171" s="241"/>
      <c r="G171" s="241"/>
      <c r="H171" s="241"/>
      <c r="I171" s="241"/>
      <c r="J171" s="241"/>
      <c r="K171" s="241"/>
      <c r="L171" s="241"/>
      <c r="M171" s="241"/>
    </row>
    <row r="172" spans="1:13" ht="15.75" customHeight="1" x14ac:dyDescent="0.2">
      <c r="A172" s="192"/>
      <c r="B172" s="192"/>
      <c r="C172" s="192"/>
      <c r="D172" s="263"/>
      <c r="E172" s="263"/>
      <c r="F172" s="241"/>
      <c r="G172" s="241"/>
      <c r="H172" s="241"/>
      <c r="I172" s="241"/>
      <c r="J172" s="241"/>
      <c r="K172" s="241"/>
      <c r="L172" s="241"/>
      <c r="M172" s="241"/>
    </row>
    <row r="173" spans="1:13" ht="15.75" customHeight="1" x14ac:dyDescent="0.2">
      <c r="A173" s="192"/>
      <c r="B173" s="192"/>
      <c r="C173" s="192"/>
      <c r="D173" s="263"/>
      <c r="E173" s="263"/>
      <c r="F173" s="241"/>
      <c r="G173" s="241"/>
      <c r="H173" s="241"/>
      <c r="I173" s="241"/>
      <c r="J173" s="241"/>
      <c r="K173" s="241"/>
      <c r="L173" s="241"/>
      <c r="M173" s="241"/>
    </row>
    <row r="174" spans="1:13" ht="15.75" customHeight="1" x14ac:dyDescent="0.2">
      <c r="A174" s="192"/>
      <c r="B174" s="192"/>
      <c r="C174" s="192"/>
      <c r="D174" s="263"/>
      <c r="E174" s="263"/>
      <c r="F174" s="241"/>
      <c r="G174" s="241"/>
      <c r="H174" s="241"/>
      <c r="I174" s="241"/>
      <c r="J174" s="241"/>
      <c r="K174" s="241"/>
      <c r="L174" s="241"/>
      <c r="M174" s="241"/>
    </row>
    <row r="175" spans="1:13" ht="15.75" customHeight="1" x14ac:dyDescent="0.2">
      <c r="A175" s="192"/>
      <c r="B175" s="192"/>
      <c r="C175" s="192"/>
      <c r="D175" s="263"/>
      <c r="E175" s="263"/>
      <c r="F175" s="241"/>
      <c r="G175" s="241"/>
      <c r="H175" s="241"/>
      <c r="I175" s="241"/>
      <c r="J175" s="241"/>
      <c r="K175" s="241"/>
      <c r="L175" s="241"/>
      <c r="M175" s="241"/>
    </row>
    <row r="176" spans="1:13" ht="15.75" customHeight="1" x14ac:dyDescent="0.2">
      <c r="A176" s="192"/>
      <c r="B176" s="192"/>
      <c r="C176" s="192"/>
      <c r="D176" s="263"/>
      <c r="E176" s="263"/>
      <c r="F176" s="241"/>
      <c r="G176" s="241"/>
      <c r="H176" s="241"/>
      <c r="I176" s="241"/>
      <c r="J176" s="241"/>
      <c r="K176" s="241"/>
      <c r="L176" s="241"/>
      <c r="M176" s="241"/>
    </row>
    <row r="177" spans="1:13" ht="15.75" customHeight="1" x14ac:dyDescent="0.2">
      <c r="A177" s="192"/>
      <c r="B177" s="192"/>
      <c r="C177" s="192"/>
      <c r="D177" s="263"/>
      <c r="E177" s="263"/>
      <c r="F177" s="241"/>
      <c r="G177" s="241"/>
      <c r="H177" s="241"/>
      <c r="I177" s="241"/>
      <c r="J177" s="241"/>
      <c r="K177" s="241"/>
      <c r="L177" s="241"/>
      <c r="M177" s="241"/>
    </row>
    <row r="178" spans="1:13" ht="15.75" customHeight="1" x14ac:dyDescent="0.2">
      <c r="A178" s="192"/>
      <c r="B178" s="192"/>
      <c r="C178" s="192"/>
      <c r="D178" s="263"/>
      <c r="E178" s="263"/>
      <c r="F178" s="241"/>
      <c r="G178" s="241"/>
      <c r="H178" s="241"/>
      <c r="I178" s="241"/>
      <c r="J178" s="241"/>
      <c r="K178" s="241"/>
      <c r="L178" s="241"/>
      <c r="M178" s="241"/>
    </row>
    <row r="179" spans="1:13" ht="15.75" customHeight="1" x14ac:dyDescent="0.2">
      <c r="A179" s="192"/>
      <c r="B179" s="192"/>
      <c r="C179" s="192"/>
      <c r="D179" s="263"/>
      <c r="E179" s="263"/>
      <c r="F179" s="241"/>
      <c r="G179" s="241"/>
      <c r="H179" s="241"/>
      <c r="I179" s="241"/>
      <c r="J179" s="241"/>
      <c r="K179" s="241"/>
      <c r="L179" s="241"/>
      <c r="M179" s="241"/>
    </row>
    <row r="180" spans="1:13" ht="15.75" customHeight="1" x14ac:dyDescent="0.2">
      <c r="A180" s="192"/>
      <c r="B180" s="192"/>
      <c r="C180" s="192"/>
      <c r="D180" s="263"/>
      <c r="E180" s="263"/>
      <c r="F180" s="241"/>
      <c r="G180" s="241"/>
      <c r="H180" s="241"/>
      <c r="I180" s="241"/>
      <c r="J180" s="241"/>
      <c r="K180" s="241"/>
      <c r="L180" s="241"/>
      <c r="M180" s="241"/>
    </row>
    <row r="181" spans="1:13" ht="15.75" customHeight="1" x14ac:dyDescent="0.2">
      <c r="A181" s="192"/>
      <c r="B181" s="192"/>
      <c r="C181" s="192"/>
      <c r="D181" s="263"/>
      <c r="E181" s="263"/>
      <c r="F181" s="241"/>
      <c r="G181" s="241"/>
      <c r="H181" s="241"/>
      <c r="I181" s="241"/>
      <c r="J181" s="241"/>
      <c r="K181" s="241"/>
      <c r="L181" s="241"/>
      <c r="M181" s="241"/>
    </row>
    <row r="182" spans="1:13" ht="15.75" customHeight="1" x14ac:dyDescent="0.2">
      <c r="A182" s="192"/>
      <c r="B182" s="192"/>
      <c r="C182" s="192"/>
      <c r="D182" s="263"/>
      <c r="E182" s="263"/>
      <c r="F182" s="241"/>
      <c r="G182" s="241"/>
      <c r="H182" s="241"/>
      <c r="I182" s="241"/>
      <c r="J182" s="241"/>
      <c r="K182" s="241"/>
      <c r="L182" s="241"/>
      <c r="M182" s="241"/>
    </row>
    <row r="183" spans="1:13" ht="15.75" customHeight="1" x14ac:dyDescent="0.2">
      <c r="A183" s="192"/>
      <c r="B183" s="192"/>
      <c r="C183" s="192"/>
      <c r="D183" s="263"/>
      <c r="E183" s="263"/>
      <c r="F183" s="241"/>
      <c r="G183" s="241"/>
      <c r="H183" s="241"/>
      <c r="I183" s="241"/>
      <c r="J183" s="241"/>
      <c r="K183" s="241"/>
      <c r="L183" s="241"/>
      <c r="M183" s="241"/>
    </row>
    <row r="184" spans="1:13" ht="15.75" customHeight="1" x14ac:dyDescent="0.2">
      <c r="A184" s="192"/>
      <c r="B184" s="192"/>
      <c r="C184" s="192"/>
      <c r="D184" s="263"/>
      <c r="E184" s="263"/>
      <c r="F184" s="241"/>
      <c r="G184" s="241"/>
      <c r="H184" s="241"/>
      <c r="I184" s="241"/>
      <c r="J184" s="241"/>
      <c r="K184" s="241"/>
      <c r="L184" s="241"/>
      <c r="M184" s="241"/>
    </row>
    <row r="185" spans="1:13" ht="15.75" customHeight="1" x14ac:dyDescent="0.2">
      <c r="A185" s="192"/>
      <c r="B185" s="192"/>
      <c r="C185" s="192"/>
      <c r="D185" s="263"/>
      <c r="E185" s="263"/>
      <c r="F185" s="241"/>
      <c r="G185" s="241"/>
      <c r="H185" s="241"/>
      <c r="I185" s="241"/>
      <c r="J185" s="241"/>
      <c r="K185" s="241"/>
      <c r="L185" s="241"/>
      <c r="M185" s="241"/>
    </row>
    <row r="186" spans="1:13" ht="15.75" customHeight="1" x14ac:dyDescent="0.2">
      <c r="A186" s="192"/>
      <c r="B186" s="192"/>
      <c r="C186" s="192"/>
      <c r="D186" s="263"/>
      <c r="E186" s="263"/>
      <c r="F186" s="241"/>
      <c r="G186" s="241"/>
      <c r="H186" s="241"/>
      <c r="I186" s="241"/>
      <c r="J186" s="241"/>
      <c r="K186" s="241"/>
      <c r="L186" s="241"/>
      <c r="M186" s="241"/>
    </row>
    <row r="187" spans="1:13" ht="15.75" customHeight="1" x14ac:dyDescent="0.2">
      <c r="A187" s="192"/>
      <c r="B187" s="192"/>
      <c r="C187" s="192"/>
      <c r="D187" s="263"/>
      <c r="E187" s="263"/>
      <c r="F187" s="241"/>
      <c r="G187" s="241"/>
      <c r="H187" s="241"/>
      <c r="I187" s="241"/>
      <c r="J187" s="241"/>
      <c r="K187" s="241"/>
      <c r="L187" s="241"/>
      <c r="M187" s="241"/>
    </row>
    <row r="188" spans="1:13" ht="15.75" customHeight="1" x14ac:dyDescent="0.2">
      <c r="A188" s="192"/>
      <c r="B188" s="192"/>
      <c r="C188" s="192"/>
      <c r="D188" s="263"/>
      <c r="E188" s="263"/>
      <c r="F188" s="241"/>
      <c r="G188" s="241"/>
      <c r="H188" s="241"/>
      <c r="I188" s="241"/>
      <c r="J188" s="241"/>
      <c r="K188" s="241"/>
      <c r="L188" s="241"/>
      <c r="M188" s="241"/>
    </row>
    <row r="189" spans="1:13" ht="15.75" customHeight="1" x14ac:dyDescent="0.2">
      <c r="A189" s="192"/>
      <c r="B189" s="192"/>
      <c r="C189" s="192"/>
      <c r="D189" s="263"/>
      <c r="E189" s="263"/>
      <c r="F189" s="241"/>
      <c r="G189" s="241"/>
      <c r="H189" s="241"/>
      <c r="I189" s="241"/>
      <c r="J189" s="241"/>
      <c r="K189" s="241"/>
      <c r="L189" s="241"/>
      <c r="M189" s="241"/>
    </row>
    <row r="190" spans="1:13" ht="15.75" customHeight="1" x14ac:dyDescent="0.2">
      <c r="A190" s="192"/>
      <c r="B190" s="192"/>
      <c r="C190" s="192"/>
      <c r="D190" s="263"/>
      <c r="E190" s="263"/>
      <c r="F190" s="241"/>
      <c r="G190" s="241"/>
      <c r="H190" s="241"/>
      <c r="I190" s="241"/>
      <c r="J190" s="241"/>
      <c r="K190" s="241"/>
      <c r="L190" s="241"/>
      <c r="M190" s="241"/>
    </row>
    <row r="191" spans="1:13" ht="15.75" customHeight="1" x14ac:dyDescent="0.2">
      <c r="A191" s="192"/>
      <c r="B191" s="192"/>
      <c r="C191" s="192"/>
      <c r="D191" s="263"/>
      <c r="E191" s="263"/>
      <c r="F191" s="241"/>
      <c r="G191" s="241"/>
      <c r="H191" s="241"/>
      <c r="I191" s="241"/>
      <c r="J191" s="241"/>
      <c r="K191" s="241"/>
      <c r="L191" s="241"/>
      <c r="M191" s="241"/>
    </row>
    <row r="192" spans="1:13" ht="15.75" customHeight="1" x14ac:dyDescent="0.2">
      <c r="A192" s="192"/>
      <c r="B192" s="192"/>
      <c r="C192" s="192"/>
      <c r="D192" s="263"/>
      <c r="E192" s="263"/>
      <c r="F192" s="241"/>
      <c r="G192" s="241"/>
      <c r="H192" s="241"/>
      <c r="I192" s="241"/>
      <c r="J192" s="241"/>
      <c r="K192" s="241"/>
      <c r="L192" s="241"/>
      <c r="M192" s="241"/>
    </row>
    <row r="193" spans="1:13" ht="15.75" customHeight="1" x14ac:dyDescent="0.2">
      <c r="A193" s="192"/>
      <c r="B193" s="192"/>
      <c r="C193" s="192"/>
      <c r="D193" s="263"/>
      <c r="E193" s="263"/>
      <c r="F193" s="241"/>
      <c r="G193" s="241"/>
      <c r="H193" s="241"/>
      <c r="I193" s="241"/>
      <c r="J193" s="241"/>
      <c r="K193" s="241"/>
      <c r="L193" s="241"/>
      <c r="M193" s="241"/>
    </row>
    <row r="194" spans="1:13" ht="15.75" customHeight="1" x14ac:dyDescent="0.2">
      <c r="A194" s="192"/>
      <c r="B194" s="192"/>
      <c r="C194" s="192"/>
      <c r="D194" s="263"/>
      <c r="E194" s="263"/>
      <c r="F194" s="241"/>
      <c r="G194" s="241"/>
      <c r="H194" s="241"/>
      <c r="I194" s="241"/>
      <c r="J194" s="241"/>
      <c r="K194" s="241"/>
      <c r="L194" s="241"/>
      <c r="M194" s="241"/>
    </row>
    <row r="195" spans="1:13" ht="15.75" customHeight="1" x14ac:dyDescent="0.2">
      <c r="A195" s="192"/>
      <c r="B195" s="192"/>
      <c r="C195" s="192"/>
      <c r="D195" s="263"/>
      <c r="E195" s="263"/>
      <c r="F195" s="241"/>
      <c r="G195" s="241"/>
      <c r="H195" s="241"/>
      <c r="I195" s="241"/>
      <c r="J195" s="241"/>
      <c r="K195" s="241"/>
      <c r="L195" s="241"/>
      <c r="M195" s="241"/>
    </row>
    <row r="196" spans="1:13" ht="15.75" customHeight="1" x14ac:dyDescent="0.2">
      <c r="A196" s="192"/>
      <c r="B196" s="192"/>
      <c r="C196" s="192"/>
      <c r="D196" s="263"/>
      <c r="E196" s="263"/>
      <c r="F196" s="241"/>
      <c r="G196" s="241"/>
      <c r="H196" s="241"/>
      <c r="I196" s="241"/>
      <c r="J196" s="241"/>
      <c r="K196" s="241"/>
      <c r="L196" s="241"/>
      <c r="M196" s="241"/>
    </row>
    <row r="197" spans="1:13" ht="15.75" customHeight="1" x14ac:dyDescent="0.2">
      <c r="A197" s="192"/>
      <c r="B197" s="192"/>
      <c r="C197" s="192"/>
      <c r="D197" s="263"/>
      <c r="E197" s="263"/>
      <c r="F197" s="241"/>
      <c r="G197" s="241"/>
      <c r="H197" s="241"/>
      <c r="I197" s="241"/>
      <c r="J197" s="241"/>
      <c r="K197" s="241"/>
      <c r="L197" s="241"/>
      <c r="M197" s="241"/>
    </row>
    <row r="198" spans="1:13" ht="15.75" customHeight="1" x14ac:dyDescent="0.2">
      <c r="A198" s="192"/>
      <c r="B198" s="192"/>
      <c r="C198" s="192"/>
      <c r="D198" s="263"/>
      <c r="E198" s="263"/>
      <c r="F198" s="241"/>
      <c r="G198" s="241"/>
      <c r="H198" s="241"/>
      <c r="I198" s="241"/>
      <c r="J198" s="241"/>
      <c r="K198" s="241"/>
      <c r="L198" s="241"/>
      <c r="M198" s="241"/>
    </row>
    <row r="199" spans="1:13" ht="15.75" customHeight="1" x14ac:dyDescent="0.2">
      <c r="A199" s="192"/>
      <c r="B199" s="192"/>
      <c r="C199" s="192"/>
      <c r="D199" s="263"/>
      <c r="E199" s="263"/>
      <c r="F199" s="241"/>
      <c r="G199" s="241"/>
      <c r="H199" s="241"/>
      <c r="I199" s="241"/>
      <c r="J199" s="241"/>
      <c r="K199" s="241"/>
      <c r="L199" s="241"/>
      <c r="M199" s="241"/>
    </row>
    <row r="200" spans="1:13" ht="15.75" customHeight="1" x14ac:dyDescent="0.2">
      <c r="A200" s="192"/>
      <c r="B200" s="192"/>
      <c r="C200" s="192"/>
      <c r="D200" s="263"/>
      <c r="E200" s="263"/>
      <c r="F200" s="241"/>
      <c r="G200" s="241"/>
      <c r="H200" s="241"/>
      <c r="I200" s="241"/>
      <c r="J200" s="241"/>
      <c r="K200" s="241"/>
      <c r="L200" s="241"/>
      <c r="M200" s="241"/>
    </row>
    <row r="201" spans="1:13" ht="15.75" customHeight="1" x14ac:dyDescent="0.2">
      <c r="A201" s="192"/>
      <c r="B201" s="192"/>
      <c r="C201" s="192"/>
      <c r="D201" s="263"/>
      <c r="E201" s="263"/>
      <c r="F201" s="241"/>
      <c r="G201" s="241"/>
      <c r="H201" s="241"/>
      <c r="I201" s="241"/>
      <c r="J201" s="241"/>
      <c r="K201" s="241"/>
      <c r="L201" s="241"/>
      <c r="M201" s="241"/>
    </row>
    <row r="202" spans="1:13" ht="15.75" customHeight="1" x14ac:dyDescent="0.2">
      <c r="A202" s="192"/>
      <c r="B202" s="192"/>
      <c r="C202" s="192"/>
      <c r="D202" s="263"/>
      <c r="E202" s="263"/>
      <c r="F202" s="241"/>
      <c r="G202" s="241"/>
      <c r="H202" s="241"/>
      <c r="I202" s="241"/>
      <c r="J202" s="241"/>
      <c r="K202" s="241"/>
      <c r="L202" s="241"/>
      <c r="M202" s="241"/>
    </row>
    <row r="203" spans="1:13" ht="15.75" customHeight="1" x14ac:dyDescent="0.2">
      <c r="A203" s="192"/>
      <c r="B203" s="192"/>
      <c r="C203" s="192"/>
      <c r="D203" s="263"/>
      <c r="E203" s="263"/>
      <c r="F203" s="241"/>
      <c r="G203" s="241"/>
      <c r="H203" s="241"/>
      <c r="I203" s="241"/>
      <c r="J203" s="241"/>
      <c r="K203" s="241"/>
      <c r="L203" s="241"/>
      <c r="M203" s="241"/>
    </row>
    <row r="204" spans="1:13" ht="15.75" customHeight="1" x14ac:dyDescent="0.2">
      <c r="A204" s="192"/>
      <c r="B204" s="192"/>
      <c r="C204" s="192"/>
      <c r="D204" s="263"/>
      <c r="E204" s="263"/>
      <c r="F204" s="241"/>
      <c r="G204" s="241"/>
      <c r="H204" s="241"/>
      <c r="I204" s="241"/>
      <c r="J204" s="241"/>
      <c r="K204" s="241"/>
      <c r="L204" s="241"/>
      <c r="M204" s="241"/>
    </row>
    <row r="205" spans="1:13" ht="15.75" customHeight="1" x14ac:dyDescent="0.2">
      <c r="A205" s="192"/>
      <c r="B205" s="192"/>
      <c r="C205" s="192"/>
      <c r="D205" s="263"/>
      <c r="E205" s="263"/>
      <c r="F205" s="241"/>
      <c r="G205" s="241"/>
      <c r="H205" s="241"/>
      <c r="I205" s="241"/>
      <c r="J205" s="241"/>
      <c r="K205" s="241"/>
      <c r="L205" s="241"/>
      <c r="M205" s="241"/>
    </row>
    <row r="206" spans="1:13" ht="15.75" customHeight="1" x14ac:dyDescent="0.2">
      <c r="A206" s="192"/>
      <c r="B206" s="192"/>
      <c r="C206" s="192"/>
      <c r="D206" s="263"/>
      <c r="E206" s="263"/>
      <c r="F206" s="241"/>
      <c r="G206" s="241"/>
      <c r="H206" s="241"/>
      <c r="I206" s="241"/>
      <c r="J206" s="241"/>
      <c r="K206" s="241"/>
      <c r="L206" s="241"/>
      <c r="M206" s="241"/>
    </row>
    <row r="207" spans="1:13" ht="15.75" customHeight="1" x14ac:dyDescent="0.2">
      <c r="A207" s="192"/>
      <c r="B207" s="192"/>
      <c r="C207" s="192"/>
      <c r="D207" s="263"/>
      <c r="E207" s="263"/>
      <c r="F207" s="241"/>
      <c r="G207" s="241"/>
      <c r="H207" s="241"/>
      <c r="I207" s="241"/>
      <c r="J207" s="241"/>
      <c r="K207" s="241"/>
      <c r="L207" s="241"/>
      <c r="M207" s="241"/>
    </row>
    <row r="208" spans="1:13" ht="15.75" customHeight="1" x14ac:dyDescent="0.2">
      <c r="A208" s="192"/>
      <c r="B208" s="192"/>
      <c r="C208" s="192"/>
      <c r="D208" s="263"/>
      <c r="E208" s="263"/>
      <c r="F208" s="241"/>
      <c r="G208" s="241"/>
      <c r="H208" s="241"/>
      <c r="I208" s="241"/>
      <c r="J208" s="241"/>
      <c r="K208" s="241"/>
      <c r="L208" s="241"/>
      <c r="M208" s="241"/>
    </row>
    <row r="209" spans="1:13" ht="15.75" customHeight="1" x14ac:dyDescent="0.2">
      <c r="A209" s="192"/>
      <c r="B209" s="192"/>
      <c r="C209" s="192"/>
      <c r="D209" s="263"/>
      <c r="E209" s="263"/>
      <c r="F209" s="241"/>
      <c r="G209" s="241"/>
      <c r="H209" s="241"/>
      <c r="I209" s="241"/>
      <c r="J209" s="241"/>
      <c r="K209" s="241"/>
      <c r="L209" s="241"/>
      <c r="M209" s="241"/>
    </row>
    <row r="210" spans="1:13" ht="15.75" customHeight="1" x14ac:dyDescent="0.2">
      <c r="A210" s="192"/>
      <c r="B210" s="192"/>
      <c r="C210" s="192"/>
      <c r="D210" s="263"/>
      <c r="E210" s="263"/>
      <c r="F210" s="241"/>
      <c r="G210" s="241"/>
      <c r="H210" s="241"/>
      <c r="I210" s="241"/>
      <c r="J210" s="241"/>
      <c r="K210" s="241"/>
      <c r="L210" s="241"/>
      <c r="M210" s="241"/>
    </row>
    <row r="211" spans="1:13" ht="15.75" customHeight="1" x14ac:dyDescent="0.2">
      <c r="A211" s="192"/>
      <c r="B211" s="192"/>
      <c r="C211" s="192"/>
      <c r="D211" s="263"/>
      <c r="E211" s="263"/>
      <c r="F211" s="241"/>
      <c r="G211" s="241"/>
      <c r="H211" s="241"/>
      <c r="I211" s="241"/>
      <c r="J211" s="241"/>
      <c r="K211" s="241"/>
      <c r="L211" s="241"/>
      <c r="M211" s="241"/>
    </row>
    <row r="212" spans="1:13" ht="15.75" customHeight="1" x14ac:dyDescent="0.2">
      <c r="A212" s="192"/>
      <c r="B212" s="192"/>
      <c r="C212" s="192"/>
      <c r="D212" s="263"/>
      <c r="E212" s="263"/>
      <c r="F212" s="241"/>
      <c r="G212" s="241"/>
      <c r="H212" s="241"/>
      <c r="I212" s="241"/>
      <c r="J212" s="241"/>
      <c r="K212" s="241"/>
      <c r="L212" s="241"/>
      <c r="M212" s="241"/>
    </row>
    <row r="213" spans="1:13" ht="15.75" customHeight="1" x14ac:dyDescent="0.2">
      <c r="A213" s="192"/>
      <c r="B213" s="192"/>
      <c r="C213" s="192"/>
      <c r="D213" s="263"/>
      <c r="E213" s="263"/>
      <c r="F213" s="241"/>
      <c r="G213" s="241"/>
      <c r="H213" s="241"/>
      <c r="I213" s="241"/>
      <c r="J213" s="241"/>
      <c r="K213" s="241"/>
      <c r="L213" s="241"/>
      <c r="M213" s="241"/>
    </row>
    <row r="214" spans="1:13" ht="15.75" customHeight="1" x14ac:dyDescent="0.2">
      <c r="A214" s="192"/>
      <c r="B214" s="192"/>
      <c r="C214" s="192"/>
      <c r="D214" s="263"/>
      <c r="E214" s="263"/>
      <c r="F214" s="241"/>
      <c r="G214" s="241"/>
      <c r="H214" s="241"/>
      <c r="I214" s="241"/>
      <c r="J214" s="241"/>
      <c r="K214" s="241"/>
      <c r="L214" s="241"/>
      <c r="M214" s="241"/>
    </row>
    <row r="215" spans="1:13" ht="15.75" customHeight="1" x14ac:dyDescent="0.2">
      <c r="A215" s="192"/>
      <c r="B215" s="192"/>
      <c r="C215" s="192"/>
      <c r="D215" s="263"/>
      <c r="E215" s="263"/>
      <c r="F215" s="241"/>
      <c r="G215" s="241"/>
      <c r="H215" s="241"/>
      <c r="I215" s="241"/>
      <c r="J215" s="241"/>
      <c r="K215" s="241"/>
      <c r="L215" s="241"/>
      <c r="M215" s="241"/>
    </row>
    <row r="216" spans="1:13" ht="15.75" customHeight="1" x14ac:dyDescent="0.2">
      <c r="A216" s="192"/>
      <c r="B216" s="192"/>
      <c r="C216" s="192"/>
      <c r="D216" s="263"/>
      <c r="E216" s="263"/>
      <c r="F216" s="241"/>
      <c r="G216" s="241"/>
      <c r="H216" s="241"/>
      <c r="I216" s="241"/>
      <c r="J216" s="241"/>
      <c r="K216" s="241"/>
      <c r="L216" s="241"/>
      <c r="M216" s="241"/>
    </row>
    <row r="217" spans="1:13" ht="15.75" customHeight="1" x14ac:dyDescent="0.2">
      <c r="A217" s="192"/>
      <c r="B217" s="192"/>
      <c r="C217" s="192"/>
      <c r="D217" s="263"/>
      <c r="E217" s="263"/>
      <c r="F217" s="241"/>
      <c r="G217" s="241"/>
      <c r="H217" s="241"/>
      <c r="I217" s="241"/>
      <c r="J217" s="241"/>
      <c r="K217" s="241"/>
      <c r="L217" s="241"/>
      <c r="M217" s="241"/>
    </row>
    <row r="218" spans="1:13" ht="15.75" customHeight="1" x14ac:dyDescent="0.2">
      <c r="A218" s="192"/>
      <c r="B218" s="192"/>
      <c r="C218" s="192"/>
      <c r="D218" s="263"/>
      <c r="E218" s="263"/>
      <c r="F218" s="241"/>
      <c r="G218" s="241"/>
      <c r="H218" s="241"/>
      <c r="I218" s="241"/>
      <c r="J218" s="241"/>
      <c r="K218" s="241"/>
      <c r="L218" s="241"/>
      <c r="M218" s="241"/>
    </row>
    <row r="219" spans="1:13" ht="15.75" customHeight="1" x14ac:dyDescent="0.2">
      <c r="A219" s="192"/>
      <c r="B219" s="192"/>
      <c r="C219" s="192"/>
      <c r="D219" s="263"/>
      <c r="E219" s="263"/>
      <c r="F219" s="241"/>
      <c r="G219" s="241"/>
      <c r="H219" s="241"/>
      <c r="I219" s="241"/>
      <c r="J219" s="241"/>
      <c r="K219" s="241"/>
      <c r="L219" s="241"/>
      <c r="M219" s="241"/>
    </row>
    <row r="220" spans="1:13" ht="15.75" customHeight="1" x14ac:dyDescent="0.2">
      <c r="A220" s="192"/>
      <c r="B220" s="192"/>
      <c r="C220" s="192"/>
      <c r="D220" s="263"/>
      <c r="E220" s="263"/>
      <c r="F220" s="241"/>
      <c r="G220" s="241"/>
      <c r="H220" s="241"/>
      <c r="I220" s="241"/>
      <c r="J220" s="241"/>
      <c r="K220" s="241"/>
      <c r="L220" s="241"/>
      <c r="M220" s="241"/>
    </row>
    <row r="221" spans="1:13" ht="15.75" customHeight="1" x14ac:dyDescent="0.2">
      <c r="A221" s="192"/>
      <c r="B221" s="192"/>
      <c r="C221" s="192"/>
      <c r="D221" s="263"/>
      <c r="E221" s="263"/>
      <c r="F221" s="241"/>
      <c r="G221" s="241"/>
      <c r="H221" s="241"/>
      <c r="I221" s="241"/>
      <c r="J221" s="241"/>
      <c r="K221" s="241"/>
      <c r="L221" s="241"/>
      <c r="M221" s="241"/>
    </row>
    <row r="222" spans="1:13" ht="15.75" customHeight="1" x14ac:dyDescent="0.2">
      <c r="A222" s="192"/>
      <c r="B222" s="192"/>
      <c r="C222" s="192"/>
      <c r="D222" s="263"/>
      <c r="E222" s="263"/>
      <c r="F222" s="241"/>
      <c r="G222" s="241"/>
      <c r="H222" s="241"/>
      <c r="I222" s="241"/>
      <c r="J222" s="241"/>
      <c r="K222" s="241"/>
      <c r="L222" s="241"/>
      <c r="M222" s="241"/>
    </row>
    <row r="223" spans="1:13" ht="15.75" customHeight="1" x14ac:dyDescent="0.2">
      <c r="A223" s="192"/>
      <c r="B223" s="192"/>
      <c r="C223" s="192"/>
      <c r="D223" s="263"/>
      <c r="E223" s="263"/>
      <c r="F223" s="241"/>
      <c r="G223" s="241"/>
      <c r="H223" s="241"/>
      <c r="I223" s="241"/>
      <c r="J223" s="241"/>
      <c r="K223" s="241"/>
      <c r="L223" s="241"/>
      <c r="M223" s="241"/>
    </row>
    <row r="224" spans="1:13" ht="15.75" customHeight="1" x14ac:dyDescent="0.2">
      <c r="A224" s="192"/>
      <c r="B224" s="192"/>
      <c r="C224" s="192"/>
      <c r="D224" s="263"/>
      <c r="E224" s="263"/>
      <c r="F224" s="241"/>
      <c r="G224" s="241"/>
      <c r="H224" s="241"/>
      <c r="I224" s="241"/>
      <c r="J224" s="241"/>
      <c r="K224" s="241"/>
      <c r="L224" s="241"/>
      <c r="M224" s="241"/>
    </row>
    <row r="225" spans="1:13" ht="15.75" customHeight="1" x14ac:dyDescent="0.2">
      <c r="A225" s="192"/>
      <c r="B225" s="192"/>
      <c r="C225" s="192"/>
      <c r="D225" s="263"/>
      <c r="E225" s="263"/>
      <c r="F225" s="241"/>
      <c r="G225" s="241"/>
      <c r="H225" s="241"/>
      <c r="I225" s="241"/>
      <c r="J225" s="241"/>
      <c r="K225" s="241"/>
      <c r="L225" s="241"/>
      <c r="M225" s="241"/>
    </row>
    <row r="226" spans="1:13" ht="15.75" customHeight="1" x14ac:dyDescent="0.2">
      <c r="A226" s="192"/>
      <c r="B226" s="192"/>
      <c r="C226" s="192"/>
      <c r="D226" s="263"/>
      <c r="E226" s="263"/>
      <c r="F226" s="241"/>
      <c r="G226" s="241"/>
      <c r="H226" s="241"/>
      <c r="I226" s="241"/>
      <c r="J226" s="241"/>
      <c r="K226" s="241"/>
      <c r="L226" s="241"/>
      <c r="M226" s="241"/>
    </row>
    <row r="227" spans="1:13" ht="15.75" customHeight="1" x14ac:dyDescent="0.2">
      <c r="A227" s="192"/>
      <c r="B227" s="192"/>
      <c r="C227" s="192"/>
      <c r="D227" s="263"/>
      <c r="E227" s="263"/>
      <c r="F227" s="241"/>
      <c r="G227" s="241"/>
      <c r="H227" s="241"/>
      <c r="I227" s="241"/>
      <c r="J227" s="241"/>
      <c r="K227" s="241"/>
      <c r="L227" s="241"/>
      <c r="M227" s="241"/>
    </row>
    <row r="228" spans="1:13" ht="15.75" customHeight="1" x14ac:dyDescent="0.2">
      <c r="A228" s="192"/>
      <c r="B228" s="192"/>
      <c r="C228" s="192"/>
      <c r="D228" s="263"/>
      <c r="E228" s="263"/>
      <c r="F228" s="241"/>
      <c r="G228" s="241"/>
      <c r="H228" s="241"/>
      <c r="I228" s="241"/>
      <c r="J228" s="241"/>
      <c r="K228" s="241"/>
      <c r="L228" s="241"/>
      <c r="M228" s="241"/>
    </row>
    <row r="229" spans="1:13" ht="15.75" customHeight="1" x14ac:dyDescent="0.2">
      <c r="A229" s="192"/>
      <c r="B229" s="192"/>
      <c r="C229" s="192"/>
      <c r="D229" s="263"/>
      <c r="E229" s="263"/>
      <c r="F229" s="241"/>
      <c r="G229" s="241"/>
      <c r="H229" s="241"/>
      <c r="I229" s="241"/>
      <c r="J229" s="241"/>
      <c r="K229" s="241"/>
      <c r="L229" s="241"/>
      <c r="M229" s="241"/>
    </row>
    <row r="230" spans="1:13" ht="15.75" customHeight="1" x14ac:dyDescent="0.2">
      <c r="A230" s="192"/>
      <c r="B230" s="192"/>
      <c r="C230" s="192"/>
      <c r="D230" s="263"/>
      <c r="E230" s="263"/>
      <c r="F230" s="241"/>
      <c r="G230" s="241"/>
      <c r="H230" s="241"/>
      <c r="I230" s="241"/>
      <c r="J230" s="241"/>
      <c r="K230" s="241"/>
      <c r="L230" s="241"/>
      <c r="M230" s="241"/>
    </row>
    <row r="231" spans="1:13" ht="15.75" customHeight="1" x14ac:dyDescent="0.2">
      <c r="A231" s="192"/>
      <c r="B231" s="192"/>
      <c r="C231" s="192"/>
      <c r="D231" s="263"/>
      <c r="E231" s="263"/>
      <c r="F231" s="241"/>
      <c r="G231" s="241"/>
      <c r="H231" s="241"/>
      <c r="I231" s="241"/>
      <c r="J231" s="241"/>
      <c r="K231" s="241"/>
      <c r="L231" s="241"/>
      <c r="M231" s="241"/>
    </row>
    <row r="232" spans="1:13" ht="15.75" customHeight="1" x14ac:dyDescent="0.2">
      <c r="A232" s="192"/>
      <c r="B232" s="192"/>
      <c r="C232" s="192"/>
      <c r="D232" s="263"/>
      <c r="E232" s="263"/>
      <c r="F232" s="241"/>
      <c r="G232" s="241"/>
      <c r="H232" s="241"/>
      <c r="I232" s="241"/>
      <c r="J232" s="241"/>
      <c r="K232" s="241"/>
      <c r="L232" s="241"/>
      <c r="M232" s="241"/>
    </row>
    <row r="233" spans="1:13" ht="15.75" customHeight="1" x14ac:dyDescent="0.2">
      <c r="A233" s="192"/>
      <c r="B233" s="192"/>
      <c r="C233" s="192"/>
      <c r="D233" s="263"/>
      <c r="E233" s="263"/>
      <c r="F233" s="241"/>
      <c r="G233" s="241"/>
      <c r="H233" s="241"/>
      <c r="I233" s="241"/>
      <c r="J233" s="241"/>
      <c r="K233" s="241"/>
      <c r="L233" s="241"/>
      <c r="M233" s="241"/>
    </row>
    <row r="234" spans="1:13" ht="15.75" customHeight="1" x14ac:dyDescent="0.2">
      <c r="A234" s="192"/>
      <c r="B234" s="192"/>
      <c r="C234" s="192"/>
      <c r="D234" s="263"/>
      <c r="E234" s="263"/>
      <c r="F234" s="241"/>
      <c r="G234" s="241"/>
      <c r="H234" s="241"/>
      <c r="I234" s="241"/>
      <c r="J234" s="241"/>
      <c r="K234" s="241"/>
      <c r="L234" s="241"/>
      <c r="M234" s="241"/>
    </row>
    <row r="235" spans="1:13" ht="15.75" customHeight="1" x14ac:dyDescent="0.2">
      <c r="A235" s="192"/>
      <c r="B235" s="192"/>
      <c r="C235" s="192"/>
      <c r="D235" s="263"/>
      <c r="E235" s="263"/>
      <c r="F235" s="241"/>
      <c r="G235" s="241"/>
      <c r="H235" s="241"/>
      <c r="I235" s="241"/>
      <c r="J235" s="241"/>
      <c r="K235" s="241"/>
      <c r="L235" s="241"/>
      <c r="M235" s="241"/>
    </row>
    <row r="236" spans="1:13" ht="15.75" customHeight="1" x14ac:dyDescent="0.2">
      <c r="A236" s="192"/>
      <c r="B236" s="192"/>
      <c r="C236" s="192"/>
      <c r="D236" s="263"/>
      <c r="E236" s="263"/>
      <c r="F236" s="241"/>
      <c r="G236" s="241"/>
      <c r="H236" s="241"/>
      <c r="I236" s="241"/>
      <c r="J236" s="241"/>
      <c r="K236" s="241"/>
      <c r="L236" s="241"/>
      <c r="M236" s="241"/>
    </row>
    <row r="237" spans="1:13" ht="15.75" customHeight="1" x14ac:dyDescent="0.2">
      <c r="A237" s="192"/>
      <c r="B237" s="192"/>
      <c r="C237" s="192"/>
      <c r="D237" s="263"/>
      <c r="E237" s="263"/>
      <c r="F237" s="241"/>
      <c r="G237" s="241"/>
      <c r="H237" s="241"/>
      <c r="I237" s="241"/>
      <c r="J237" s="241"/>
      <c r="K237" s="241"/>
      <c r="L237" s="241"/>
      <c r="M237" s="241"/>
    </row>
    <row r="238" spans="1:13" ht="15.75" customHeight="1" x14ac:dyDescent="0.2">
      <c r="A238" s="192"/>
      <c r="B238" s="192"/>
      <c r="C238" s="192"/>
      <c r="D238" s="263"/>
      <c r="E238" s="263"/>
      <c r="F238" s="241"/>
      <c r="G238" s="241"/>
      <c r="H238" s="241"/>
      <c r="I238" s="241"/>
      <c r="J238" s="241"/>
      <c r="K238" s="241"/>
      <c r="L238" s="241"/>
      <c r="M238" s="241"/>
    </row>
    <row r="239" spans="1:13" ht="15.75" customHeight="1" x14ac:dyDescent="0.2">
      <c r="A239" s="192"/>
      <c r="B239" s="192"/>
      <c r="C239" s="192"/>
      <c r="D239" s="263"/>
      <c r="E239" s="263"/>
      <c r="F239" s="241"/>
      <c r="G239" s="241"/>
      <c r="H239" s="241"/>
      <c r="I239" s="241"/>
      <c r="J239" s="241"/>
      <c r="K239" s="241"/>
      <c r="L239" s="241"/>
      <c r="M239" s="241"/>
    </row>
    <row r="240" spans="1:13" ht="15.75" customHeight="1" x14ac:dyDescent="0.2">
      <c r="A240" s="192"/>
      <c r="B240" s="192"/>
      <c r="C240" s="192"/>
      <c r="D240" s="263"/>
      <c r="E240" s="263"/>
      <c r="F240" s="241"/>
      <c r="G240" s="241"/>
      <c r="H240" s="241"/>
      <c r="I240" s="241"/>
      <c r="J240" s="241"/>
      <c r="K240" s="241"/>
      <c r="L240" s="241"/>
      <c r="M240" s="241"/>
    </row>
    <row r="241" spans="1:13" ht="15.75" customHeight="1" x14ac:dyDescent="0.2">
      <c r="A241" s="192"/>
      <c r="B241" s="192"/>
      <c r="C241" s="192"/>
      <c r="D241" s="263"/>
      <c r="E241" s="263"/>
      <c r="F241" s="241"/>
      <c r="G241" s="241"/>
      <c r="H241" s="241"/>
      <c r="I241" s="241"/>
      <c r="J241" s="241"/>
      <c r="K241" s="241"/>
      <c r="L241" s="241"/>
      <c r="M241" s="241"/>
    </row>
    <row r="242" spans="1:13" ht="15.75" customHeight="1" x14ac:dyDescent="0.2">
      <c r="A242" s="192"/>
      <c r="B242" s="192"/>
      <c r="C242" s="192"/>
      <c r="D242" s="263"/>
      <c r="E242" s="263"/>
      <c r="F242" s="241"/>
      <c r="G242" s="241"/>
      <c r="H242" s="241"/>
      <c r="I242" s="241"/>
      <c r="J242" s="241"/>
      <c r="K242" s="241"/>
      <c r="L242" s="241"/>
      <c r="M242" s="241"/>
    </row>
    <row r="243" spans="1:13" ht="15.75" customHeight="1" x14ac:dyDescent="0.2">
      <c r="A243" s="192"/>
      <c r="B243" s="192"/>
      <c r="C243" s="192"/>
      <c r="D243" s="263"/>
      <c r="E243" s="263"/>
      <c r="F243" s="241"/>
      <c r="G243" s="241"/>
      <c r="H243" s="241"/>
      <c r="I243" s="241"/>
      <c r="J243" s="241"/>
      <c r="K243" s="241"/>
      <c r="L243" s="241"/>
      <c r="M243" s="241"/>
    </row>
    <row r="244" spans="1:13" ht="15.75" customHeight="1" x14ac:dyDescent="0.2">
      <c r="A244" s="192"/>
      <c r="B244" s="192"/>
      <c r="C244" s="192"/>
      <c r="D244" s="263"/>
      <c r="E244" s="263"/>
      <c r="F244" s="241"/>
      <c r="G244" s="241"/>
      <c r="H244" s="241"/>
      <c r="I244" s="241"/>
      <c r="J244" s="241"/>
      <c r="K244" s="241"/>
      <c r="L244" s="241"/>
      <c r="M244" s="241"/>
    </row>
    <row r="245" spans="1:13" ht="15.75" customHeight="1" x14ac:dyDescent="0.2">
      <c r="A245" s="192"/>
      <c r="B245" s="192"/>
      <c r="C245" s="192"/>
      <c r="D245" s="263"/>
      <c r="E245" s="263"/>
      <c r="F245" s="241"/>
      <c r="G245" s="241"/>
      <c r="H245" s="241"/>
      <c r="I245" s="241"/>
      <c r="J245" s="241"/>
      <c r="K245" s="241"/>
      <c r="L245" s="241"/>
      <c r="M245" s="241"/>
    </row>
    <row r="246" spans="1:13" ht="15.75" customHeight="1" x14ac:dyDescent="0.2">
      <c r="A246" s="192"/>
      <c r="B246" s="192"/>
      <c r="C246" s="192"/>
      <c r="D246" s="263"/>
      <c r="E246" s="263"/>
      <c r="F246" s="241"/>
      <c r="G246" s="241"/>
      <c r="H246" s="241"/>
      <c r="I246" s="241"/>
      <c r="J246" s="241"/>
      <c r="K246" s="241"/>
      <c r="L246" s="241"/>
      <c r="M246" s="241"/>
    </row>
    <row r="247" spans="1:13" ht="15.75" customHeight="1" x14ac:dyDescent="0.2">
      <c r="A247" s="192"/>
      <c r="B247" s="192"/>
      <c r="C247" s="192"/>
      <c r="D247" s="263"/>
      <c r="E247" s="263"/>
      <c r="F247" s="241"/>
      <c r="G247" s="241"/>
      <c r="H247" s="241"/>
      <c r="I247" s="241"/>
      <c r="J247" s="241"/>
      <c r="K247" s="241"/>
      <c r="L247" s="241"/>
      <c r="M247" s="241"/>
    </row>
    <row r="248" spans="1:13" ht="15.75" customHeight="1" x14ac:dyDescent="0.2">
      <c r="A248" s="192"/>
      <c r="B248" s="192"/>
      <c r="C248" s="192"/>
      <c r="D248" s="263"/>
      <c r="E248" s="263"/>
      <c r="F248" s="241"/>
      <c r="G248" s="241"/>
      <c r="H248" s="241"/>
      <c r="I248" s="241"/>
      <c r="J248" s="241"/>
      <c r="K248" s="241"/>
      <c r="L248" s="241"/>
      <c r="M248" s="241"/>
    </row>
    <row r="249" spans="1:13" ht="15.75" customHeight="1" x14ac:dyDescent="0.2">
      <c r="A249" s="192"/>
      <c r="B249" s="192"/>
      <c r="C249" s="192"/>
      <c r="D249" s="263"/>
      <c r="E249" s="263"/>
      <c r="F249" s="241"/>
      <c r="G249" s="241"/>
      <c r="H249" s="241"/>
      <c r="I249" s="241"/>
      <c r="J249" s="241"/>
      <c r="K249" s="241"/>
      <c r="L249" s="241"/>
      <c r="M249" s="241"/>
    </row>
    <row r="250" spans="1:13" ht="15.75" customHeight="1" x14ac:dyDescent="0.2">
      <c r="A250" s="192"/>
      <c r="B250" s="192"/>
      <c r="C250" s="192"/>
      <c r="D250" s="263"/>
      <c r="E250" s="263"/>
      <c r="F250" s="241"/>
      <c r="G250" s="241"/>
      <c r="H250" s="241"/>
      <c r="I250" s="241"/>
      <c r="J250" s="241"/>
      <c r="K250" s="241"/>
      <c r="L250" s="241"/>
      <c r="M250" s="241"/>
    </row>
    <row r="251" spans="1:13" ht="15.75" customHeight="1" x14ac:dyDescent="0.2">
      <c r="A251" s="192"/>
      <c r="B251" s="192"/>
      <c r="C251" s="192"/>
      <c r="D251" s="263"/>
      <c r="E251" s="263"/>
      <c r="F251" s="241"/>
      <c r="G251" s="241"/>
      <c r="H251" s="241"/>
      <c r="I251" s="241"/>
      <c r="J251" s="241"/>
      <c r="K251" s="241"/>
      <c r="L251" s="241"/>
      <c r="M251" s="241"/>
    </row>
    <row r="252" spans="1:13" ht="15.75" customHeight="1" x14ac:dyDescent="0.2">
      <c r="A252" s="192"/>
      <c r="B252" s="192"/>
      <c r="C252" s="192"/>
      <c r="D252" s="263"/>
      <c r="E252" s="263"/>
      <c r="F252" s="241"/>
      <c r="G252" s="241"/>
      <c r="H252" s="241"/>
      <c r="I252" s="241"/>
      <c r="J252" s="241"/>
      <c r="K252" s="241"/>
      <c r="L252" s="241"/>
      <c r="M252" s="241"/>
    </row>
    <row r="253" spans="1:13" ht="15.75" customHeight="1" x14ac:dyDescent="0.2">
      <c r="A253" s="192"/>
      <c r="B253" s="192"/>
      <c r="C253" s="192"/>
      <c r="D253" s="263"/>
      <c r="E253" s="263"/>
      <c r="F253" s="241"/>
      <c r="G253" s="241"/>
      <c r="H253" s="241"/>
      <c r="I253" s="241"/>
      <c r="J253" s="241"/>
      <c r="K253" s="241"/>
      <c r="L253" s="241"/>
      <c r="M253" s="241"/>
    </row>
  </sheetData>
  <mergeCells count="12">
    <mergeCell ref="G45:J45"/>
    <mergeCell ref="A47:E47"/>
    <mergeCell ref="A53:C53"/>
    <mergeCell ref="G32:H32"/>
    <mergeCell ref="A31:E31"/>
    <mergeCell ref="G37:I37"/>
    <mergeCell ref="A21:E21"/>
    <mergeCell ref="A2:E2"/>
    <mergeCell ref="A3:E3"/>
    <mergeCell ref="A4:E4"/>
    <mergeCell ref="A7:E7"/>
    <mergeCell ref="A14:E1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39966"/>
  </sheetPr>
  <dimension ref="A18:O100"/>
  <sheetViews>
    <sheetView workbookViewId="0"/>
  </sheetViews>
  <sheetFormatPr defaultColWidth="14.390625" defaultRowHeight="15" customHeight="1" x14ac:dyDescent="0.2"/>
  <cols>
    <col min="1" max="1" width="13.44921875" customWidth="1"/>
    <col min="2" max="2" width="32.95703125" customWidth="1"/>
    <col min="3" max="5" width="8.7421875" customWidth="1"/>
    <col min="6" max="6" width="13.31640625" customWidth="1"/>
    <col min="7" max="7" width="33.765625" customWidth="1"/>
    <col min="8" max="8" width="9.14453125" customWidth="1"/>
    <col min="9" max="10" width="8.7421875" customWidth="1"/>
    <col min="11" max="11" width="9.14453125" customWidth="1"/>
    <col min="12" max="12" width="31.87890625" customWidth="1"/>
    <col min="13" max="15" width="8.7421875" customWidth="1"/>
  </cols>
  <sheetData>
    <row r="18" spans="1:2" ht="17.25" x14ac:dyDescent="0.2">
      <c r="A18" s="340" t="s">
        <v>232</v>
      </c>
      <c r="B18" s="340" t="s">
        <v>233</v>
      </c>
    </row>
    <row r="19" spans="1:2" ht="18" x14ac:dyDescent="0.2">
      <c r="A19" s="341" t="s">
        <v>234</v>
      </c>
      <c r="B19" s="342">
        <v>12000000</v>
      </c>
    </row>
    <row r="20" spans="1:2" ht="18" x14ac:dyDescent="0.2">
      <c r="A20" s="341" t="s">
        <v>235</v>
      </c>
      <c r="B20" s="342">
        <v>12000000</v>
      </c>
    </row>
    <row r="21" spans="1:2" ht="15.75" customHeight="1" x14ac:dyDescent="0.2">
      <c r="A21" s="341" t="s">
        <v>236</v>
      </c>
      <c r="B21" s="342">
        <v>12000000</v>
      </c>
    </row>
    <row r="22" spans="1:2" ht="15.75" customHeight="1" x14ac:dyDescent="0.2">
      <c r="A22" s="341" t="s">
        <v>237</v>
      </c>
      <c r="B22" s="342">
        <v>12000000</v>
      </c>
    </row>
    <row r="23" spans="1:2" ht="15.75" customHeight="1" x14ac:dyDescent="0.2">
      <c r="A23" s="341" t="s">
        <v>238</v>
      </c>
      <c r="B23" s="342">
        <v>12000000</v>
      </c>
    </row>
    <row r="24" spans="1:2" ht="15.75" customHeight="1" x14ac:dyDescent="0.2">
      <c r="A24" s="341" t="s">
        <v>239</v>
      </c>
      <c r="B24" s="342">
        <v>12000000</v>
      </c>
    </row>
    <row r="25" spans="1:2" ht="15.75" customHeight="1" x14ac:dyDescent="0.2">
      <c r="A25" s="341" t="s">
        <v>240</v>
      </c>
      <c r="B25" s="342">
        <v>12000000</v>
      </c>
    </row>
    <row r="26" spans="1:2" ht="15.75" customHeight="1" x14ac:dyDescent="0.2">
      <c r="A26" s="341" t="s">
        <v>241</v>
      </c>
      <c r="B26" s="342">
        <v>12000000</v>
      </c>
    </row>
    <row r="27" spans="1:2" ht="15.75" customHeight="1" x14ac:dyDescent="0.2">
      <c r="A27" s="341" t="s">
        <v>242</v>
      </c>
      <c r="B27" s="342">
        <v>12000000</v>
      </c>
    </row>
    <row r="28" spans="1:2" ht="15.75" customHeight="1" x14ac:dyDescent="0.2">
      <c r="A28" s="341" t="s">
        <v>243</v>
      </c>
      <c r="B28" s="342">
        <v>12000000</v>
      </c>
    </row>
    <row r="29" spans="1:2" ht="15.75" customHeight="1" x14ac:dyDescent="0.2">
      <c r="A29" s="341" t="s">
        <v>244</v>
      </c>
      <c r="B29" s="342">
        <v>12000000</v>
      </c>
    </row>
    <row r="30" spans="1:2" ht="15.75" customHeight="1" x14ac:dyDescent="0.2">
      <c r="A30" s="341" t="s">
        <v>245</v>
      </c>
      <c r="B30" s="342">
        <v>12000000</v>
      </c>
    </row>
    <row r="31" spans="1:2" ht="15.75" customHeight="1" x14ac:dyDescent="0.2">
      <c r="A31" s="343" t="s">
        <v>155</v>
      </c>
      <c r="B31" s="344">
        <v>144000000</v>
      </c>
    </row>
    <row r="32" spans="1:2" ht="15.75" customHeight="1" x14ac:dyDescent="0.2"/>
    <row r="33" spans="1:13" ht="15.75" customHeight="1" x14ac:dyDescent="0.2"/>
    <row r="34" spans="1:13" ht="15.75" customHeight="1" x14ac:dyDescent="0.2"/>
    <row r="35" spans="1:13" ht="15.75" customHeight="1" x14ac:dyDescent="0.2"/>
    <row r="36" spans="1:13" ht="15.75" customHeight="1" x14ac:dyDescent="0.2"/>
    <row r="37" spans="1:13" ht="15.75" customHeight="1" x14ac:dyDescent="0.2"/>
    <row r="38" spans="1:13" ht="15.75" customHeight="1" x14ac:dyDescent="0.25">
      <c r="A38" s="345" t="s">
        <v>246</v>
      </c>
      <c r="B38" s="345" t="s">
        <v>247</v>
      </c>
      <c r="C38" s="345" t="s">
        <v>248</v>
      </c>
      <c r="F38" s="346" t="s">
        <v>246</v>
      </c>
      <c r="G38" s="346" t="s">
        <v>247</v>
      </c>
      <c r="H38" s="346" t="s">
        <v>249</v>
      </c>
      <c r="K38" s="33" t="s">
        <v>246</v>
      </c>
      <c r="L38" s="33" t="s">
        <v>247</v>
      </c>
      <c r="M38" s="33" t="s">
        <v>250</v>
      </c>
    </row>
    <row r="39" spans="1:13" ht="15.75" customHeight="1" x14ac:dyDescent="0.2">
      <c r="A39" s="347">
        <v>1</v>
      </c>
      <c r="B39" s="348" t="s">
        <v>251</v>
      </c>
      <c r="C39" s="347" t="s">
        <v>252</v>
      </c>
      <c r="F39" s="349">
        <v>1</v>
      </c>
      <c r="G39" s="20" t="s">
        <v>253</v>
      </c>
      <c r="H39" s="349" t="s">
        <v>252</v>
      </c>
      <c r="K39" s="347">
        <v>1</v>
      </c>
      <c r="L39" s="348" t="s">
        <v>254</v>
      </c>
      <c r="M39" s="347" t="s">
        <v>252</v>
      </c>
    </row>
    <row r="40" spans="1:13" ht="15.75" customHeight="1" x14ac:dyDescent="0.2">
      <c r="A40" s="347">
        <v>2</v>
      </c>
      <c r="B40" s="348" t="s">
        <v>255</v>
      </c>
      <c r="C40" s="347" t="s">
        <v>256</v>
      </c>
      <c r="F40" s="349">
        <v>2</v>
      </c>
      <c r="G40" s="20" t="s">
        <v>257</v>
      </c>
      <c r="H40" s="349" t="s">
        <v>256</v>
      </c>
      <c r="K40" s="347">
        <v>2</v>
      </c>
      <c r="L40" s="348" t="s">
        <v>258</v>
      </c>
      <c r="M40" s="347" t="s">
        <v>256</v>
      </c>
    </row>
    <row r="41" spans="1:13" ht="15.75" customHeight="1" x14ac:dyDescent="0.2">
      <c r="A41" s="347">
        <v>3</v>
      </c>
      <c r="B41" s="348" t="s">
        <v>259</v>
      </c>
      <c r="C41" s="347" t="s">
        <v>260</v>
      </c>
      <c r="F41" s="349">
        <v>3</v>
      </c>
      <c r="G41" s="20" t="s">
        <v>261</v>
      </c>
      <c r="H41" s="349" t="s">
        <v>260</v>
      </c>
      <c r="K41" s="347">
        <v>3</v>
      </c>
      <c r="L41" s="348" t="s">
        <v>262</v>
      </c>
      <c r="M41" s="347" t="s">
        <v>260</v>
      </c>
    </row>
    <row r="42" spans="1:13" ht="15.75" customHeight="1" x14ac:dyDescent="0.2">
      <c r="A42" s="347">
        <v>4</v>
      </c>
      <c r="B42" s="348" t="s">
        <v>263</v>
      </c>
      <c r="C42" s="347" t="s">
        <v>264</v>
      </c>
      <c r="F42" s="349">
        <v>4</v>
      </c>
      <c r="G42" s="20" t="s">
        <v>265</v>
      </c>
      <c r="H42" s="349" t="s">
        <v>264</v>
      </c>
      <c r="K42" s="347">
        <v>4</v>
      </c>
      <c r="L42" s="348" t="s">
        <v>266</v>
      </c>
      <c r="M42" s="347" t="s">
        <v>264</v>
      </c>
    </row>
    <row r="43" spans="1:13" ht="15.75" customHeight="1" x14ac:dyDescent="0.2">
      <c r="A43" s="347">
        <v>5</v>
      </c>
      <c r="B43" s="348" t="s">
        <v>267</v>
      </c>
      <c r="C43" s="347" t="s">
        <v>268</v>
      </c>
      <c r="F43" s="349">
        <v>5</v>
      </c>
      <c r="G43" s="20" t="s">
        <v>269</v>
      </c>
      <c r="H43" s="349" t="s">
        <v>268</v>
      </c>
      <c r="K43" s="347">
        <v>5</v>
      </c>
      <c r="L43" s="348" t="s">
        <v>270</v>
      </c>
      <c r="M43" s="347" t="s">
        <v>268</v>
      </c>
    </row>
    <row r="44" spans="1:13" ht="15.75" customHeight="1" x14ac:dyDescent="0.2">
      <c r="A44" s="347">
        <v>6</v>
      </c>
      <c r="B44" s="348" t="s">
        <v>271</v>
      </c>
      <c r="C44" s="347" t="s">
        <v>272</v>
      </c>
      <c r="F44" s="349">
        <v>6</v>
      </c>
      <c r="G44" s="20" t="s">
        <v>273</v>
      </c>
      <c r="H44" s="349" t="s">
        <v>274</v>
      </c>
      <c r="K44" s="347">
        <v>6</v>
      </c>
      <c r="L44" s="348" t="s">
        <v>275</v>
      </c>
      <c r="M44" s="347" t="s">
        <v>272</v>
      </c>
    </row>
    <row r="45" spans="1:13" ht="15.75" customHeight="1" x14ac:dyDescent="0.2">
      <c r="A45" s="347">
        <v>7</v>
      </c>
      <c r="B45" s="348" t="s">
        <v>276</v>
      </c>
      <c r="C45" s="347" t="s">
        <v>274</v>
      </c>
      <c r="F45" s="349">
        <v>7</v>
      </c>
      <c r="G45" s="20" t="s">
        <v>277</v>
      </c>
      <c r="H45" s="349" t="s">
        <v>278</v>
      </c>
      <c r="K45" s="347">
        <v>7</v>
      </c>
      <c r="L45" s="348" t="s">
        <v>279</v>
      </c>
      <c r="M45" s="347" t="s">
        <v>274</v>
      </c>
    </row>
    <row r="46" spans="1:13" ht="15.75" customHeight="1" x14ac:dyDescent="0.2">
      <c r="A46" s="347">
        <v>8</v>
      </c>
      <c r="B46" s="348" t="s">
        <v>280</v>
      </c>
      <c r="C46" s="347" t="s">
        <v>281</v>
      </c>
      <c r="F46" s="349">
        <v>8</v>
      </c>
      <c r="G46" s="20" t="s">
        <v>282</v>
      </c>
      <c r="H46" s="349" t="s">
        <v>283</v>
      </c>
      <c r="K46" s="347">
        <v>8</v>
      </c>
      <c r="L46" s="348" t="s">
        <v>284</v>
      </c>
      <c r="M46" s="347" t="s">
        <v>278</v>
      </c>
    </row>
    <row r="47" spans="1:13" ht="15.75" customHeight="1" x14ac:dyDescent="0.2">
      <c r="A47" s="347">
        <v>9</v>
      </c>
      <c r="B47" s="348" t="s">
        <v>285</v>
      </c>
      <c r="C47" s="347" t="s">
        <v>278</v>
      </c>
      <c r="F47" s="349">
        <v>9</v>
      </c>
      <c r="G47" s="20" t="s">
        <v>286</v>
      </c>
      <c r="H47" s="349" t="s">
        <v>287</v>
      </c>
      <c r="K47" s="347">
        <v>9</v>
      </c>
      <c r="L47" s="348" t="s">
        <v>288</v>
      </c>
      <c r="M47" s="347" t="s">
        <v>283</v>
      </c>
    </row>
    <row r="48" spans="1:13" ht="15.75" customHeight="1" x14ac:dyDescent="0.2">
      <c r="A48" s="347">
        <v>10</v>
      </c>
      <c r="B48" s="348" t="s">
        <v>289</v>
      </c>
      <c r="C48" s="347" t="s">
        <v>290</v>
      </c>
      <c r="F48" s="349">
        <v>10</v>
      </c>
      <c r="G48" s="20" t="s">
        <v>291</v>
      </c>
      <c r="H48" s="349" t="s">
        <v>292</v>
      </c>
      <c r="K48" s="347">
        <v>10</v>
      </c>
      <c r="L48" s="348" t="s">
        <v>293</v>
      </c>
      <c r="M48" s="347" t="s">
        <v>287</v>
      </c>
    </row>
    <row r="49" spans="1:13" ht="15.75" customHeight="1" x14ac:dyDescent="0.2">
      <c r="A49" s="347">
        <v>11</v>
      </c>
      <c r="B49" s="348" t="s">
        <v>294</v>
      </c>
      <c r="C49" s="347" t="s">
        <v>283</v>
      </c>
      <c r="F49" s="349">
        <v>11</v>
      </c>
      <c r="G49" s="20" t="s">
        <v>295</v>
      </c>
      <c r="H49" s="349" t="s">
        <v>296</v>
      </c>
      <c r="K49" s="347">
        <v>11</v>
      </c>
      <c r="L49" s="348" t="s">
        <v>297</v>
      </c>
      <c r="M49" s="347" t="s">
        <v>292</v>
      </c>
    </row>
    <row r="50" spans="1:13" ht="15.75" customHeight="1" x14ac:dyDescent="0.2">
      <c r="A50" s="347">
        <v>12</v>
      </c>
      <c r="B50" s="348" t="s">
        <v>298</v>
      </c>
      <c r="C50" s="347" t="s">
        <v>287</v>
      </c>
      <c r="F50" s="349">
        <v>12</v>
      </c>
      <c r="G50" s="20" t="s">
        <v>299</v>
      </c>
      <c r="H50" s="349" t="s">
        <v>300</v>
      </c>
      <c r="K50" s="347">
        <v>12</v>
      </c>
      <c r="L50" s="348" t="s">
        <v>301</v>
      </c>
      <c r="M50" s="347" t="s">
        <v>296</v>
      </c>
    </row>
    <row r="51" spans="1:13" ht="15.75" customHeight="1" x14ac:dyDescent="0.2">
      <c r="A51" s="347">
        <v>13</v>
      </c>
      <c r="B51" s="348" t="s">
        <v>302</v>
      </c>
      <c r="C51" s="347" t="s">
        <v>303</v>
      </c>
      <c r="F51" s="349">
        <v>13</v>
      </c>
      <c r="G51" s="20" t="s">
        <v>304</v>
      </c>
      <c r="H51" s="349" t="s">
        <v>305</v>
      </c>
      <c r="K51" s="347">
        <v>13</v>
      </c>
      <c r="L51" s="348" t="s">
        <v>306</v>
      </c>
      <c r="M51" s="347" t="s">
        <v>300</v>
      </c>
    </row>
    <row r="52" spans="1:13" ht="15.75" customHeight="1" x14ac:dyDescent="0.2">
      <c r="A52" s="347">
        <v>14</v>
      </c>
      <c r="B52" s="348" t="s">
        <v>307</v>
      </c>
      <c r="C52" s="347" t="s">
        <v>292</v>
      </c>
      <c r="F52" s="349">
        <v>14</v>
      </c>
      <c r="G52" s="20" t="s">
        <v>308</v>
      </c>
      <c r="H52" s="349" t="s">
        <v>309</v>
      </c>
      <c r="K52" s="347">
        <v>14</v>
      </c>
      <c r="L52" s="348" t="s">
        <v>310</v>
      </c>
      <c r="M52" s="347" t="s">
        <v>305</v>
      </c>
    </row>
    <row r="53" spans="1:13" ht="15.75" customHeight="1" x14ac:dyDescent="0.2">
      <c r="A53" s="347">
        <v>15</v>
      </c>
      <c r="B53" s="348" t="s">
        <v>311</v>
      </c>
      <c r="C53" s="347" t="s">
        <v>296</v>
      </c>
      <c r="F53" s="349">
        <v>15</v>
      </c>
      <c r="G53" s="20" t="s">
        <v>312</v>
      </c>
      <c r="H53" s="349" t="s">
        <v>313</v>
      </c>
      <c r="K53" s="347">
        <v>15</v>
      </c>
      <c r="L53" s="348" t="s">
        <v>314</v>
      </c>
      <c r="M53" s="347" t="s">
        <v>309</v>
      </c>
    </row>
    <row r="54" spans="1:13" ht="15.75" customHeight="1" x14ac:dyDescent="0.2">
      <c r="A54" s="347">
        <v>16</v>
      </c>
      <c r="B54" s="348" t="s">
        <v>315</v>
      </c>
      <c r="C54" s="347" t="s">
        <v>300</v>
      </c>
      <c r="F54" s="349">
        <v>16</v>
      </c>
      <c r="G54" s="20" t="s">
        <v>316</v>
      </c>
      <c r="H54" s="349" t="s">
        <v>317</v>
      </c>
      <c r="K54" s="347">
        <v>16</v>
      </c>
      <c r="L54" s="348" t="s">
        <v>318</v>
      </c>
      <c r="M54" s="347" t="s">
        <v>313</v>
      </c>
    </row>
    <row r="55" spans="1:13" ht="15.75" customHeight="1" x14ac:dyDescent="0.2">
      <c r="A55" s="347">
        <v>17</v>
      </c>
      <c r="B55" s="348" t="s">
        <v>319</v>
      </c>
      <c r="C55" s="347" t="s">
        <v>305</v>
      </c>
      <c r="F55" s="349">
        <v>17</v>
      </c>
      <c r="G55" s="20" t="s">
        <v>320</v>
      </c>
      <c r="H55" s="349" t="s">
        <v>321</v>
      </c>
      <c r="K55" s="347">
        <v>17</v>
      </c>
      <c r="L55" s="348" t="s">
        <v>322</v>
      </c>
      <c r="M55" s="347" t="s">
        <v>317</v>
      </c>
    </row>
    <row r="56" spans="1:13" ht="15.75" customHeight="1" x14ac:dyDescent="0.2">
      <c r="A56" s="347">
        <v>18</v>
      </c>
      <c r="B56" s="348" t="s">
        <v>323</v>
      </c>
      <c r="C56" s="347" t="s">
        <v>309</v>
      </c>
      <c r="F56" s="349">
        <v>18</v>
      </c>
      <c r="G56" s="20" t="s">
        <v>324</v>
      </c>
      <c r="H56" s="349" t="s">
        <v>325</v>
      </c>
      <c r="K56" s="347">
        <v>18</v>
      </c>
      <c r="L56" s="348" t="s">
        <v>326</v>
      </c>
      <c r="M56" s="347" t="s">
        <v>321</v>
      </c>
    </row>
    <row r="57" spans="1:13" ht="15.75" customHeight="1" x14ac:dyDescent="0.2">
      <c r="A57" s="347">
        <v>19</v>
      </c>
      <c r="B57" s="348" t="s">
        <v>327</v>
      </c>
      <c r="C57" s="347" t="s">
        <v>313</v>
      </c>
      <c r="F57" s="349">
        <v>19</v>
      </c>
      <c r="G57" s="20" t="s">
        <v>328</v>
      </c>
      <c r="H57" s="349" t="s">
        <v>329</v>
      </c>
      <c r="K57" s="347">
        <v>19</v>
      </c>
      <c r="L57" s="348" t="s">
        <v>330</v>
      </c>
      <c r="M57" s="347" t="s">
        <v>325</v>
      </c>
    </row>
    <row r="58" spans="1:13" ht="15.75" customHeight="1" x14ac:dyDescent="0.2">
      <c r="A58" s="347">
        <v>20</v>
      </c>
      <c r="B58" s="348" t="s">
        <v>331</v>
      </c>
      <c r="C58" s="347" t="s">
        <v>317</v>
      </c>
      <c r="F58" s="349">
        <v>20</v>
      </c>
      <c r="G58" s="20" t="s">
        <v>332</v>
      </c>
      <c r="H58" s="349" t="s">
        <v>333</v>
      </c>
      <c r="K58" s="347">
        <v>20</v>
      </c>
      <c r="L58" s="348" t="s">
        <v>334</v>
      </c>
      <c r="M58" s="347" t="s">
        <v>329</v>
      </c>
    </row>
    <row r="59" spans="1:13" ht="15.75" customHeight="1" x14ac:dyDescent="0.2">
      <c r="A59" s="347">
        <v>21</v>
      </c>
      <c r="B59" s="348" t="s">
        <v>335</v>
      </c>
      <c r="C59" s="347" t="s">
        <v>321</v>
      </c>
      <c r="F59" s="349">
        <v>23</v>
      </c>
      <c r="G59" s="20" t="s">
        <v>336</v>
      </c>
      <c r="H59" s="349" t="s">
        <v>337</v>
      </c>
      <c r="K59" s="347">
        <v>23</v>
      </c>
      <c r="L59" s="348" t="s">
        <v>338</v>
      </c>
      <c r="M59" s="347" t="s">
        <v>333</v>
      </c>
    </row>
    <row r="60" spans="1:13" ht="15.75" customHeight="1" x14ac:dyDescent="0.2">
      <c r="A60" s="347">
        <v>22</v>
      </c>
      <c r="B60" s="348" t="s">
        <v>339</v>
      </c>
      <c r="C60" s="347" t="s">
        <v>325</v>
      </c>
      <c r="F60" s="349">
        <v>24</v>
      </c>
      <c r="G60" s="20" t="s">
        <v>340</v>
      </c>
      <c r="H60" s="349" t="s">
        <v>341</v>
      </c>
      <c r="K60" s="347">
        <v>24</v>
      </c>
      <c r="L60" s="348" t="s">
        <v>342</v>
      </c>
      <c r="M60" s="347" t="s">
        <v>337</v>
      </c>
    </row>
    <row r="61" spans="1:13" ht="15.75" customHeight="1" x14ac:dyDescent="0.2">
      <c r="A61" s="347">
        <v>23</v>
      </c>
      <c r="B61" s="348" t="s">
        <v>343</v>
      </c>
      <c r="C61" s="347" t="s">
        <v>329</v>
      </c>
      <c r="F61" s="349">
        <v>23</v>
      </c>
      <c r="G61" s="20" t="s">
        <v>344</v>
      </c>
      <c r="H61" s="349" t="s">
        <v>345</v>
      </c>
      <c r="K61" s="347">
        <v>23</v>
      </c>
      <c r="L61" s="348" t="s">
        <v>346</v>
      </c>
      <c r="M61" s="347" t="s">
        <v>341</v>
      </c>
    </row>
    <row r="62" spans="1:13" ht="15.75" customHeight="1" x14ac:dyDescent="0.2">
      <c r="A62" s="347">
        <v>24</v>
      </c>
      <c r="B62" s="348" t="s">
        <v>347</v>
      </c>
      <c r="C62" s="347" t="s">
        <v>333</v>
      </c>
      <c r="F62" s="349">
        <v>24</v>
      </c>
      <c r="G62" s="20" t="s">
        <v>348</v>
      </c>
      <c r="H62" s="349" t="s">
        <v>349</v>
      </c>
      <c r="K62" s="347">
        <v>24</v>
      </c>
      <c r="L62" s="348" t="s">
        <v>350</v>
      </c>
      <c r="M62" s="347" t="s">
        <v>345</v>
      </c>
    </row>
    <row r="63" spans="1:13" ht="15.75" customHeight="1" x14ac:dyDescent="0.2">
      <c r="A63" s="347">
        <v>25</v>
      </c>
      <c r="B63" s="348" t="s">
        <v>351</v>
      </c>
      <c r="C63" s="347" t="s">
        <v>337</v>
      </c>
      <c r="F63" s="349">
        <v>25</v>
      </c>
      <c r="G63" s="20" t="s">
        <v>352</v>
      </c>
      <c r="H63" s="349" t="s">
        <v>353</v>
      </c>
      <c r="K63" s="347">
        <v>25</v>
      </c>
      <c r="L63" s="348" t="s">
        <v>354</v>
      </c>
      <c r="M63" s="347" t="s">
        <v>349</v>
      </c>
    </row>
    <row r="64" spans="1:13" ht="15.75" customHeight="1" x14ac:dyDescent="0.2">
      <c r="A64" s="347">
        <v>26</v>
      </c>
      <c r="B64" s="348" t="s">
        <v>355</v>
      </c>
      <c r="C64" s="347" t="s">
        <v>341</v>
      </c>
      <c r="F64" s="349">
        <v>26</v>
      </c>
      <c r="G64" s="20" t="s">
        <v>356</v>
      </c>
      <c r="H64" s="349" t="s">
        <v>357</v>
      </c>
      <c r="K64" s="347">
        <v>26</v>
      </c>
      <c r="L64" s="348" t="s">
        <v>358</v>
      </c>
      <c r="M64" s="347" t="s">
        <v>353</v>
      </c>
    </row>
    <row r="65" spans="1:15" ht="15.75" customHeight="1" x14ac:dyDescent="0.2">
      <c r="A65" s="347">
        <v>27</v>
      </c>
      <c r="B65" s="348" t="s">
        <v>359</v>
      </c>
      <c r="C65" s="347" t="s">
        <v>345</v>
      </c>
      <c r="F65" s="349">
        <v>27</v>
      </c>
      <c r="G65" s="20" t="s">
        <v>360</v>
      </c>
      <c r="H65" s="349" t="s">
        <v>361</v>
      </c>
      <c r="K65" s="347">
        <v>27</v>
      </c>
      <c r="L65" s="348" t="s">
        <v>362</v>
      </c>
      <c r="M65" s="347" t="s">
        <v>357</v>
      </c>
    </row>
    <row r="66" spans="1:15" ht="15.75" customHeight="1" x14ac:dyDescent="0.2">
      <c r="A66" s="347">
        <v>28</v>
      </c>
      <c r="B66" s="348" t="s">
        <v>363</v>
      </c>
      <c r="C66" s="347" t="s">
        <v>349</v>
      </c>
      <c r="F66" s="349">
        <v>28</v>
      </c>
      <c r="G66" s="20" t="s">
        <v>364</v>
      </c>
      <c r="H66" s="349" t="s">
        <v>365</v>
      </c>
      <c r="K66" s="347">
        <v>28</v>
      </c>
      <c r="L66" s="348" t="s">
        <v>366</v>
      </c>
      <c r="M66" s="347" t="s">
        <v>361</v>
      </c>
    </row>
    <row r="67" spans="1:15" ht="15.75" customHeight="1" x14ac:dyDescent="0.2">
      <c r="A67" s="347">
        <v>29</v>
      </c>
      <c r="B67" s="348" t="s">
        <v>367</v>
      </c>
      <c r="C67" s="347" t="s">
        <v>353</v>
      </c>
      <c r="F67" s="349">
        <v>29</v>
      </c>
      <c r="G67" s="20" t="s">
        <v>368</v>
      </c>
      <c r="H67" s="349" t="s">
        <v>369</v>
      </c>
      <c r="K67" s="347">
        <v>29</v>
      </c>
      <c r="L67" s="348" t="s">
        <v>370</v>
      </c>
      <c r="M67" s="347" t="s">
        <v>365</v>
      </c>
    </row>
    <row r="68" spans="1:15" ht="15.75" customHeight="1" x14ac:dyDescent="0.2">
      <c r="A68" s="347">
        <v>30</v>
      </c>
      <c r="B68" s="348" t="s">
        <v>371</v>
      </c>
      <c r="C68" s="347" t="s">
        <v>357</v>
      </c>
      <c r="F68" s="349">
        <v>30</v>
      </c>
      <c r="G68" s="20" t="s">
        <v>372</v>
      </c>
      <c r="H68" s="349" t="s">
        <v>373</v>
      </c>
      <c r="K68" s="347">
        <v>30</v>
      </c>
      <c r="L68" s="348" t="s">
        <v>374</v>
      </c>
      <c r="M68" s="347" t="s">
        <v>369</v>
      </c>
    </row>
    <row r="69" spans="1:15" ht="15.75" customHeight="1" x14ac:dyDescent="0.2">
      <c r="A69" s="347">
        <v>31</v>
      </c>
      <c r="B69" s="348" t="s">
        <v>375</v>
      </c>
      <c r="C69" s="347" t="s">
        <v>361</v>
      </c>
      <c r="F69" s="349">
        <v>31</v>
      </c>
      <c r="G69" s="20" t="s">
        <v>376</v>
      </c>
      <c r="H69" s="349" t="s">
        <v>377</v>
      </c>
      <c r="K69" s="347">
        <v>31</v>
      </c>
      <c r="L69" s="348" t="s">
        <v>378</v>
      </c>
      <c r="M69" s="347" t="s">
        <v>373</v>
      </c>
    </row>
    <row r="70" spans="1:15" ht="15.75" customHeight="1" x14ac:dyDescent="0.2">
      <c r="A70" s="347">
        <v>32</v>
      </c>
      <c r="B70" s="348" t="s">
        <v>379</v>
      </c>
      <c r="C70" s="347" t="s">
        <v>365</v>
      </c>
      <c r="F70" s="349">
        <v>32</v>
      </c>
      <c r="G70" s="20" t="s">
        <v>380</v>
      </c>
      <c r="H70" s="349" t="s">
        <v>381</v>
      </c>
      <c r="K70" s="347">
        <v>32</v>
      </c>
      <c r="L70" s="348" t="s">
        <v>382</v>
      </c>
      <c r="M70" s="347" t="s">
        <v>377</v>
      </c>
    </row>
    <row r="71" spans="1:15" ht="15.75" customHeight="1" x14ac:dyDescent="0.2">
      <c r="A71" s="347">
        <v>33</v>
      </c>
      <c r="B71" s="348" t="s">
        <v>383</v>
      </c>
      <c r="C71" s="347" t="s">
        <v>369</v>
      </c>
      <c r="F71" s="349">
        <v>33</v>
      </c>
      <c r="G71" s="20" t="s">
        <v>384</v>
      </c>
      <c r="H71" s="349" t="s">
        <v>385</v>
      </c>
      <c r="K71" s="347">
        <v>33</v>
      </c>
      <c r="L71" s="348" t="s">
        <v>386</v>
      </c>
      <c r="M71" s="347" t="s">
        <v>381</v>
      </c>
    </row>
    <row r="72" spans="1:15" ht="15.75" customHeight="1" x14ac:dyDescent="0.2">
      <c r="A72" s="347">
        <v>34</v>
      </c>
      <c r="B72" s="348" t="s">
        <v>387</v>
      </c>
      <c r="C72" s="347" t="s">
        <v>373</v>
      </c>
      <c r="F72" s="349">
        <v>34</v>
      </c>
      <c r="G72" s="20" t="s">
        <v>388</v>
      </c>
      <c r="H72" s="349" t="s">
        <v>389</v>
      </c>
      <c r="K72" s="347">
        <v>34</v>
      </c>
      <c r="L72" s="348" t="s">
        <v>390</v>
      </c>
      <c r="M72" s="347" t="s">
        <v>385</v>
      </c>
    </row>
    <row r="73" spans="1:15" ht="15.75" customHeight="1" x14ac:dyDescent="0.2">
      <c r="A73" s="347">
        <v>35</v>
      </c>
      <c r="B73" s="348" t="s">
        <v>391</v>
      </c>
      <c r="C73" s="347" t="s">
        <v>377</v>
      </c>
      <c r="F73" s="349">
        <v>35</v>
      </c>
      <c r="G73" s="20" t="s">
        <v>392</v>
      </c>
      <c r="H73" s="349" t="s">
        <v>393</v>
      </c>
      <c r="K73" s="347">
        <v>35</v>
      </c>
      <c r="L73" s="348" t="s">
        <v>394</v>
      </c>
      <c r="M73" s="347" t="s">
        <v>389</v>
      </c>
    </row>
    <row r="74" spans="1:15" ht="15.75" customHeight="1" x14ac:dyDescent="0.2">
      <c r="A74" s="347">
        <v>36</v>
      </c>
      <c r="B74" s="348" t="s">
        <v>395</v>
      </c>
      <c r="C74" s="347" t="s">
        <v>381</v>
      </c>
      <c r="F74" s="349">
        <v>36</v>
      </c>
      <c r="G74" s="20" t="s">
        <v>396</v>
      </c>
      <c r="H74" s="349" t="s">
        <v>397</v>
      </c>
      <c r="K74" s="347">
        <v>36</v>
      </c>
      <c r="L74" s="348" t="s">
        <v>398</v>
      </c>
      <c r="M74" s="347" t="s">
        <v>393</v>
      </c>
    </row>
    <row r="75" spans="1:15" ht="15.75" customHeight="1" x14ac:dyDescent="0.2">
      <c r="A75" s="347">
        <v>37</v>
      </c>
      <c r="B75" s="348" t="s">
        <v>399</v>
      </c>
      <c r="C75" s="347" t="s">
        <v>385</v>
      </c>
      <c r="F75" s="349">
        <v>37</v>
      </c>
      <c r="G75" s="20" t="s">
        <v>400</v>
      </c>
      <c r="H75" s="349" t="s">
        <v>401</v>
      </c>
      <c r="K75" s="347">
        <v>37</v>
      </c>
      <c r="L75" s="348" t="s">
        <v>402</v>
      </c>
      <c r="M75" s="347" t="s">
        <v>397</v>
      </c>
    </row>
    <row r="76" spans="1:15" ht="15.75" customHeight="1" x14ac:dyDescent="0.2">
      <c r="A76" s="347">
        <v>38</v>
      </c>
      <c r="B76" s="348" t="s">
        <v>403</v>
      </c>
      <c r="C76" s="347" t="s">
        <v>389</v>
      </c>
      <c r="F76" s="349">
        <v>38</v>
      </c>
      <c r="G76" s="20" t="s">
        <v>404</v>
      </c>
      <c r="H76" s="349" t="s">
        <v>405</v>
      </c>
      <c r="K76" s="347">
        <v>38</v>
      </c>
      <c r="L76" s="348" t="s">
        <v>406</v>
      </c>
      <c r="M76" s="347" t="s">
        <v>401</v>
      </c>
    </row>
    <row r="77" spans="1:15" ht="21" customHeight="1" x14ac:dyDescent="0.2">
      <c r="A77" s="350">
        <v>39</v>
      </c>
      <c r="B77" s="350" t="s">
        <v>407</v>
      </c>
      <c r="C77" s="350" t="s">
        <v>393</v>
      </c>
      <c r="D77" s="351"/>
      <c r="E77" s="351"/>
      <c r="F77" s="352">
        <v>39</v>
      </c>
      <c r="G77" s="352" t="s">
        <v>408</v>
      </c>
      <c r="H77" s="352" t="s">
        <v>409</v>
      </c>
      <c r="I77" s="351"/>
      <c r="J77" s="351"/>
      <c r="K77" s="353">
        <v>39</v>
      </c>
      <c r="L77" s="353" t="s">
        <v>410</v>
      </c>
      <c r="M77" s="353" t="s">
        <v>405</v>
      </c>
      <c r="N77" s="351"/>
      <c r="O77" s="351"/>
    </row>
    <row r="78" spans="1:15" ht="15.75" customHeight="1" x14ac:dyDescent="0.2">
      <c r="A78" s="347">
        <v>40</v>
      </c>
      <c r="B78" s="348" t="s">
        <v>411</v>
      </c>
      <c r="C78" s="347" t="s">
        <v>397</v>
      </c>
      <c r="F78" s="349">
        <v>40</v>
      </c>
      <c r="G78" s="20" t="s">
        <v>412</v>
      </c>
      <c r="H78" s="349" t="s">
        <v>413</v>
      </c>
      <c r="K78" s="347">
        <v>40</v>
      </c>
      <c r="L78" s="348" t="s">
        <v>414</v>
      </c>
      <c r="M78" s="347" t="s">
        <v>409</v>
      </c>
    </row>
    <row r="79" spans="1:15" ht="15.75" customHeight="1" x14ac:dyDescent="0.2">
      <c r="A79" s="347">
        <v>41</v>
      </c>
      <c r="B79" s="348" t="s">
        <v>415</v>
      </c>
      <c r="C79" s="347" t="s">
        <v>401</v>
      </c>
      <c r="K79" s="347">
        <v>41</v>
      </c>
      <c r="L79" s="348" t="s">
        <v>416</v>
      </c>
      <c r="M79" s="347" t="s">
        <v>413</v>
      </c>
    </row>
    <row r="80" spans="1:15" ht="15.75" customHeight="1" x14ac:dyDescent="0.2">
      <c r="A80" s="347">
        <v>42</v>
      </c>
      <c r="B80" s="348" t="s">
        <v>417</v>
      </c>
      <c r="C80" s="347" t="s">
        <v>405</v>
      </c>
      <c r="K80" s="118"/>
      <c r="L80" s="118"/>
      <c r="M80" s="118"/>
    </row>
    <row r="81" spans="1:3" ht="15.75" customHeight="1" x14ac:dyDescent="0.2">
      <c r="A81" s="347">
        <v>43</v>
      </c>
      <c r="B81" s="348" t="s">
        <v>418</v>
      </c>
      <c r="C81" s="347" t="s">
        <v>409</v>
      </c>
    </row>
    <row r="82" spans="1:3" ht="15.75" customHeight="1" x14ac:dyDescent="0.2">
      <c r="A82" s="347">
        <v>44</v>
      </c>
      <c r="B82" s="348" t="s">
        <v>419</v>
      </c>
      <c r="C82" s="347" t="s">
        <v>413</v>
      </c>
    </row>
    <row r="83" spans="1:3" ht="15.75" customHeight="1" x14ac:dyDescent="0.2">
      <c r="A83" s="354"/>
      <c r="B83" s="355"/>
      <c r="C83" s="354"/>
    </row>
    <row r="84" spans="1:3" ht="15.75" customHeight="1" x14ac:dyDescent="0.2">
      <c r="A84" s="354"/>
      <c r="B84" s="355"/>
      <c r="C84" s="354"/>
    </row>
    <row r="85" spans="1:3" ht="15.75" customHeight="1" x14ac:dyDescent="0.2"/>
    <row r="86" spans="1:3" ht="15.75" customHeight="1" x14ac:dyDescent="0.2">
      <c r="A86" s="356" t="s">
        <v>420</v>
      </c>
      <c r="B86" s="356" t="s">
        <v>421</v>
      </c>
      <c r="C86" s="356" t="s">
        <v>422</v>
      </c>
    </row>
    <row r="87" spans="1:3" ht="15.75" customHeight="1" x14ac:dyDescent="0.2">
      <c r="A87" s="357" t="s">
        <v>423</v>
      </c>
      <c r="B87" s="358" t="s">
        <v>424</v>
      </c>
      <c r="C87" s="359">
        <v>0.05</v>
      </c>
    </row>
    <row r="88" spans="1:3" ht="15.75" customHeight="1" x14ac:dyDescent="0.2">
      <c r="A88" s="357" t="s">
        <v>425</v>
      </c>
      <c r="B88" s="358" t="s">
        <v>426</v>
      </c>
      <c r="C88" s="359">
        <v>0.15</v>
      </c>
    </row>
    <row r="89" spans="1:3" ht="15.75" customHeight="1" x14ac:dyDescent="0.2">
      <c r="A89" s="357" t="s">
        <v>427</v>
      </c>
      <c r="B89" s="358" t="s">
        <v>428</v>
      </c>
      <c r="C89" s="359">
        <v>0.25</v>
      </c>
    </row>
    <row r="90" spans="1:3" ht="15.75" customHeight="1" x14ac:dyDescent="0.2">
      <c r="A90" s="357" t="s">
        <v>429</v>
      </c>
      <c r="B90" s="358" t="s">
        <v>430</v>
      </c>
      <c r="C90" s="359">
        <v>0.3</v>
      </c>
    </row>
    <row r="91" spans="1:3" ht="15.75" customHeight="1" x14ac:dyDescent="0.2">
      <c r="A91" s="357" t="s">
        <v>431</v>
      </c>
      <c r="B91" s="358" t="s">
        <v>432</v>
      </c>
      <c r="C91" s="359">
        <v>0.35</v>
      </c>
    </row>
    <row r="92" spans="1:3" ht="15.75" customHeight="1" x14ac:dyDescent="0.2"/>
    <row r="93" spans="1:3" ht="15.75" customHeight="1" x14ac:dyDescent="0.2"/>
    <row r="94" spans="1:3" ht="15.75" customHeight="1" x14ac:dyDescent="0.2"/>
    <row r="95" spans="1:3" ht="15.75" customHeight="1" x14ac:dyDescent="0.2"/>
    <row r="96" spans="1:3"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39966"/>
  </sheetPr>
  <dimension ref="A1:K100"/>
  <sheetViews>
    <sheetView workbookViewId="0"/>
  </sheetViews>
  <sheetFormatPr defaultColWidth="14.390625" defaultRowHeight="15" customHeight="1" x14ac:dyDescent="0.2"/>
  <cols>
    <col min="1" max="1" width="22.05859375" customWidth="1"/>
    <col min="2" max="2" width="18.5625" customWidth="1"/>
    <col min="3" max="3" width="25.15234375" customWidth="1"/>
    <col min="4" max="11" width="18.5625" customWidth="1"/>
  </cols>
  <sheetData>
    <row r="1" spans="1:11" ht="15.75" customHeight="1" x14ac:dyDescent="0.2">
      <c r="A1" s="360" t="s">
        <v>433</v>
      </c>
      <c r="B1" s="360" t="s">
        <v>434</v>
      </c>
      <c r="C1" s="360" t="s">
        <v>435</v>
      </c>
      <c r="D1" s="360" t="s">
        <v>436</v>
      </c>
      <c r="E1" s="361"/>
      <c r="F1" s="361"/>
      <c r="G1" s="361"/>
      <c r="H1" s="361"/>
      <c r="I1" s="361"/>
      <c r="J1" s="361"/>
      <c r="K1" s="361"/>
    </row>
    <row r="2" spans="1:11" ht="15.75" customHeight="1" x14ac:dyDescent="0.2">
      <c r="A2" s="362" t="s">
        <v>234</v>
      </c>
      <c r="B2" s="363">
        <v>12000000</v>
      </c>
      <c r="C2" s="364">
        <v>0.03</v>
      </c>
      <c r="D2" s="363">
        <v>360000</v>
      </c>
      <c r="E2" s="361"/>
      <c r="F2" s="361"/>
      <c r="G2" s="361"/>
      <c r="H2" s="361"/>
      <c r="I2" s="361"/>
      <c r="J2" s="361"/>
      <c r="K2" s="361"/>
    </row>
    <row r="3" spans="1:11" ht="15.75" customHeight="1" x14ac:dyDescent="0.2">
      <c r="A3" s="362" t="s">
        <v>437</v>
      </c>
      <c r="B3" s="363">
        <v>12000000</v>
      </c>
      <c r="C3" s="364">
        <v>0.03</v>
      </c>
      <c r="D3" s="363">
        <v>360000</v>
      </c>
      <c r="E3" s="361"/>
      <c r="F3" s="361"/>
      <c r="G3" s="361"/>
      <c r="H3" s="361"/>
      <c r="I3" s="361"/>
      <c r="J3" s="361"/>
      <c r="K3" s="361"/>
    </row>
    <row r="4" spans="1:11" ht="15.75" customHeight="1" x14ac:dyDescent="0.2">
      <c r="A4" s="362" t="s">
        <v>236</v>
      </c>
      <c r="B4" s="363">
        <v>12000000</v>
      </c>
      <c r="C4" s="364">
        <v>0.03</v>
      </c>
      <c r="D4" s="363">
        <v>360000</v>
      </c>
      <c r="E4" s="361"/>
      <c r="F4" s="361"/>
      <c r="G4" s="361"/>
      <c r="H4" s="361"/>
      <c r="I4" s="361"/>
      <c r="J4" s="361"/>
      <c r="K4" s="361"/>
    </row>
    <row r="5" spans="1:11" ht="15.75" customHeight="1" x14ac:dyDescent="0.2">
      <c r="A5" s="362" t="s">
        <v>237</v>
      </c>
      <c r="B5" s="363">
        <v>12000000</v>
      </c>
      <c r="C5" s="364">
        <v>0.03</v>
      </c>
      <c r="D5" s="363">
        <v>360000</v>
      </c>
      <c r="E5" s="361"/>
      <c r="F5" s="361"/>
      <c r="G5" s="361"/>
      <c r="H5" s="361"/>
      <c r="I5" s="361"/>
      <c r="J5" s="361"/>
      <c r="K5" s="361"/>
    </row>
    <row r="6" spans="1:11" ht="15.75" customHeight="1" x14ac:dyDescent="0.2">
      <c r="A6" s="362" t="s">
        <v>238</v>
      </c>
      <c r="B6" s="363">
        <v>12000000</v>
      </c>
      <c r="C6" s="364">
        <v>0.03</v>
      </c>
      <c r="D6" s="363">
        <v>360000</v>
      </c>
      <c r="E6" s="361"/>
      <c r="F6" s="361"/>
      <c r="G6" s="361"/>
      <c r="H6" s="361"/>
      <c r="I6" s="361"/>
      <c r="J6" s="361"/>
      <c r="K6" s="361"/>
    </row>
    <row r="7" spans="1:11" ht="15.75" customHeight="1" x14ac:dyDescent="0.2">
      <c r="A7" s="362" t="s">
        <v>239</v>
      </c>
      <c r="B7" s="363">
        <v>12000000</v>
      </c>
      <c r="C7" s="364">
        <v>0.03</v>
      </c>
      <c r="D7" s="363">
        <v>360000</v>
      </c>
      <c r="E7" s="361"/>
      <c r="F7" s="361"/>
      <c r="G7" s="361"/>
      <c r="H7" s="361"/>
      <c r="I7" s="361"/>
      <c r="J7" s="361"/>
      <c r="K7" s="361"/>
    </row>
    <row r="8" spans="1:11" ht="15.75" customHeight="1" x14ac:dyDescent="0.2">
      <c r="A8" s="362" t="s">
        <v>240</v>
      </c>
      <c r="B8" s="363">
        <v>12000000</v>
      </c>
      <c r="C8" s="364">
        <v>0.03</v>
      </c>
      <c r="D8" s="363">
        <v>360000</v>
      </c>
      <c r="E8" s="361"/>
      <c r="F8" s="361"/>
      <c r="G8" s="361"/>
      <c r="H8" s="361"/>
      <c r="I8" s="361"/>
      <c r="J8" s="361"/>
      <c r="K8" s="361"/>
    </row>
    <row r="9" spans="1:11" ht="15.75" customHeight="1" x14ac:dyDescent="0.2">
      <c r="A9" s="362" t="s">
        <v>241</v>
      </c>
      <c r="B9" s="363">
        <v>12000000</v>
      </c>
      <c r="C9" s="364">
        <v>0.03</v>
      </c>
      <c r="D9" s="363">
        <v>360000</v>
      </c>
      <c r="E9" s="361"/>
      <c r="F9" s="361"/>
      <c r="G9" s="361"/>
      <c r="H9" s="361"/>
      <c r="I9" s="361"/>
      <c r="J9" s="361"/>
      <c r="K9" s="361"/>
    </row>
    <row r="10" spans="1:11" ht="15.75" customHeight="1" x14ac:dyDescent="0.2">
      <c r="A10" s="362" t="s">
        <v>242</v>
      </c>
      <c r="B10" s="363">
        <v>12000000</v>
      </c>
      <c r="C10" s="364">
        <v>0.03</v>
      </c>
      <c r="D10" s="363">
        <v>360000</v>
      </c>
      <c r="E10" s="361"/>
      <c r="F10" s="361"/>
      <c r="G10" s="361"/>
      <c r="H10" s="361"/>
      <c r="I10" s="361"/>
      <c r="J10" s="361"/>
      <c r="K10" s="361"/>
    </row>
    <row r="11" spans="1:11" ht="15.75" customHeight="1" x14ac:dyDescent="0.2">
      <c r="A11" s="362" t="s">
        <v>243</v>
      </c>
      <c r="B11" s="363">
        <v>12000000</v>
      </c>
      <c r="C11" s="364">
        <v>0.03</v>
      </c>
      <c r="D11" s="363">
        <v>360000</v>
      </c>
      <c r="E11" s="361"/>
      <c r="F11" s="361"/>
      <c r="G11" s="361"/>
      <c r="H11" s="361"/>
      <c r="I11" s="361"/>
      <c r="J11" s="361"/>
      <c r="K11" s="361"/>
    </row>
    <row r="12" spans="1:11" ht="15.75" customHeight="1" x14ac:dyDescent="0.2">
      <c r="A12" s="362" t="s">
        <v>244</v>
      </c>
      <c r="B12" s="363">
        <v>12000000</v>
      </c>
      <c r="C12" s="364">
        <v>0.03</v>
      </c>
      <c r="D12" s="363">
        <v>360000</v>
      </c>
      <c r="E12" s="361"/>
      <c r="F12" s="361"/>
      <c r="G12" s="361"/>
      <c r="H12" s="361"/>
      <c r="I12" s="361"/>
      <c r="J12" s="361"/>
      <c r="K12" s="361"/>
    </row>
    <row r="13" spans="1:11" ht="15.75" customHeight="1" x14ac:dyDescent="0.2">
      <c r="A13" s="362" t="s">
        <v>245</v>
      </c>
      <c r="B13" s="363">
        <v>12000000</v>
      </c>
      <c r="C13" s="364">
        <v>0.03</v>
      </c>
      <c r="D13" s="363" t="e">
        <f ca="1">_xludf.NUMBERVALUE(LEFT(C37,FIND(" ",C37)-1))</f>
        <v>#NAME?</v>
      </c>
      <c r="E13" s="361"/>
      <c r="F13" s="361"/>
      <c r="G13" s="361"/>
      <c r="H13" s="361"/>
      <c r="I13" s="361"/>
      <c r="J13" s="361"/>
      <c r="K13" s="361"/>
    </row>
    <row r="14" spans="1:11" ht="15.75" customHeight="1" x14ac:dyDescent="0.2">
      <c r="A14" s="361"/>
      <c r="B14" s="361"/>
      <c r="C14" s="361"/>
      <c r="D14" s="361"/>
      <c r="E14" s="361"/>
      <c r="F14" s="361"/>
      <c r="G14" s="361"/>
      <c r="H14" s="361"/>
      <c r="I14" s="361"/>
      <c r="J14" s="361"/>
      <c r="K14" s="361"/>
    </row>
    <row r="15" spans="1:11" ht="15.75" customHeight="1" x14ac:dyDescent="0.2">
      <c r="A15" s="361"/>
      <c r="B15" s="361"/>
      <c r="C15" s="361"/>
      <c r="D15" s="361"/>
      <c r="E15" s="361"/>
      <c r="F15" s="361"/>
      <c r="G15" s="361"/>
      <c r="H15" s="361"/>
      <c r="I15" s="361"/>
      <c r="J15" s="361"/>
      <c r="K15" s="361"/>
    </row>
    <row r="16" spans="1:11" ht="15.75" customHeight="1" x14ac:dyDescent="0.2">
      <c r="A16" s="361"/>
      <c r="B16" s="361"/>
      <c r="C16" s="361"/>
      <c r="D16" s="361"/>
      <c r="E16" s="361"/>
      <c r="F16" s="361"/>
      <c r="G16" s="361"/>
      <c r="H16" s="361"/>
      <c r="I16" s="361"/>
      <c r="J16" s="361"/>
      <c r="K16" s="361"/>
    </row>
    <row r="17" spans="1:11" ht="15.75" customHeight="1" x14ac:dyDescent="0.2">
      <c r="A17" s="361"/>
      <c r="B17" s="361"/>
      <c r="C17" s="361"/>
      <c r="D17" s="361"/>
      <c r="E17" s="361"/>
      <c r="F17" s="361"/>
      <c r="G17" s="361"/>
      <c r="H17" s="361"/>
      <c r="I17" s="361"/>
      <c r="J17" s="361"/>
      <c r="K17" s="361"/>
    </row>
    <row r="18" spans="1:11" ht="15.75" customHeight="1" x14ac:dyDescent="0.2">
      <c r="A18" s="361"/>
      <c r="B18" s="361"/>
      <c r="C18" s="361"/>
      <c r="D18" s="361"/>
      <c r="E18" s="361"/>
      <c r="F18" s="361"/>
      <c r="G18" s="361"/>
      <c r="H18" s="361"/>
      <c r="I18" s="361"/>
      <c r="J18" s="361"/>
      <c r="K18" s="361"/>
    </row>
    <row r="19" spans="1:11" ht="15.75" customHeight="1" x14ac:dyDescent="0.2">
      <c r="A19" s="365" t="s">
        <v>438</v>
      </c>
      <c r="B19" s="366"/>
      <c r="C19" s="366"/>
      <c r="D19" s="361"/>
      <c r="E19" s="361"/>
      <c r="F19" s="361"/>
      <c r="G19" s="361"/>
      <c r="H19" s="361"/>
      <c r="I19" s="361"/>
      <c r="J19" s="361"/>
      <c r="K19" s="361"/>
    </row>
    <row r="20" spans="1:11" ht="15.75" customHeight="1" x14ac:dyDescent="0.2">
      <c r="A20" s="367" t="s">
        <v>439</v>
      </c>
      <c r="B20" s="366"/>
      <c r="C20" s="366">
        <v>144000000</v>
      </c>
      <c r="D20" s="361"/>
      <c r="E20" s="361"/>
      <c r="F20" s="361"/>
      <c r="G20" s="361"/>
      <c r="H20" s="361"/>
      <c r="I20" s="361"/>
      <c r="J20" s="361"/>
      <c r="K20" s="361"/>
    </row>
    <row r="21" spans="1:11" ht="15.75" customHeight="1" x14ac:dyDescent="0.2">
      <c r="A21" s="367"/>
      <c r="B21" s="366"/>
      <c r="C21" s="366"/>
      <c r="D21" s="361"/>
      <c r="E21" s="361"/>
      <c r="F21" s="361"/>
      <c r="G21" s="361"/>
      <c r="H21" s="361"/>
      <c r="I21" s="361"/>
      <c r="J21" s="361"/>
      <c r="K21" s="361"/>
    </row>
    <row r="22" spans="1:11" ht="15.75" customHeight="1" x14ac:dyDescent="0.2">
      <c r="A22" s="367" t="s">
        <v>440</v>
      </c>
      <c r="B22" s="366"/>
      <c r="C22" s="366"/>
      <c r="D22" s="361"/>
      <c r="E22" s="361"/>
      <c r="F22" s="361"/>
      <c r="G22" s="361"/>
      <c r="H22" s="361"/>
      <c r="I22" s="361"/>
      <c r="J22" s="361"/>
      <c r="K22" s="361"/>
    </row>
    <row r="23" spans="1:11" ht="15.75" customHeight="1" x14ac:dyDescent="0.2">
      <c r="A23" s="367" t="s">
        <v>441</v>
      </c>
      <c r="B23" s="366">
        <v>6000000</v>
      </c>
      <c r="C23" s="366"/>
      <c r="D23" s="361"/>
      <c r="E23" s="361"/>
      <c r="F23" s="361"/>
      <c r="G23" s="361"/>
      <c r="H23" s="361"/>
      <c r="I23" s="361"/>
      <c r="J23" s="361"/>
      <c r="K23" s="361"/>
    </row>
    <row r="24" spans="1:11" ht="15.75" customHeight="1" x14ac:dyDescent="0.2">
      <c r="A24" s="367" t="s">
        <v>442</v>
      </c>
      <c r="B24" s="366">
        <v>1200000</v>
      </c>
      <c r="C24" s="366"/>
      <c r="D24" s="361"/>
      <c r="E24" s="361"/>
      <c r="F24" s="361"/>
      <c r="G24" s="361"/>
      <c r="H24" s="361"/>
      <c r="I24" s="361"/>
      <c r="J24" s="361"/>
      <c r="K24" s="361"/>
    </row>
    <row r="25" spans="1:11" ht="15.75" customHeight="1" x14ac:dyDescent="0.2">
      <c r="A25" s="367"/>
      <c r="B25" s="366"/>
      <c r="C25" s="366">
        <f>SUM(B23:B24)</f>
        <v>7200000</v>
      </c>
      <c r="D25" s="361"/>
      <c r="E25" s="361"/>
      <c r="F25" s="361"/>
      <c r="G25" s="361"/>
      <c r="H25" s="361"/>
      <c r="I25" s="361"/>
      <c r="J25" s="361"/>
      <c r="K25" s="361"/>
    </row>
    <row r="26" spans="1:11" ht="15.75" customHeight="1" x14ac:dyDescent="0.2">
      <c r="A26" s="367" t="s">
        <v>443</v>
      </c>
      <c r="B26" s="366"/>
      <c r="C26" s="366">
        <f>C20-C25</f>
        <v>136800000</v>
      </c>
      <c r="D26" s="361"/>
      <c r="E26" s="361"/>
      <c r="F26" s="361"/>
      <c r="G26" s="361"/>
      <c r="H26" s="361"/>
      <c r="I26" s="361"/>
      <c r="J26" s="361"/>
      <c r="K26" s="361"/>
    </row>
    <row r="27" spans="1:11" ht="15.75" customHeight="1" x14ac:dyDescent="0.2">
      <c r="A27" s="367" t="s">
        <v>444</v>
      </c>
      <c r="B27" s="366"/>
      <c r="C27" s="366"/>
      <c r="D27" s="361"/>
      <c r="E27" s="361"/>
      <c r="F27" s="361"/>
      <c r="G27" s="361"/>
      <c r="H27" s="361"/>
      <c r="I27" s="361"/>
      <c r="J27" s="361"/>
      <c r="K27" s="361"/>
    </row>
    <row r="28" spans="1:11" ht="15.75" customHeight="1" x14ac:dyDescent="0.2">
      <c r="A28" s="367" t="s">
        <v>445</v>
      </c>
      <c r="B28" s="366">
        <v>54000000</v>
      </c>
      <c r="C28" s="366"/>
      <c r="D28" s="361"/>
      <c r="E28" s="361"/>
      <c r="F28" s="361"/>
      <c r="G28" s="361"/>
      <c r="H28" s="361"/>
      <c r="I28" s="361"/>
      <c r="J28" s="361"/>
      <c r="K28" s="361"/>
    </row>
    <row r="29" spans="1:11" ht="15.75" customHeight="1" x14ac:dyDescent="0.2">
      <c r="A29" s="367" t="s">
        <v>446</v>
      </c>
      <c r="B29" s="366">
        <v>4500000</v>
      </c>
      <c r="C29" s="366"/>
      <c r="D29" s="361"/>
      <c r="E29" s="361"/>
      <c r="F29" s="361"/>
      <c r="G29" s="361"/>
      <c r="H29" s="361"/>
      <c r="I29" s="361"/>
      <c r="J29" s="361"/>
      <c r="K29" s="361"/>
    </row>
    <row r="30" spans="1:11" ht="15.75" customHeight="1" x14ac:dyDescent="0.2">
      <c r="A30" s="367" t="s">
        <v>447</v>
      </c>
      <c r="B30" s="366">
        <v>4500000</v>
      </c>
      <c r="C30" s="366"/>
      <c r="D30" s="361"/>
      <c r="E30" s="361"/>
      <c r="F30" s="361"/>
      <c r="G30" s="361"/>
      <c r="H30" s="361"/>
      <c r="I30" s="361"/>
      <c r="J30" s="361"/>
      <c r="K30" s="361"/>
    </row>
    <row r="31" spans="1:11" ht="15.75" customHeight="1" x14ac:dyDescent="0.2">
      <c r="A31" s="367"/>
      <c r="B31" s="366"/>
      <c r="C31" s="366">
        <f>SUM(B28:B30)</f>
        <v>63000000</v>
      </c>
      <c r="D31" s="361"/>
      <c r="E31" s="361"/>
      <c r="F31" s="361"/>
      <c r="G31" s="361"/>
      <c r="H31" s="361"/>
      <c r="I31" s="361"/>
      <c r="J31" s="361"/>
      <c r="K31" s="361"/>
    </row>
    <row r="32" spans="1:11" ht="15.75" customHeight="1" x14ac:dyDescent="0.2">
      <c r="A32" s="367" t="s">
        <v>448</v>
      </c>
      <c r="B32" s="366"/>
      <c r="C32" s="366">
        <f>C26-C31</f>
        <v>73800000</v>
      </c>
      <c r="D32" s="361"/>
      <c r="E32" s="361"/>
      <c r="F32" s="361"/>
      <c r="G32" s="361"/>
      <c r="H32" s="361"/>
      <c r="I32" s="361"/>
      <c r="J32" s="361"/>
      <c r="K32" s="361"/>
    </row>
    <row r="33" spans="1:11" ht="15.75" customHeight="1" x14ac:dyDescent="0.2">
      <c r="A33" s="368">
        <v>60000000</v>
      </c>
      <c r="B33" s="366">
        <f>A33*5%</f>
        <v>3000000</v>
      </c>
      <c r="C33" s="366"/>
      <c r="D33" s="361"/>
      <c r="E33" s="361"/>
      <c r="F33" s="361"/>
      <c r="G33" s="361"/>
      <c r="H33" s="361"/>
      <c r="I33" s="361"/>
      <c r="J33" s="361"/>
      <c r="K33" s="361"/>
    </row>
    <row r="34" spans="1:11" ht="15.75" customHeight="1" x14ac:dyDescent="0.2">
      <c r="A34" s="368">
        <f>C32-A33</f>
        <v>13800000</v>
      </c>
      <c r="B34" s="366">
        <f>A34*15%</f>
        <v>2070000</v>
      </c>
      <c r="C34" s="366"/>
      <c r="D34" s="361"/>
      <c r="E34" s="361"/>
      <c r="F34" s="361"/>
      <c r="G34" s="361"/>
      <c r="H34" s="361"/>
      <c r="I34" s="361"/>
      <c r="J34" s="361"/>
      <c r="K34" s="361"/>
    </row>
    <row r="35" spans="1:11" ht="15.75" customHeight="1" x14ac:dyDescent="0.2">
      <c r="A35" s="367"/>
      <c r="B35" s="366"/>
      <c r="C35" s="366">
        <f>SUM(B33:B34)</f>
        <v>5070000</v>
      </c>
      <c r="D35" s="361"/>
      <c r="E35" s="361"/>
      <c r="F35" s="361"/>
      <c r="G35" s="361"/>
      <c r="H35" s="361"/>
      <c r="I35" s="361"/>
      <c r="J35" s="361"/>
      <c r="K35" s="361"/>
    </row>
    <row r="36" spans="1:11" ht="15.75" customHeight="1" x14ac:dyDescent="0.2">
      <c r="A36" s="367" t="s">
        <v>449</v>
      </c>
      <c r="B36" s="366"/>
      <c r="C36" s="366">
        <f>SUM(D2:D12)</f>
        <v>3960000</v>
      </c>
      <c r="D36" s="361"/>
      <c r="E36" s="361"/>
      <c r="F36" s="361"/>
      <c r="G36" s="361"/>
      <c r="H36" s="361"/>
      <c r="I36" s="361"/>
      <c r="J36" s="361"/>
      <c r="K36" s="361"/>
    </row>
    <row r="37" spans="1:11" ht="15.75" customHeight="1" x14ac:dyDescent="0.2">
      <c r="A37" s="367" t="s">
        <v>450</v>
      </c>
      <c r="B37" s="366"/>
      <c r="C37" s="366" t="e">
        <f ca="1">IF(C35-C36&lt;0,_xludf.CONCAT(TEXT(C35-C36,"#.##0")," ","(Lebih Bayar)"),IF(C35-C36&gt;0,_xludf.CONCAT(TEXT(C35-C36,"#.##0")," ","(Kurang Bayar)"),_xludf.CONCAT(TEXT(C35-C36,"#.##0")," ","(Tidak Bayar)")))</f>
        <v>#NAME?</v>
      </c>
      <c r="D37" s="361"/>
      <c r="E37" s="361"/>
      <c r="F37" s="361"/>
      <c r="G37" s="361"/>
      <c r="H37" s="361"/>
      <c r="I37" s="361"/>
      <c r="J37" s="361"/>
      <c r="K37" s="361"/>
    </row>
    <row r="38" spans="1:11" ht="15.75" customHeight="1" x14ac:dyDescent="0.2">
      <c r="A38" s="361"/>
      <c r="B38" s="361"/>
      <c r="C38" s="361"/>
      <c r="D38" s="361"/>
      <c r="E38" s="361"/>
      <c r="F38" s="361"/>
      <c r="G38" s="361"/>
      <c r="H38" s="361"/>
      <c r="I38" s="361"/>
      <c r="J38" s="361"/>
      <c r="K38" s="361"/>
    </row>
    <row r="39" spans="1:11" ht="15.75" customHeight="1" x14ac:dyDescent="0.2">
      <c r="A39" s="361"/>
      <c r="B39" s="361"/>
      <c r="C39" s="361"/>
      <c r="D39" s="361"/>
      <c r="E39" s="361"/>
      <c r="F39" s="361"/>
      <c r="G39" s="361"/>
      <c r="H39" s="361"/>
      <c r="I39" s="361"/>
      <c r="J39" s="361"/>
      <c r="K39" s="361"/>
    </row>
    <row r="40" spans="1:11" ht="15.75" customHeight="1" x14ac:dyDescent="0.2">
      <c r="A40" s="361"/>
      <c r="B40" s="361"/>
      <c r="C40" s="361"/>
      <c r="D40" s="361"/>
      <c r="E40" s="361"/>
      <c r="F40" s="361"/>
      <c r="G40" s="361"/>
      <c r="H40" s="361"/>
      <c r="I40" s="361"/>
      <c r="J40" s="361"/>
      <c r="K40" s="361"/>
    </row>
    <row r="41" spans="1:11" ht="15.75" customHeight="1" x14ac:dyDescent="0.2">
      <c r="A41" s="361"/>
      <c r="B41" s="361"/>
      <c r="C41" s="361"/>
      <c r="D41" s="361"/>
      <c r="E41" s="361"/>
      <c r="F41" s="361"/>
      <c r="G41" s="361"/>
      <c r="H41" s="361"/>
      <c r="I41" s="361"/>
      <c r="J41" s="361"/>
      <c r="K41" s="361"/>
    </row>
    <row r="42" spans="1:11" ht="15.75" customHeight="1" x14ac:dyDescent="0.2">
      <c r="A42" s="361"/>
      <c r="B42" s="361"/>
      <c r="C42" s="361"/>
      <c r="D42" s="361"/>
      <c r="E42" s="361"/>
      <c r="F42" s="361"/>
      <c r="G42" s="361"/>
      <c r="H42" s="361"/>
      <c r="I42" s="361"/>
      <c r="J42" s="361"/>
      <c r="K42" s="361"/>
    </row>
    <row r="43" spans="1:11" ht="15.75" customHeight="1" x14ac:dyDescent="0.2">
      <c r="A43" s="361"/>
      <c r="B43" s="361"/>
      <c r="C43" s="361"/>
      <c r="D43" s="361"/>
      <c r="E43" s="361"/>
      <c r="F43" s="361"/>
      <c r="G43" s="361"/>
      <c r="H43" s="361"/>
      <c r="I43" s="361"/>
      <c r="J43" s="361"/>
      <c r="K43" s="361"/>
    </row>
    <row r="44" spans="1:11" ht="15.75" customHeight="1" x14ac:dyDescent="0.2">
      <c r="A44" s="361"/>
      <c r="B44" s="361"/>
      <c r="C44" s="361"/>
      <c r="D44" s="361"/>
      <c r="E44" s="361"/>
      <c r="F44" s="361"/>
      <c r="G44" s="361"/>
      <c r="H44" s="361"/>
      <c r="I44" s="361"/>
      <c r="J44" s="361"/>
      <c r="K44" s="361"/>
    </row>
    <row r="45" spans="1:11" ht="15.75" customHeight="1" x14ac:dyDescent="0.2">
      <c r="A45" s="361"/>
      <c r="B45" s="361"/>
      <c r="C45" s="361"/>
      <c r="D45" s="361"/>
      <c r="E45" s="361"/>
      <c r="F45" s="361"/>
      <c r="G45" s="361"/>
      <c r="H45" s="361"/>
      <c r="I45" s="361"/>
      <c r="J45" s="361"/>
      <c r="K45" s="361"/>
    </row>
    <row r="46" spans="1:11" ht="15.75" customHeight="1" x14ac:dyDescent="0.2">
      <c r="A46" s="361"/>
      <c r="B46" s="361"/>
      <c r="C46" s="361"/>
      <c r="D46" s="361"/>
      <c r="E46" s="361"/>
      <c r="F46" s="361"/>
      <c r="G46" s="361"/>
      <c r="H46" s="361"/>
      <c r="I46" s="361"/>
      <c r="J46" s="361"/>
      <c r="K46" s="361"/>
    </row>
    <row r="47" spans="1:11" ht="15.75" customHeight="1" x14ac:dyDescent="0.2">
      <c r="A47" s="361"/>
      <c r="B47" s="361"/>
      <c r="C47" s="361"/>
      <c r="D47" s="361"/>
      <c r="E47" s="361"/>
      <c r="F47" s="361"/>
      <c r="G47" s="361"/>
      <c r="H47" s="361"/>
      <c r="I47" s="361"/>
      <c r="J47" s="361"/>
      <c r="K47" s="361"/>
    </row>
    <row r="48" spans="1:11" ht="15.75" customHeight="1" x14ac:dyDescent="0.2">
      <c r="A48" s="361"/>
      <c r="B48" s="361"/>
      <c r="C48" s="361"/>
      <c r="D48" s="361"/>
      <c r="E48" s="361"/>
      <c r="F48" s="361"/>
      <c r="G48" s="361"/>
      <c r="H48" s="361"/>
      <c r="I48" s="361"/>
      <c r="J48" s="361"/>
      <c r="K48" s="361"/>
    </row>
    <row r="49" spans="1:11" ht="15.75" customHeight="1" x14ac:dyDescent="0.2">
      <c r="A49" s="361"/>
      <c r="B49" s="361"/>
      <c r="C49" s="361"/>
      <c r="D49" s="361"/>
      <c r="E49" s="361"/>
      <c r="F49" s="361"/>
      <c r="G49" s="361"/>
      <c r="H49" s="361"/>
      <c r="I49" s="361"/>
      <c r="J49" s="361"/>
      <c r="K49" s="361"/>
    </row>
    <row r="50" spans="1:11" ht="15.75" customHeight="1" x14ac:dyDescent="0.2">
      <c r="A50" s="361"/>
      <c r="B50" s="361"/>
      <c r="C50" s="361"/>
      <c r="D50" s="361"/>
      <c r="E50" s="361"/>
      <c r="F50" s="361"/>
      <c r="G50" s="361"/>
      <c r="H50" s="361"/>
      <c r="I50" s="361"/>
      <c r="J50" s="361"/>
      <c r="K50" s="361"/>
    </row>
    <row r="51" spans="1:11" ht="15.75" customHeight="1" x14ac:dyDescent="0.2">
      <c r="A51" s="361"/>
      <c r="B51" s="361"/>
      <c r="C51" s="361"/>
      <c r="D51" s="361"/>
      <c r="E51" s="361"/>
      <c r="F51" s="361"/>
      <c r="G51" s="361"/>
      <c r="H51" s="361"/>
      <c r="I51" s="361"/>
      <c r="J51" s="361"/>
      <c r="K51" s="361"/>
    </row>
    <row r="52" spans="1:11" ht="15.75" customHeight="1" x14ac:dyDescent="0.2">
      <c r="A52" s="361"/>
      <c r="B52" s="361"/>
      <c r="C52" s="361"/>
      <c r="D52" s="361"/>
      <c r="E52" s="361"/>
      <c r="F52" s="361"/>
      <c r="G52" s="361"/>
      <c r="H52" s="361"/>
      <c r="I52" s="361"/>
      <c r="J52" s="361"/>
      <c r="K52" s="361"/>
    </row>
    <row r="53" spans="1:11" ht="15.75" customHeight="1" x14ac:dyDescent="0.2">
      <c r="A53" s="361"/>
      <c r="B53" s="361"/>
      <c r="C53" s="361"/>
      <c r="D53" s="361"/>
      <c r="E53" s="361"/>
      <c r="F53" s="361"/>
      <c r="G53" s="361"/>
      <c r="H53" s="361"/>
      <c r="I53" s="361"/>
      <c r="J53" s="361"/>
      <c r="K53" s="361"/>
    </row>
    <row r="54" spans="1:11" ht="15.75" customHeight="1" x14ac:dyDescent="0.2">
      <c r="A54" s="361"/>
      <c r="B54" s="361"/>
      <c r="C54" s="361"/>
      <c r="D54" s="361"/>
      <c r="E54" s="361"/>
      <c r="F54" s="361"/>
      <c r="G54" s="361"/>
      <c r="H54" s="361"/>
      <c r="I54" s="361"/>
      <c r="J54" s="361"/>
      <c r="K54" s="361"/>
    </row>
    <row r="55" spans="1:11" ht="15.75" customHeight="1" x14ac:dyDescent="0.2">
      <c r="A55" s="361"/>
      <c r="B55" s="361"/>
      <c r="C55" s="361"/>
      <c r="D55" s="361"/>
      <c r="E55" s="361"/>
      <c r="F55" s="361"/>
      <c r="G55" s="361"/>
      <c r="H55" s="361"/>
      <c r="I55" s="361"/>
      <c r="J55" s="361"/>
      <c r="K55" s="361"/>
    </row>
    <row r="56" spans="1:11" ht="15.75" customHeight="1" x14ac:dyDescent="0.2">
      <c r="A56" s="361"/>
      <c r="B56" s="361"/>
      <c r="C56" s="361"/>
      <c r="D56" s="361"/>
      <c r="E56" s="361"/>
      <c r="F56" s="361"/>
      <c r="G56" s="361"/>
      <c r="H56" s="361"/>
      <c r="I56" s="361"/>
      <c r="J56" s="361"/>
      <c r="K56" s="361"/>
    </row>
    <row r="57" spans="1:11" ht="15.75" customHeight="1" x14ac:dyDescent="0.2">
      <c r="A57" s="361"/>
      <c r="B57" s="361"/>
      <c r="C57" s="361"/>
      <c r="D57" s="361"/>
      <c r="E57" s="361"/>
      <c r="F57" s="361"/>
      <c r="G57" s="361"/>
      <c r="H57" s="361"/>
      <c r="I57" s="361"/>
      <c r="J57" s="361"/>
      <c r="K57" s="361"/>
    </row>
    <row r="58" spans="1:11" ht="15.75" customHeight="1" x14ac:dyDescent="0.2">
      <c r="A58" s="361"/>
      <c r="B58" s="361"/>
      <c r="C58" s="361"/>
      <c r="D58" s="361"/>
      <c r="E58" s="361"/>
      <c r="F58" s="361"/>
      <c r="G58" s="361"/>
      <c r="H58" s="361"/>
      <c r="I58" s="361"/>
      <c r="J58" s="361"/>
      <c r="K58" s="361"/>
    </row>
    <row r="59" spans="1:11" ht="15.75" customHeight="1" x14ac:dyDescent="0.2">
      <c r="A59" s="361"/>
      <c r="B59" s="361"/>
      <c r="C59" s="361"/>
      <c r="D59" s="361"/>
      <c r="E59" s="361"/>
      <c r="F59" s="361"/>
      <c r="G59" s="361"/>
      <c r="H59" s="361"/>
      <c r="I59" s="361"/>
      <c r="J59" s="361"/>
      <c r="K59" s="361"/>
    </row>
    <row r="60" spans="1:11" ht="15.75" customHeight="1" x14ac:dyDescent="0.2">
      <c r="A60" s="361"/>
      <c r="B60" s="361"/>
      <c r="C60" s="361"/>
      <c r="D60" s="361"/>
      <c r="E60" s="361"/>
      <c r="F60" s="361"/>
      <c r="G60" s="361"/>
      <c r="H60" s="361"/>
      <c r="I60" s="361"/>
      <c r="J60" s="361"/>
      <c r="K60" s="361"/>
    </row>
    <row r="61" spans="1:11" ht="15.75" customHeight="1" x14ac:dyDescent="0.2">
      <c r="A61" s="361"/>
      <c r="B61" s="361"/>
      <c r="C61" s="361"/>
      <c r="D61" s="361"/>
      <c r="E61" s="361"/>
      <c r="F61" s="361"/>
      <c r="G61" s="361"/>
      <c r="H61" s="361"/>
      <c r="I61" s="361"/>
      <c r="J61" s="361"/>
      <c r="K61" s="361"/>
    </row>
    <row r="62" spans="1:11" ht="15.75" customHeight="1" x14ac:dyDescent="0.2">
      <c r="A62" s="361"/>
      <c r="B62" s="361"/>
      <c r="C62" s="361"/>
      <c r="D62" s="361"/>
      <c r="E62" s="361"/>
      <c r="F62" s="361"/>
      <c r="G62" s="361"/>
      <c r="H62" s="361"/>
      <c r="I62" s="361"/>
      <c r="J62" s="361"/>
      <c r="K62" s="361"/>
    </row>
    <row r="63" spans="1:11" ht="15.75" customHeight="1" x14ac:dyDescent="0.2">
      <c r="A63" s="361"/>
      <c r="B63" s="361"/>
      <c r="C63" s="361"/>
      <c r="D63" s="361"/>
      <c r="E63" s="361"/>
      <c r="F63" s="361"/>
      <c r="G63" s="361"/>
      <c r="H63" s="361"/>
      <c r="I63" s="361"/>
      <c r="J63" s="361"/>
      <c r="K63" s="361"/>
    </row>
    <row r="64" spans="1:11" ht="15.75" customHeight="1" x14ac:dyDescent="0.2">
      <c r="A64" s="361"/>
      <c r="B64" s="361"/>
      <c r="C64" s="361"/>
      <c r="D64" s="361"/>
      <c r="E64" s="361"/>
      <c r="F64" s="361"/>
      <c r="G64" s="361"/>
      <c r="H64" s="361"/>
      <c r="I64" s="361"/>
      <c r="J64" s="361"/>
      <c r="K64" s="361"/>
    </row>
    <row r="65" spans="1:11" ht="15.75" customHeight="1" x14ac:dyDescent="0.2">
      <c r="A65" s="361"/>
      <c r="B65" s="361"/>
      <c r="C65" s="361"/>
      <c r="D65" s="361"/>
      <c r="E65" s="361"/>
      <c r="F65" s="361"/>
      <c r="G65" s="361"/>
      <c r="H65" s="361"/>
      <c r="I65" s="361"/>
      <c r="J65" s="361"/>
      <c r="K65" s="361"/>
    </row>
    <row r="66" spans="1:11" ht="15.75" customHeight="1" x14ac:dyDescent="0.2">
      <c r="A66" s="361"/>
      <c r="B66" s="361"/>
      <c r="C66" s="361"/>
      <c r="D66" s="361"/>
      <c r="E66" s="361"/>
      <c r="F66" s="361"/>
      <c r="G66" s="361"/>
      <c r="H66" s="361"/>
      <c r="I66" s="361"/>
      <c r="J66" s="361"/>
      <c r="K66" s="361"/>
    </row>
    <row r="67" spans="1:11" ht="15.75" customHeight="1" x14ac:dyDescent="0.2">
      <c r="A67" s="361"/>
      <c r="B67" s="361"/>
      <c r="C67" s="361"/>
      <c r="D67" s="361"/>
      <c r="E67" s="361"/>
      <c r="F67" s="361"/>
      <c r="G67" s="361"/>
      <c r="H67" s="361"/>
      <c r="I67" s="361"/>
      <c r="J67" s="361"/>
      <c r="K67" s="361"/>
    </row>
    <row r="68" spans="1:11" ht="15.75" customHeight="1" x14ac:dyDescent="0.2">
      <c r="A68" s="361"/>
      <c r="B68" s="361"/>
      <c r="C68" s="361"/>
      <c r="D68" s="361"/>
      <c r="E68" s="361"/>
      <c r="F68" s="361"/>
      <c r="G68" s="361"/>
      <c r="H68" s="361"/>
      <c r="I68" s="361"/>
      <c r="J68" s="361"/>
      <c r="K68" s="361"/>
    </row>
    <row r="69" spans="1:11" ht="15.75" customHeight="1" x14ac:dyDescent="0.2">
      <c r="A69" s="361"/>
      <c r="B69" s="361"/>
      <c r="C69" s="361"/>
      <c r="D69" s="361"/>
      <c r="E69" s="361"/>
      <c r="F69" s="361"/>
      <c r="G69" s="361"/>
      <c r="H69" s="361"/>
      <c r="I69" s="361"/>
      <c r="J69" s="361"/>
      <c r="K69" s="361"/>
    </row>
    <row r="70" spans="1:11" ht="15.75" customHeight="1" x14ac:dyDescent="0.2">
      <c r="A70" s="361"/>
      <c r="B70" s="361"/>
      <c r="C70" s="361"/>
      <c r="D70" s="361"/>
      <c r="E70" s="361"/>
      <c r="F70" s="361"/>
      <c r="G70" s="361"/>
      <c r="H70" s="361"/>
      <c r="I70" s="361"/>
      <c r="J70" s="361"/>
      <c r="K70" s="361"/>
    </row>
    <row r="71" spans="1:11" ht="15.75" customHeight="1" x14ac:dyDescent="0.2">
      <c r="A71" s="361"/>
      <c r="B71" s="361"/>
      <c r="C71" s="361"/>
      <c r="D71" s="361"/>
      <c r="E71" s="361"/>
      <c r="F71" s="361"/>
      <c r="G71" s="361"/>
      <c r="H71" s="361"/>
      <c r="I71" s="361"/>
      <c r="J71" s="361"/>
      <c r="K71" s="361"/>
    </row>
    <row r="72" spans="1:11" ht="15.75" customHeight="1" x14ac:dyDescent="0.2">
      <c r="A72" s="361"/>
      <c r="B72" s="361"/>
      <c r="C72" s="361"/>
      <c r="D72" s="361"/>
      <c r="E72" s="361"/>
      <c r="F72" s="361"/>
      <c r="G72" s="361"/>
      <c r="H72" s="361"/>
      <c r="I72" s="361"/>
      <c r="J72" s="361"/>
      <c r="K72" s="361"/>
    </row>
    <row r="73" spans="1:11" ht="15.75" customHeight="1" x14ac:dyDescent="0.2">
      <c r="A73" s="361"/>
      <c r="B73" s="361"/>
      <c r="C73" s="361"/>
      <c r="D73" s="361"/>
      <c r="E73" s="361"/>
      <c r="F73" s="361"/>
      <c r="G73" s="361"/>
      <c r="H73" s="361"/>
      <c r="I73" s="361"/>
      <c r="J73" s="361"/>
      <c r="K73" s="361"/>
    </row>
    <row r="74" spans="1:11" ht="15.75" customHeight="1" x14ac:dyDescent="0.2">
      <c r="A74" s="361"/>
      <c r="B74" s="361"/>
      <c r="C74" s="361"/>
      <c r="D74" s="361"/>
      <c r="E74" s="361"/>
      <c r="F74" s="361"/>
      <c r="G74" s="361"/>
      <c r="H74" s="361"/>
      <c r="I74" s="361"/>
      <c r="J74" s="361"/>
      <c r="K74" s="361"/>
    </row>
    <row r="75" spans="1:11" ht="15.75" customHeight="1" x14ac:dyDescent="0.2">
      <c r="A75" s="361"/>
      <c r="B75" s="361"/>
      <c r="C75" s="361"/>
      <c r="D75" s="361"/>
      <c r="E75" s="361"/>
      <c r="F75" s="361"/>
      <c r="G75" s="361"/>
      <c r="H75" s="361"/>
      <c r="I75" s="361"/>
      <c r="J75" s="361"/>
      <c r="K75" s="361"/>
    </row>
    <row r="76" spans="1:11" ht="15.75" customHeight="1" x14ac:dyDescent="0.2">
      <c r="A76" s="361"/>
      <c r="B76" s="361"/>
      <c r="C76" s="361"/>
      <c r="D76" s="361"/>
      <c r="E76" s="361"/>
      <c r="F76" s="361"/>
      <c r="G76" s="361"/>
      <c r="H76" s="361"/>
      <c r="I76" s="361"/>
      <c r="J76" s="361"/>
      <c r="K76" s="361"/>
    </row>
    <row r="77" spans="1:11" ht="15.75" customHeight="1" x14ac:dyDescent="0.2">
      <c r="A77" s="361"/>
      <c r="B77" s="361"/>
      <c r="C77" s="361"/>
      <c r="D77" s="361"/>
      <c r="E77" s="361"/>
      <c r="F77" s="361"/>
      <c r="G77" s="361"/>
      <c r="H77" s="361"/>
      <c r="I77" s="361"/>
      <c r="J77" s="361"/>
      <c r="K77" s="361"/>
    </row>
    <row r="78" spans="1:11" ht="15.75" customHeight="1" x14ac:dyDescent="0.2">
      <c r="A78" s="361"/>
      <c r="B78" s="361"/>
      <c r="C78" s="361"/>
      <c r="D78" s="361"/>
      <c r="E78" s="361"/>
      <c r="F78" s="361"/>
      <c r="G78" s="361"/>
      <c r="H78" s="361"/>
      <c r="I78" s="361"/>
      <c r="J78" s="361"/>
      <c r="K78" s="361"/>
    </row>
    <row r="79" spans="1:11" ht="15.75" customHeight="1" x14ac:dyDescent="0.2">
      <c r="A79" s="361"/>
      <c r="B79" s="361"/>
      <c r="C79" s="361"/>
      <c r="D79" s="361"/>
      <c r="E79" s="361"/>
      <c r="F79" s="361"/>
      <c r="G79" s="361"/>
      <c r="H79" s="361"/>
      <c r="I79" s="361"/>
      <c r="J79" s="361"/>
      <c r="K79" s="361"/>
    </row>
    <row r="80" spans="1:11" ht="15.75" customHeight="1" x14ac:dyDescent="0.2">
      <c r="A80" s="361"/>
      <c r="B80" s="361"/>
      <c r="C80" s="361"/>
      <c r="D80" s="361"/>
      <c r="E80" s="361"/>
      <c r="F80" s="361"/>
      <c r="G80" s="361"/>
      <c r="H80" s="361"/>
      <c r="I80" s="361"/>
      <c r="J80" s="361"/>
      <c r="K80" s="361"/>
    </row>
    <row r="81" spans="1:11" ht="15.75" customHeight="1" x14ac:dyDescent="0.2">
      <c r="A81" s="361"/>
      <c r="B81" s="361"/>
      <c r="C81" s="361"/>
      <c r="D81" s="361"/>
      <c r="E81" s="361"/>
      <c r="F81" s="361"/>
      <c r="G81" s="361"/>
      <c r="H81" s="361"/>
      <c r="I81" s="361"/>
      <c r="J81" s="361"/>
      <c r="K81" s="361"/>
    </row>
    <row r="82" spans="1:11" ht="15.75" customHeight="1" x14ac:dyDescent="0.2">
      <c r="A82" s="361"/>
      <c r="B82" s="361"/>
      <c r="C82" s="361"/>
      <c r="D82" s="361"/>
      <c r="E82" s="361"/>
      <c r="F82" s="361"/>
      <c r="G82" s="361"/>
      <c r="H82" s="361"/>
      <c r="I82" s="361"/>
      <c r="J82" s="361"/>
      <c r="K82" s="361"/>
    </row>
    <row r="83" spans="1:11" ht="15.75" customHeight="1" x14ac:dyDescent="0.2">
      <c r="A83" s="361"/>
      <c r="B83" s="361"/>
      <c r="C83" s="361"/>
      <c r="D83" s="361"/>
      <c r="E83" s="361"/>
      <c r="F83" s="361"/>
      <c r="G83" s="361"/>
      <c r="H83" s="361"/>
      <c r="I83" s="361"/>
      <c r="J83" s="361"/>
      <c r="K83" s="361"/>
    </row>
    <row r="84" spans="1:11" ht="15.75" customHeight="1" x14ac:dyDescent="0.2">
      <c r="A84" s="361"/>
      <c r="B84" s="361"/>
      <c r="C84" s="361"/>
      <c r="D84" s="361"/>
      <c r="E84" s="361"/>
      <c r="F84" s="361"/>
      <c r="G84" s="361"/>
      <c r="H84" s="361"/>
      <c r="I84" s="361"/>
      <c r="J84" s="361"/>
      <c r="K84" s="361"/>
    </row>
    <row r="85" spans="1:11" ht="15.75" customHeight="1" x14ac:dyDescent="0.2">
      <c r="A85" s="361"/>
      <c r="B85" s="361"/>
      <c r="C85" s="361"/>
      <c r="D85" s="361"/>
      <c r="E85" s="361"/>
      <c r="F85" s="361"/>
      <c r="G85" s="361"/>
      <c r="H85" s="361"/>
      <c r="I85" s="361"/>
      <c r="J85" s="361"/>
      <c r="K85" s="361"/>
    </row>
    <row r="86" spans="1:11" ht="15.75" customHeight="1" x14ac:dyDescent="0.2">
      <c r="A86" s="361"/>
      <c r="B86" s="361"/>
      <c r="C86" s="361"/>
      <c r="D86" s="361"/>
      <c r="E86" s="361"/>
      <c r="F86" s="361"/>
      <c r="G86" s="361"/>
      <c r="H86" s="361"/>
      <c r="I86" s="361"/>
      <c r="J86" s="361"/>
      <c r="K86" s="361"/>
    </row>
    <row r="87" spans="1:11" ht="15.75" customHeight="1" x14ac:dyDescent="0.2">
      <c r="A87" s="361"/>
      <c r="B87" s="361"/>
      <c r="C87" s="361"/>
      <c r="D87" s="361"/>
      <c r="E87" s="361"/>
      <c r="F87" s="361"/>
      <c r="G87" s="361"/>
      <c r="H87" s="361"/>
      <c r="I87" s="361"/>
      <c r="J87" s="361"/>
      <c r="K87" s="361"/>
    </row>
    <row r="88" spans="1:11" ht="15.75" customHeight="1" x14ac:dyDescent="0.2">
      <c r="A88" s="361"/>
      <c r="B88" s="361"/>
      <c r="C88" s="361"/>
      <c r="D88" s="361"/>
      <c r="E88" s="361"/>
      <c r="F88" s="361"/>
      <c r="G88" s="361"/>
      <c r="H88" s="361"/>
      <c r="I88" s="361"/>
      <c r="J88" s="361"/>
      <c r="K88" s="361"/>
    </row>
    <row r="89" spans="1:11" ht="15.75" customHeight="1" x14ac:dyDescent="0.2">
      <c r="A89" s="361"/>
      <c r="B89" s="361"/>
      <c r="C89" s="361"/>
      <c r="D89" s="361"/>
      <c r="E89" s="361"/>
      <c r="F89" s="361"/>
      <c r="G89" s="361"/>
      <c r="H89" s="361"/>
      <c r="I89" s="361"/>
      <c r="J89" s="361"/>
      <c r="K89" s="361"/>
    </row>
    <row r="90" spans="1:11" ht="15.75" customHeight="1" x14ac:dyDescent="0.2">
      <c r="A90" s="361"/>
      <c r="B90" s="361"/>
      <c r="C90" s="361"/>
      <c r="D90" s="361"/>
      <c r="E90" s="361"/>
      <c r="F90" s="361"/>
      <c r="G90" s="361"/>
      <c r="H90" s="361"/>
      <c r="I90" s="361"/>
      <c r="J90" s="361"/>
      <c r="K90" s="361"/>
    </row>
    <row r="91" spans="1:11" ht="15.75" customHeight="1" x14ac:dyDescent="0.2">
      <c r="A91" s="361"/>
      <c r="B91" s="361"/>
      <c r="C91" s="361"/>
      <c r="D91" s="361"/>
      <c r="E91" s="361"/>
      <c r="F91" s="361"/>
      <c r="G91" s="361"/>
      <c r="H91" s="361"/>
      <c r="I91" s="361"/>
      <c r="J91" s="361"/>
      <c r="K91" s="361"/>
    </row>
    <row r="92" spans="1:11" ht="15.75" customHeight="1" x14ac:dyDescent="0.2">
      <c r="A92" s="361"/>
      <c r="B92" s="361"/>
      <c r="C92" s="361"/>
      <c r="D92" s="361"/>
      <c r="E92" s="361"/>
      <c r="F92" s="361"/>
      <c r="G92" s="361"/>
      <c r="H92" s="361"/>
      <c r="I92" s="361"/>
      <c r="J92" s="361"/>
      <c r="K92" s="361"/>
    </row>
    <row r="93" spans="1:11" ht="15.75" customHeight="1" x14ac:dyDescent="0.2">
      <c r="A93" s="361"/>
      <c r="B93" s="361"/>
      <c r="C93" s="361"/>
      <c r="D93" s="361"/>
      <c r="E93" s="361"/>
      <c r="F93" s="361"/>
      <c r="G93" s="361"/>
      <c r="H93" s="361"/>
      <c r="I93" s="361"/>
      <c r="J93" s="361"/>
      <c r="K93" s="361"/>
    </row>
    <row r="94" spans="1:11" ht="15.75" customHeight="1" x14ac:dyDescent="0.2">
      <c r="A94" s="361"/>
      <c r="B94" s="361"/>
      <c r="C94" s="361"/>
      <c r="D94" s="361"/>
      <c r="E94" s="361"/>
      <c r="F94" s="361"/>
      <c r="G94" s="361"/>
      <c r="H94" s="361"/>
      <c r="I94" s="361"/>
      <c r="J94" s="361"/>
      <c r="K94" s="361"/>
    </row>
    <row r="95" spans="1:11" ht="15.75" customHeight="1" x14ac:dyDescent="0.2">
      <c r="A95" s="361"/>
      <c r="B95" s="361"/>
      <c r="C95" s="361"/>
      <c r="D95" s="361"/>
      <c r="E95" s="361"/>
      <c r="F95" s="361"/>
      <c r="G95" s="361"/>
      <c r="H95" s="361"/>
      <c r="I95" s="361"/>
      <c r="J95" s="361"/>
      <c r="K95" s="361"/>
    </row>
    <row r="96" spans="1:11" ht="15.75" customHeight="1" x14ac:dyDescent="0.2">
      <c r="A96" s="361"/>
      <c r="B96" s="361"/>
      <c r="C96" s="361"/>
      <c r="D96" s="361"/>
      <c r="E96" s="361"/>
      <c r="F96" s="361"/>
      <c r="G96" s="361"/>
      <c r="H96" s="361"/>
      <c r="I96" s="361"/>
      <c r="J96" s="361"/>
      <c r="K96" s="361"/>
    </row>
    <row r="97" spans="1:11" ht="15.75" customHeight="1" x14ac:dyDescent="0.2">
      <c r="A97" s="361"/>
      <c r="B97" s="361"/>
      <c r="C97" s="361"/>
      <c r="D97" s="361"/>
      <c r="E97" s="361"/>
      <c r="F97" s="361"/>
      <c r="G97" s="361"/>
      <c r="H97" s="361"/>
      <c r="I97" s="361"/>
      <c r="J97" s="361"/>
      <c r="K97" s="361"/>
    </row>
    <row r="98" spans="1:11" ht="15.75" customHeight="1" x14ac:dyDescent="0.2">
      <c r="A98" s="361"/>
      <c r="B98" s="361"/>
      <c r="C98" s="361"/>
      <c r="D98" s="361"/>
      <c r="E98" s="361"/>
      <c r="F98" s="361"/>
      <c r="G98" s="361"/>
      <c r="H98" s="361"/>
      <c r="I98" s="361"/>
      <c r="J98" s="361"/>
      <c r="K98" s="361"/>
    </row>
    <row r="99" spans="1:11" ht="15.75" customHeight="1" x14ac:dyDescent="0.2">
      <c r="A99" s="361"/>
      <c r="B99" s="361"/>
      <c r="C99" s="361"/>
      <c r="D99" s="361"/>
      <c r="E99" s="361"/>
      <c r="F99" s="361"/>
      <c r="G99" s="361"/>
      <c r="H99" s="361"/>
      <c r="I99" s="361"/>
      <c r="J99" s="361"/>
      <c r="K99" s="361"/>
    </row>
    <row r="100" spans="1:11" ht="15.75" customHeight="1" x14ac:dyDescent="0.2">
      <c r="A100" s="361"/>
      <c r="B100" s="361"/>
      <c r="C100" s="361"/>
      <c r="D100" s="361"/>
      <c r="E100" s="361"/>
      <c r="F100" s="361"/>
      <c r="G100" s="361"/>
      <c r="H100" s="361"/>
      <c r="I100" s="361"/>
      <c r="J100" s="361"/>
      <c r="K100" s="361"/>
    </row>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8:D100"/>
  <sheetViews>
    <sheetView workbookViewId="0"/>
  </sheetViews>
  <sheetFormatPr defaultColWidth="14.390625" defaultRowHeight="15" customHeight="1" x14ac:dyDescent="0.2"/>
  <cols>
    <col min="1" max="1" width="16.54296875" customWidth="1"/>
    <col min="2" max="2" width="19.90625" customWidth="1"/>
    <col min="3" max="3" width="13.71875" customWidth="1"/>
    <col min="4" max="4" width="15.87109375" customWidth="1"/>
    <col min="5" max="6" width="8.7421875" customWidth="1"/>
  </cols>
  <sheetData>
    <row r="8" spans="1:2" ht="17.25" x14ac:dyDescent="0.2">
      <c r="A8" s="369" t="s">
        <v>232</v>
      </c>
      <c r="B8" s="369" t="s">
        <v>451</v>
      </c>
    </row>
    <row r="9" spans="1:2" ht="17.25" x14ac:dyDescent="0.2">
      <c r="A9" s="210" t="s">
        <v>234</v>
      </c>
      <c r="B9" s="370">
        <v>325000000</v>
      </c>
    </row>
    <row r="10" spans="1:2" ht="17.25" x14ac:dyDescent="0.2">
      <c r="A10" s="210" t="s">
        <v>235</v>
      </c>
      <c r="B10" s="370">
        <v>275000000</v>
      </c>
    </row>
    <row r="11" spans="1:2" ht="17.25" x14ac:dyDescent="0.2">
      <c r="A11" s="210" t="s">
        <v>236</v>
      </c>
      <c r="B11" s="370">
        <v>400000000</v>
      </c>
    </row>
    <row r="12" spans="1:2" ht="17.25" x14ac:dyDescent="0.2">
      <c r="A12" s="210" t="s">
        <v>237</v>
      </c>
      <c r="B12" s="370">
        <v>325000000</v>
      </c>
    </row>
    <row r="13" spans="1:2" ht="17.25" x14ac:dyDescent="0.2">
      <c r="A13" s="210" t="s">
        <v>238</v>
      </c>
      <c r="B13" s="370">
        <v>275000000</v>
      </c>
    </row>
    <row r="14" spans="1:2" ht="17.25" x14ac:dyDescent="0.2">
      <c r="A14" s="210" t="s">
        <v>239</v>
      </c>
      <c r="B14" s="370">
        <v>400000000</v>
      </c>
    </row>
    <row r="15" spans="1:2" ht="17.25" x14ac:dyDescent="0.2">
      <c r="A15" s="210" t="s">
        <v>240</v>
      </c>
      <c r="B15" s="370">
        <v>400000000</v>
      </c>
    </row>
    <row r="16" spans="1:2" ht="17.25" x14ac:dyDescent="0.2">
      <c r="A16" s="210" t="s">
        <v>241</v>
      </c>
      <c r="B16" s="370">
        <v>275000000</v>
      </c>
    </row>
    <row r="17" spans="1:4" ht="17.25" x14ac:dyDescent="0.2">
      <c r="A17" s="210" t="s">
        <v>242</v>
      </c>
      <c r="B17" s="370">
        <v>325000000</v>
      </c>
    </row>
    <row r="18" spans="1:4" ht="17.25" x14ac:dyDescent="0.2">
      <c r="A18" s="210" t="s">
        <v>243</v>
      </c>
      <c r="B18" s="370">
        <v>325000000</v>
      </c>
    </row>
    <row r="19" spans="1:4" ht="17.25" x14ac:dyDescent="0.2">
      <c r="A19" s="210" t="s">
        <v>244</v>
      </c>
      <c r="B19" s="370">
        <v>275000000</v>
      </c>
    </row>
    <row r="20" spans="1:4" ht="17.25" x14ac:dyDescent="0.2">
      <c r="A20" s="210" t="s">
        <v>245</v>
      </c>
      <c r="B20" s="370">
        <v>400000000</v>
      </c>
    </row>
    <row r="21" spans="1:4" ht="15.75" customHeight="1" x14ac:dyDescent="0.2">
      <c r="A21" s="371"/>
      <c r="B21" s="370">
        <v>4000000000</v>
      </c>
    </row>
    <row r="22" spans="1:4" ht="15.75" customHeight="1" x14ac:dyDescent="0.2">
      <c r="A22" s="372"/>
      <c r="B22" s="373"/>
    </row>
    <row r="23" spans="1:4" ht="15.75" customHeight="1" x14ac:dyDescent="0.2">
      <c r="A23" s="374" t="s">
        <v>452</v>
      </c>
    </row>
    <row r="24" spans="1:4" ht="15.75" customHeight="1" x14ac:dyDescent="0.2">
      <c r="A24" s="375" t="s">
        <v>232</v>
      </c>
      <c r="B24" s="375" t="s">
        <v>451</v>
      </c>
      <c r="C24" s="376" t="s">
        <v>453</v>
      </c>
      <c r="D24" s="375" t="s">
        <v>454</v>
      </c>
    </row>
    <row r="25" spans="1:4" ht="15.75" customHeight="1" x14ac:dyDescent="0.2">
      <c r="A25" s="377" t="s">
        <v>234</v>
      </c>
      <c r="B25" s="378">
        <v>325000000</v>
      </c>
      <c r="C25" s="379">
        <v>5.0000000000000001E-3</v>
      </c>
      <c r="D25" s="380">
        <f t="shared" ref="D25:D36" si="0">B25*C25</f>
        <v>1625000</v>
      </c>
    </row>
    <row r="26" spans="1:4" ht="15.75" customHeight="1" x14ac:dyDescent="0.2">
      <c r="A26" s="377" t="s">
        <v>235</v>
      </c>
      <c r="B26" s="378">
        <v>275000000</v>
      </c>
      <c r="C26" s="379">
        <v>5.0000000000000001E-3</v>
      </c>
      <c r="D26" s="380">
        <f t="shared" si="0"/>
        <v>1375000</v>
      </c>
    </row>
    <row r="27" spans="1:4" ht="15.75" customHeight="1" x14ac:dyDescent="0.2">
      <c r="A27" s="377" t="s">
        <v>236</v>
      </c>
      <c r="B27" s="378">
        <v>400000000</v>
      </c>
      <c r="C27" s="379">
        <v>5.0000000000000001E-3</v>
      </c>
      <c r="D27" s="380">
        <f t="shared" si="0"/>
        <v>2000000</v>
      </c>
    </row>
    <row r="28" spans="1:4" ht="15.75" customHeight="1" x14ac:dyDescent="0.2">
      <c r="A28" s="377" t="s">
        <v>237</v>
      </c>
      <c r="B28" s="378">
        <v>325000000</v>
      </c>
      <c r="C28" s="379">
        <v>5.0000000000000001E-3</v>
      </c>
      <c r="D28" s="380">
        <f t="shared" si="0"/>
        <v>1625000</v>
      </c>
    </row>
    <row r="29" spans="1:4" ht="15.75" customHeight="1" x14ac:dyDescent="0.2">
      <c r="A29" s="377" t="s">
        <v>238</v>
      </c>
      <c r="B29" s="378">
        <v>275000000</v>
      </c>
      <c r="C29" s="379">
        <v>5.0000000000000001E-3</v>
      </c>
      <c r="D29" s="380">
        <f t="shared" si="0"/>
        <v>1375000</v>
      </c>
    </row>
    <row r="30" spans="1:4" ht="15.75" customHeight="1" x14ac:dyDescent="0.2">
      <c r="A30" s="377" t="s">
        <v>239</v>
      </c>
      <c r="B30" s="378">
        <v>400000000</v>
      </c>
      <c r="C30" s="379">
        <v>5.0000000000000001E-3</v>
      </c>
      <c r="D30" s="380">
        <f t="shared" si="0"/>
        <v>2000000</v>
      </c>
    </row>
    <row r="31" spans="1:4" ht="15.75" customHeight="1" x14ac:dyDescent="0.2">
      <c r="A31" s="377" t="s">
        <v>240</v>
      </c>
      <c r="B31" s="378">
        <v>400000000</v>
      </c>
      <c r="C31" s="379">
        <v>5.0000000000000001E-3</v>
      </c>
      <c r="D31" s="380">
        <f t="shared" si="0"/>
        <v>2000000</v>
      </c>
    </row>
    <row r="32" spans="1:4" ht="15.75" customHeight="1" x14ac:dyDescent="0.2">
      <c r="A32" s="377" t="s">
        <v>241</v>
      </c>
      <c r="B32" s="378">
        <v>275000000</v>
      </c>
      <c r="C32" s="379">
        <v>5.0000000000000001E-3</v>
      </c>
      <c r="D32" s="380">
        <f t="shared" si="0"/>
        <v>1375000</v>
      </c>
    </row>
    <row r="33" spans="1:4" ht="15.75" customHeight="1" x14ac:dyDescent="0.2">
      <c r="A33" s="377" t="s">
        <v>242</v>
      </c>
      <c r="B33" s="378">
        <v>325000000</v>
      </c>
      <c r="C33" s="379">
        <v>5.0000000000000001E-3</v>
      </c>
      <c r="D33" s="380">
        <f t="shared" si="0"/>
        <v>1625000</v>
      </c>
    </row>
    <row r="34" spans="1:4" ht="15.75" customHeight="1" x14ac:dyDescent="0.2">
      <c r="A34" s="377" t="s">
        <v>243</v>
      </c>
      <c r="B34" s="378">
        <v>325000000</v>
      </c>
      <c r="C34" s="379">
        <v>5.0000000000000001E-3</v>
      </c>
      <c r="D34" s="380">
        <f t="shared" si="0"/>
        <v>1625000</v>
      </c>
    </row>
    <row r="35" spans="1:4" ht="15.75" customHeight="1" x14ac:dyDescent="0.2">
      <c r="A35" s="377" t="s">
        <v>244</v>
      </c>
      <c r="B35" s="378">
        <v>275000000</v>
      </c>
      <c r="C35" s="379">
        <v>5.0000000000000001E-3</v>
      </c>
      <c r="D35" s="380">
        <f t="shared" si="0"/>
        <v>1375000</v>
      </c>
    </row>
    <row r="36" spans="1:4" ht="15.75" customHeight="1" x14ac:dyDescent="0.2">
      <c r="A36" s="377" t="s">
        <v>245</v>
      </c>
      <c r="B36" s="378">
        <v>400000000</v>
      </c>
      <c r="C36" s="379">
        <v>5.0000000000000001E-3</v>
      </c>
      <c r="D36" s="380">
        <f t="shared" si="0"/>
        <v>2000000</v>
      </c>
    </row>
    <row r="37" spans="1:4" ht="15.75" customHeight="1" x14ac:dyDescent="0.2">
      <c r="A37" s="377" t="s">
        <v>155</v>
      </c>
      <c r="B37" s="378">
        <v>4000000000</v>
      </c>
      <c r="C37" s="379">
        <v>5.0000000000000001E-3</v>
      </c>
      <c r="D37" s="380">
        <f>SUM(D25:D36)</f>
        <v>20000000</v>
      </c>
    </row>
    <row r="38" spans="1:4" ht="15.75" customHeight="1" x14ac:dyDescent="0.2">
      <c r="D38" s="16"/>
    </row>
    <row r="39" spans="1:4" ht="15.75" customHeight="1" x14ac:dyDescent="0.2"/>
    <row r="40" spans="1:4" ht="15.75" customHeight="1" x14ac:dyDescent="0.2"/>
    <row r="41" spans="1:4" ht="15.75" customHeight="1" x14ac:dyDescent="0.2"/>
    <row r="42" spans="1:4" ht="15.75" customHeight="1" x14ac:dyDescent="0.2"/>
    <row r="43" spans="1:4" ht="15.75" customHeight="1" x14ac:dyDescent="0.2"/>
    <row r="44" spans="1:4" ht="15.75" customHeight="1" x14ac:dyDescent="0.2"/>
    <row r="45" spans="1:4" ht="15.75" customHeight="1" x14ac:dyDescent="0.2"/>
    <row r="46" spans="1:4" ht="15.75" customHeight="1" x14ac:dyDescent="0.2"/>
    <row r="47" spans="1:4" ht="15.75" customHeight="1" x14ac:dyDescent="0.2"/>
    <row r="48" spans="1: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4:B100"/>
  <sheetViews>
    <sheetView workbookViewId="0"/>
  </sheetViews>
  <sheetFormatPr defaultColWidth="14.390625" defaultRowHeight="15" customHeight="1" x14ac:dyDescent="0.2"/>
  <cols>
    <col min="1" max="1" width="24.88671875" customWidth="1"/>
    <col min="2" max="2" width="25.2890625" customWidth="1"/>
    <col min="3" max="3" width="19.234375" customWidth="1"/>
    <col min="4" max="6" width="8.7421875" customWidth="1"/>
  </cols>
  <sheetData>
    <row r="4" spans="1:2" ht="15" customHeight="1" x14ac:dyDescent="0.25">
      <c r="A4" s="476" t="s">
        <v>455</v>
      </c>
      <c r="B4" s="474"/>
    </row>
    <row r="5" spans="1:2" ht="30" customHeight="1" x14ac:dyDescent="0.25">
      <c r="A5" s="477" t="s">
        <v>456</v>
      </c>
      <c r="B5" s="478"/>
    </row>
    <row r="6" spans="1:2" ht="30" customHeight="1" x14ac:dyDescent="0.25">
      <c r="A6" s="476" t="s">
        <v>457</v>
      </c>
      <c r="B6" s="474"/>
    </row>
    <row r="7" spans="1:2" ht="17.25" x14ac:dyDescent="0.25">
      <c r="A7" s="381" t="s">
        <v>63</v>
      </c>
      <c r="B7" s="382">
        <v>40000000000</v>
      </c>
    </row>
    <row r="8" spans="1:2" ht="17.25" x14ac:dyDescent="0.25">
      <c r="A8" s="383" t="s">
        <v>458</v>
      </c>
      <c r="B8" s="384">
        <v>25000000000</v>
      </c>
    </row>
    <row r="9" spans="1:2" ht="17.25" x14ac:dyDescent="0.25">
      <c r="A9" s="385" t="s">
        <v>91</v>
      </c>
      <c r="B9" s="384">
        <v>15000000000</v>
      </c>
    </row>
    <row r="10" spans="1:2" ht="17.25" x14ac:dyDescent="0.25">
      <c r="A10" s="381" t="s">
        <v>459</v>
      </c>
      <c r="B10" s="386"/>
    </row>
    <row r="11" spans="1:2" ht="17.25" x14ac:dyDescent="0.25">
      <c r="A11" s="385" t="s">
        <v>27</v>
      </c>
      <c r="B11" s="384">
        <v>2000000000</v>
      </c>
    </row>
    <row r="12" spans="1:2" ht="17.25" x14ac:dyDescent="0.25">
      <c r="A12" s="385" t="s">
        <v>460</v>
      </c>
      <c r="B12" s="384">
        <v>500000000</v>
      </c>
    </row>
    <row r="13" spans="1:2" ht="17.25" x14ac:dyDescent="0.25">
      <c r="A13" s="385" t="s">
        <v>461</v>
      </c>
      <c r="B13" s="384">
        <v>500000000</v>
      </c>
    </row>
    <row r="14" spans="1:2" ht="17.25" x14ac:dyDescent="0.25">
      <c r="A14" s="385" t="s">
        <v>462</v>
      </c>
      <c r="B14" s="384">
        <v>2900000000</v>
      </c>
    </row>
    <row r="15" spans="1:2" ht="17.25" x14ac:dyDescent="0.25">
      <c r="A15" s="387" t="s">
        <v>463</v>
      </c>
      <c r="B15" s="384">
        <v>1000000000</v>
      </c>
    </row>
    <row r="16" spans="1:2" ht="17.25" x14ac:dyDescent="0.25">
      <c r="A16" s="385" t="s">
        <v>464</v>
      </c>
      <c r="B16" s="384">
        <v>100000000</v>
      </c>
    </row>
    <row r="17" spans="1:2" ht="17.25" x14ac:dyDescent="0.25">
      <c r="A17" s="385" t="s">
        <v>98</v>
      </c>
      <c r="B17" s="384">
        <v>7000000000</v>
      </c>
    </row>
    <row r="18" spans="1:2" ht="17.25" x14ac:dyDescent="0.25">
      <c r="A18" s="381" t="s">
        <v>99</v>
      </c>
      <c r="B18" s="382">
        <v>8000000000</v>
      </c>
    </row>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spans="1:2" ht="15.75" customHeight="1" x14ac:dyDescent="0.2"/>
    <row r="34" spans="1:2" ht="15.75" customHeight="1" x14ac:dyDescent="0.2"/>
    <row r="35" spans="1:2" ht="15.75" customHeight="1" x14ac:dyDescent="0.2">
      <c r="A35" s="388" t="s">
        <v>465</v>
      </c>
      <c r="B35" s="389"/>
    </row>
    <row r="36" spans="1:2" ht="15.75" customHeight="1" x14ac:dyDescent="0.2">
      <c r="A36" s="390" t="s">
        <v>466</v>
      </c>
      <c r="B36" s="391"/>
    </row>
    <row r="37" spans="1:2" ht="15.75" customHeight="1" x14ac:dyDescent="0.2">
      <c r="A37" s="237" t="s">
        <v>467</v>
      </c>
      <c r="B37" s="392">
        <v>40000000000</v>
      </c>
    </row>
    <row r="38" spans="1:2" ht="15.75" customHeight="1" x14ac:dyDescent="0.2">
      <c r="A38" s="237" t="s">
        <v>421</v>
      </c>
      <c r="B38" s="392">
        <v>8000000000</v>
      </c>
    </row>
    <row r="39" spans="1:2" ht="15.75" customHeight="1" x14ac:dyDescent="0.2">
      <c r="A39" s="393" t="s">
        <v>468</v>
      </c>
      <c r="B39" s="392">
        <f>(4800000000/B37)*B38</f>
        <v>960000000</v>
      </c>
    </row>
    <row r="40" spans="1:2" ht="15.75" customHeight="1" x14ac:dyDescent="0.2"/>
    <row r="41" spans="1:2" ht="15.75" customHeight="1" x14ac:dyDescent="0.2">
      <c r="A41" s="393" t="s">
        <v>469</v>
      </c>
      <c r="B41" s="394">
        <f>B38-B39</f>
        <v>7040000000</v>
      </c>
    </row>
    <row r="42" spans="1:2" ht="15.75" customHeight="1" x14ac:dyDescent="0.2"/>
    <row r="43" spans="1:2" ht="15.75" customHeight="1" x14ac:dyDescent="0.2">
      <c r="A43" s="395" t="s">
        <v>470</v>
      </c>
      <c r="B43" s="389"/>
    </row>
    <row r="44" spans="1:2" ht="15.75" customHeight="1" x14ac:dyDescent="0.2">
      <c r="A44" s="396" t="s">
        <v>471</v>
      </c>
      <c r="B44" s="389"/>
    </row>
    <row r="45" spans="1:2" ht="15.75" customHeight="1" x14ac:dyDescent="0.2">
      <c r="A45" s="193" t="s">
        <v>472</v>
      </c>
      <c r="B45" s="397">
        <v>0.22</v>
      </c>
    </row>
    <row r="46" spans="1:2" ht="15.75" customHeight="1" x14ac:dyDescent="0.2">
      <c r="A46" s="396" t="s">
        <v>468</v>
      </c>
      <c r="B46" s="394">
        <f>50%*B45*B39</f>
        <v>105600000</v>
      </c>
    </row>
    <row r="47" spans="1:2" ht="15.75" customHeight="1" x14ac:dyDescent="0.2">
      <c r="A47" s="396" t="s">
        <v>473</v>
      </c>
      <c r="B47" s="394">
        <f>B39*B45</f>
        <v>211200000</v>
      </c>
    </row>
    <row r="48" spans="1:2" ht="15.75" customHeight="1" x14ac:dyDescent="0.2">
      <c r="A48" s="398" t="s">
        <v>474</v>
      </c>
      <c r="B48" s="394">
        <f>B46+B47</f>
        <v>316800000</v>
      </c>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mergeCells count="3">
    <mergeCell ref="A4:B4"/>
    <mergeCell ref="A5:B5"/>
    <mergeCell ref="A6:B6"/>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9966"/>
  </sheetPr>
  <dimension ref="A21:B100"/>
  <sheetViews>
    <sheetView workbookViewId="0"/>
  </sheetViews>
  <sheetFormatPr defaultColWidth="14.390625" defaultRowHeight="15" customHeight="1" x14ac:dyDescent="0.2"/>
  <cols>
    <col min="1" max="1" width="18.96484375" customWidth="1"/>
    <col min="2" max="6" width="8.742187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spans="1:2" ht="15.75" customHeight="1" x14ac:dyDescent="0.2"/>
    <row r="50" spans="1:2" ht="15.75" customHeight="1" x14ac:dyDescent="0.2"/>
    <row r="51" spans="1:2" ht="15.75" customHeight="1" x14ac:dyDescent="0.2"/>
    <row r="52" spans="1:2" ht="15.75" customHeight="1" x14ac:dyDescent="0.2"/>
    <row r="53" spans="1:2" ht="15.75" customHeight="1" x14ac:dyDescent="0.2"/>
    <row r="54" spans="1:2" ht="15.75" customHeight="1" x14ac:dyDescent="0.2">
      <c r="A54" s="193" t="s">
        <v>475</v>
      </c>
      <c r="B54" s="399">
        <v>0.7</v>
      </c>
    </row>
    <row r="55" spans="1:2" ht="15.75" customHeight="1" x14ac:dyDescent="0.2">
      <c r="A55" s="193" t="s">
        <v>476</v>
      </c>
      <c r="B55" s="399">
        <v>0.6</v>
      </c>
    </row>
    <row r="56" spans="1:2" ht="15.75" customHeight="1" x14ac:dyDescent="0.2">
      <c r="A56" s="396" t="s">
        <v>477</v>
      </c>
      <c r="B56" s="399">
        <v>0.15</v>
      </c>
    </row>
    <row r="57" spans="1:2" ht="15.75" customHeight="1" x14ac:dyDescent="0.2">
      <c r="A57" s="193" t="s">
        <v>478</v>
      </c>
      <c r="B57" s="397">
        <f>(B56/(B54*B55))</f>
        <v>0.35714285714285715</v>
      </c>
    </row>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sheetData>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00"/>
  <sheetViews>
    <sheetView workbookViewId="0"/>
  </sheetViews>
  <sheetFormatPr defaultColWidth="14.390625" defaultRowHeight="15" customHeight="1" x14ac:dyDescent="0.2"/>
  <cols>
    <col min="1" max="1" width="31.34375" customWidth="1"/>
    <col min="2" max="2" width="17.75390625" customWidth="1"/>
    <col min="3" max="3" width="20.71484375" customWidth="1"/>
    <col min="4" max="4" width="17.75390625" customWidth="1"/>
    <col min="5" max="5" width="13.1796875" customWidth="1"/>
    <col min="6" max="6" width="29.7265625" customWidth="1"/>
    <col min="7" max="7" width="11.56640625" customWidth="1"/>
    <col min="8" max="11" width="17.75390625" customWidth="1"/>
  </cols>
  <sheetData>
    <row r="1" spans="1:11" ht="15.75" customHeight="1" x14ac:dyDescent="0.2">
      <c r="A1" s="400"/>
      <c r="B1" s="401"/>
      <c r="C1" s="402"/>
      <c r="D1" s="400"/>
      <c r="E1" s="400"/>
      <c r="F1" s="400"/>
      <c r="G1" s="400"/>
      <c r="H1" s="400"/>
      <c r="I1" s="400"/>
      <c r="J1" s="400"/>
      <c r="K1" s="400"/>
    </row>
    <row r="2" spans="1:11" ht="15.75" customHeight="1" x14ac:dyDescent="0.2">
      <c r="A2" s="403" t="s">
        <v>479</v>
      </c>
      <c r="B2" s="404" t="s">
        <v>480</v>
      </c>
      <c r="C2" s="404" t="s">
        <v>481</v>
      </c>
      <c r="D2" s="400"/>
      <c r="E2" s="479"/>
      <c r="F2" s="426"/>
      <c r="G2" s="426"/>
      <c r="H2" s="426"/>
      <c r="I2" s="426"/>
      <c r="J2" s="400"/>
      <c r="K2" s="400"/>
    </row>
    <row r="3" spans="1:11" ht="23.25" customHeight="1" x14ac:dyDescent="0.2">
      <c r="A3" s="403" t="s">
        <v>482</v>
      </c>
      <c r="B3" s="405">
        <v>5000000</v>
      </c>
      <c r="C3" s="406">
        <f>B3-$I$8</f>
        <v>3000000</v>
      </c>
      <c r="D3" s="400"/>
      <c r="E3" s="480" t="s">
        <v>483</v>
      </c>
      <c r="F3" s="481"/>
      <c r="G3" s="481"/>
      <c r="H3" s="481"/>
      <c r="I3" s="482"/>
      <c r="J3" s="400"/>
      <c r="K3" s="400"/>
    </row>
    <row r="4" spans="1:11" ht="15.75" customHeight="1" x14ac:dyDescent="0.2">
      <c r="A4" s="403" t="s">
        <v>484</v>
      </c>
      <c r="B4" s="405"/>
      <c r="C4" s="405"/>
      <c r="D4" s="400"/>
      <c r="E4" s="407" t="s">
        <v>3</v>
      </c>
      <c r="F4" s="407" t="s">
        <v>485</v>
      </c>
      <c r="G4" s="407" t="s">
        <v>189</v>
      </c>
      <c r="H4" s="407" t="s">
        <v>33</v>
      </c>
      <c r="I4" s="407" t="s">
        <v>34</v>
      </c>
      <c r="J4" s="408"/>
      <c r="K4" s="400"/>
    </row>
    <row r="5" spans="1:11" ht="15.75" customHeight="1" x14ac:dyDescent="0.2">
      <c r="A5" s="403" t="s">
        <v>486</v>
      </c>
      <c r="B5" s="405">
        <v>30000000</v>
      </c>
      <c r="C5" s="405">
        <f t="shared" ref="C5:C7" si="0">B5</f>
        <v>30000000</v>
      </c>
      <c r="D5" s="400"/>
      <c r="E5" s="409"/>
      <c r="F5" s="409"/>
      <c r="G5" s="409"/>
      <c r="H5" s="409"/>
      <c r="I5" s="409"/>
      <c r="J5" s="400"/>
      <c r="K5" s="400"/>
    </row>
    <row r="6" spans="1:11" ht="15.75" customHeight="1" x14ac:dyDescent="0.2">
      <c r="A6" s="403" t="s">
        <v>487</v>
      </c>
      <c r="B6" s="405">
        <v>25000000</v>
      </c>
      <c r="C6" s="405">
        <f t="shared" si="0"/>
        <v>25000000</v>
      </c>
      <c r="D6" s="400"/>
      <c r="E6" s="410"/>
      <c r="F6" s="410" t="s">
        <v>148</v>
      </c>
      <c r="G6" s="410"/>
      <c r="H6" s="411">
        <v>7000000</v>
      </c>
      <c r="I6" s="410"/>
      <c r="J6" s="400"/>
      <c r="K6" s="400"/>
    </row>
    <row r="7" spans="1:11" ht="15.75" customHeight="1" x14ac:dyDescent="0.2">
      <c r="A7" s="403" t="s">
        <v>488</v>
      </c>
      <c r="B7" s="405">
        <v>10000000</v>
      </c>
      <c r="C7" s="405">
        <f t="shared" si="0"/>
        <v>10000000</v>
      </c>
      <c r="D7" s="400"/>
      <c r="E7" s="410"/>
      <c r="F7" s="410" t="s">
        <v>489</v>
      </c>
      <c r="G7" s="410"/>
      <c r="H7" s="410"/>
      <c r="I7" s="411">
        <v>5000000</v>
      </c>
      <c r="J7" s="400"/>
      <c r="K7" s="400"/>
    </row>
    <row r="8" spans="1:11" ht="15.75" customHeight="1" x14ac:dyDescent="0.2">
      <c r="A8" s="403" t="s">
        <v>490</v>
      </c>
      <c r="B8" s="405"/>
      <c r="C8" s="405"/>
      <c r="D8" s="400"/>
      <c r="E8" s="410"/>
      <c r="F8" s="410" t="s">
        <v>482</v>
      </c>
      <c r="G8" s="410"/>
      <c r="H8" s="410"/>
      <c r="I8" s="411">
        <v>2000000</v>
      </c>
      <c r="J8" s="400"/>
      <c r="K8" s="400"/>
    </row>
    <row r="9" spans="1:11" ht="15.75" customHeight="1" x14ac:dyDescent="0.2">
      <c r="A9" s="403" t="s">
        <v>486</v>
      </c>
      <c r="B9" s="405">
        <v>10000000</v>
      </c>
      <c r="C9" s="405">
        <f>B9</f>
        <v>10000000</v>
      </c>
      <c r="D9" s="400"/>
      <c r="E9" s="410"/>
      <c r="F9" s="412"/>
      <c r="G9" s="410"/>
      <c r="H9" s="410"/>
      <c r="I9" s="410"/>
      <c r="J9" s="400"/>
      <c r="K9" s="400"/>
    </row>
    <row r="10" spans="1:11" ht="15.75" customHeight="1" x14ac:dyDescent="0.2">
      <c r="A10" s="413" t="s">
        <v>491</v>
      </c>
      <c r="B10" s="405">
        <f t="shared" ref="B10:C10" si="1">SUM(B2:B9)</f>
        <v>80000000</v>
      </c>
      <c r="C10" s="405">
        <f t="shared" si="1"/>
        <v>78000000</v>
      </c>
      <c r="D10" s="400"/>
      <c r="E10" s="410"/>
      <c r="F10" s="410" t="s">
        <v>11</v>
      </c>
      <c r="G10" s="410"/>
      <c r="H10" s="411">
        <v>10000000</v>
      </c>
      <c r="I10" s="410"/>
      <c r="J10" s="400"/>
      <c r="K10" s="400"/>
    </row>
    <row r="11" spans="1:11" ht="15.75" customHeight="1" x14ac:dyDescent="0.2">
      <c r="A11" s="403" t="s">
        <v>492</v>
      </c>
      <c r="B11" s="405">
        <v>20000000</v>
      </c>
      <c r="C11" s="405">
        <f>B11+H10</f>
        <v>30000000</v>
      </c>
      <c r="D11" s="400"/>
      <c r="E11" s="410"/>
      <c r="F11" s="410" t="s">
        <v>25</v>
      </c>
      <c r="G11" s="410"/>
      <c r="H11" s="410"/>
      <c r="I11" s="411">
        <v>10000000</v>
      </c>
      <c r="J11" s="400"/>
      <c r="K11" s="400"/>
    </row>
    <row r="12" spans="1:11" ht="15.75" customHeight="1" x14ac:dyDescent="0.2">
      <c r="A12" s="403" t="s">
        <v>493</v>
      </c>
      <c r="B12" s="405">
        <v>25000000</v>
      </c>
      <c r="C12" s="405">
        <f t="shared" ref="C12:C13" si="2">B12</f>
        <v>25000000</v>
      </c>
      <c r="D12" s="400"/>
      <c r="E12" s="410"/>
      <c r="F12" s="410"/>
      <c r="G12" s="410"/>
      <c r="H12" s="410"/>
      <c r="I12" s="410"/>
      <c r="J12" s="400"/>
      <c r="K12" s="400"/>
    </row>
    <row r="13" spans="1:11" ht="15.75" customHeight="1" x14ac:dyDescent="0.2">
      <c r="A13" s="403" t="s">
        <v>494</v>
      </c>
      <c r="B13" s="405">
        <v>80000000</v>
      </c>
      <c r="C13" s="405">
        <f t="shared" si="2"/>
        <v>80000000</v>
      </c>
      <c r="D13" s="400"/>
      <c r="E13" s="410"/>
      <c r="F13" s="410" t="s">
        <v>495</v>
      </c>
      <c r="G13" s="410"/>
      <c r="H13" s="411">
        <v>5000000</v>
      </c>
      <c r="I13" s="410"/>
      <c r="J13" s="400"/>
      <c r="K13" s="400"/>
    </row>
    <row r="14" spans="1:11" ht="15.75" customHeight="1" x14ac:dyDescent="0.2">
      <c r="A14" s="403" t="s">
        <v>496</v>
      </c>
      <c r="B14" s="405">
        <v>10000000</v>
      </c>
      <c r="C14" s="405">
        <f>B14+I14</f>
        <v>15000000</v>
      </c>
      <c r="D14" s="400"/>
      <c r="E14" s="410"/>
      <c r="F14" s="410" t="s">
        <v>58</v>
      </c>
      <c r="G14" s="410"/>
      <c r="H14" s="410"/>
      <c r="I14" s="411">
        <v>5000000</v>
      </c>
      <c r="J14" s="400"/>
      <c r="K14" s="400"/>
    </row>
    <row r="15" spans="1:11" ht="15.75" customHeight="1" x14ac:dyDescent="0.2">
      <c r="A15" s="413" t="s">
        <v>497</v>
      </c>
      <c r="B15" s="405">
        <f t="shared" ref="B15:C15" si="3">SUM(B10:B13)-B14</f>
        <v>195000000</v>
      </c>
      <c r="C15" s="405">
        <f t="shared" si="3"/>
        <v>198000000</v>
      </c>
      <c r="D15" s="400"/>
      <c r="J15" s="400"/>
      <c r="K15" s="400"/>
    </row>
    <row r="16" spans="1:11" ht="15.75" customHeight="1" x14ac:dyDescent="0.2">
      <c r="A16" s="414"/>
      <c r="B16" s="415"/>
      <c r="C16" s="406"/>
      <c r="D16" s="400"/>
      <c r="J16" s="400"/>
      <c r="K16" s="400"/>
    </row>
    <row r="17" spans="1:11" ht="15.75" customHeight="1" x14ac:dyDescent="0.2">
      <c r="A17" s="403" t="s">
        <v>498</v>
      </c>
      <c r="B17" s="405">
        <v>15000000</v>
      </c>
      <c r="C17" s="405">
        <f>B17+I7</f>
        <v>20000000</v>
      </c>
      <c r="D17" s="400"/>
      <c r="J17" s="400"/>
      <c r="K17" s="400"/>
    </row>
    <row r="18" spans="1:11" ht="15.75" customHeight="1" x14ac:dyDescent="0.2">
      <c r="A18" s="403"/>
      <c r="B18" s="405"/>
      <c r="C18" s="405"/>
      <c r="D18" s="400"/>
      <c r="J18" s="400"/>
      <c r="K18" s="400"/>
    </row>
    <row r="19" spans="1:11" ht="15.75" customHeight="1" x14ac:dyDescent="0.2">
      <c r="A19" s="403" t="s">
        <v>499</v>
      </c>
      <c r="B19" s="405"/>
      <c r="C19" s="406"/>
      <c r="D19" s="400"/>
      <c r="J19" s="400"/>
      <c r="K19" s="400"/>
    </row>
    <row r="20" spans="1:11" ht="15.75" customHeight="1" x14ac:dyDescent="0.2">
      <c r="A20" s="403" t="s">
        <v>500</v>
      </c>
      <c r="B20" s="405">
        <v>100000000</v>
      </c>
      <c r="C20" s="405">
        <f t="shared" ref="C20:C23" si="4">B20</f>
        <v>100000000</v>
      </c>
      <c r="D20" s="400"/>
      <c r="J20" s="400"/>
      <c r="K20" s="400"/>
    </row>
    <row r="21" spans="1:11" ht="15.75" customHeight="1" x14ac:dyDescent="0.2">
      <c r="A21" s="403" t="s">
        <v>501</v>
      </c>
      <c r="B21" s="405">
        <f>SUM(B22:B23)</f>
        <v>80000000</v>
      </c>
      <c r="C21" s="405">
        <f t="shared" si="4"/>
        <v>80000000</v>
      </c>
      <c r="D21" s="400"/>
      <c r="E21" s="400"/>
      <c r="F21" s="400"/>
      <c r="G21" s="400"/>
      <c r="H21" s="400"/>
      <c r="I21" s="400"/>
      <c r="J21" s="400"/>
      <c r="K21" s="400"/>
    </row>
    <row r="22" spans="1:11" ht="15.75" customHeight="1" x14ac:dyDescent="0.2">
      <c r="A22" s="403" t="s">
        <v>502</v>
      </c>
      <c r="B22" s="405">
        <v>60000000</v>
      </c>
      <c r="C22" s="405">
        <f t="shared" si="4"/>
        <v>60000000</v>
      </c>
      <c r="D22" s="400"/>
      <c r="E22" s="400"/>
      <c r="F22" s="400"/>
      <c r="G22" s="400"/>
      <c r="H22" s="400"/>
      <c r="I22" s="400"/>
      <c r="J22" s="400"/>
      <c r="K22" s="400"/>
    </row>
    <row r="23" spans="1:11" ht="15.75" customHeight="1" x14ac:dyDescent="0.2">
      <c r="A23" s="403" t="s">
        <v>503</v>
      </c>
      <c r="B23" s="405">
        <v>20000000</v>
      </c>
      <c r="C23" s="405">
        <f t="shared" si="4"/>
        <v>20000000</v>
      </c>
      <c r="D23" s="400"/>
      <c r="E23" s="400"/>
      <c r="F23" s="400"/>
      <c r="G23" s="400"/>
      <c r="H23" s="400"/>
      <c r="I23" s="400"/>
      <c r="J23" s="400"/>
      <c r="K23" s="400"/>
    </row>
    <row r="24" spans="1:11" ht="15.75" customHeight="1" x14ac:dyDescent="0.2">
      <c r="A24" s="413" t="s">
        <v>504</v>
      </c>
      <c r="B24" s="405">
        <f t="shared" ref="B24:C24" si="5">SUM(B20:B21,,B17)</f>
        <v>195000000</v>
      </c>
      <c r="C24" s="405">
        <f t="shared" si="5"/>
        <v>200000000</v>
      </c>
      <c r="D24" s="400"/>
      <c r="E24" s="400"/>
      <c r="F24" s="400"/>
      <c r="G24" s="400"/>
      <c r="H24" s="400"/>
      <c r="I24" s="400"/>
      <c r="J24" s="400"/>
      <c r="K24" s="400"/>
    </row>
    <row r="25" spans="1:11" ht="15.75" customHeight="1" x14ac:dyDescent="0.2">
      <c r="A25" s="403"/>
      <c r="B25" s="405"/>
      <c r="C25" s="405"/>
      <c r="D25" s="400"/>
      <c r="E25" s="400"/>
      <c r="F25" s="400"/>
      <c r="G25" s="400"/>
      <c r="H25" s="400"/>
      <c r="I25" s="400"/>
      <c r="J25" s="400"/>
      <c r="K25" s="400"/>
    </row>
    <row r="26" spans="1:11" ht="15.75" customHeight="1" x14ac:dyDescent="0.2">
      <c r="A26" s="367" t="s">
        <v>505</v>
      </c>
      <c r="B26" s="416">
        <v>120000000</v>
      </c>
      <c r="C26" s="417">
        <f>B26+I11</f>
        <v>130000000</v>
      </c>
      <c r="D26" s="400"/>
      <c r="E26" s="400"/>
      <c r="F26" s="400"/>
      <c r="G26" s="400"/>
      <c r="H26" s="400"/>
      <c r="I26" s="400"/>
      <c r="J26" s="400"/>
      <c r="K26" s="400"/>
    </row>
    <row r="27" spans="1:11" ht="15.75" customHeight="1" x14ac:dyDescent="0.2">
      <c r="A27" s="367" t="s">
        <v>506</v>
      </c>
      <c r="B27" s="416">
        <v>45000000</v>
      </c>
      <c r="C27" s="417">
        <f>B27+H6</f>
        <v>52000000</v>
      </c>
      <c r="D27" s="400"/>
      <c r="E27" s="400"/>
      <c r="F27" s="400"/>
      <c r="G27" s="400"/>
      <c r="H27" s="400"/>
      <c r="I27" s="400"/>
      <c r="J27" s="400"/>
      <c r="K27" s="400"/>
    </row>
    <row r="28" spans="1:11" ht="15.75" customHeight="1" x14ac:dyDescent="0.2">
      <c r="A28" s="367" t="s">
        <v>507</v>
      </c>
      <c r="B28" s="416">
        <v>5000000</v>
      </c>
      <c r="C28" s="417">
        <f>B28+H13</f>
        <v>10000000</v>
      </c>
      <c r="D28" s="400"/>
      <c r="E28" s="400"/>
      <c r="F28" s="400"/>
      <c r="G28" s="400"/>
      <c r="H28" s="400"/>
      <c r="I28" s="400"/>
      <c r="J28" s="400"/>
      <c r="K28" s="400"/>
    </row>
    <row r="29" spans="1:11" ht="15.75" customHeight="1" x14ac:dyDescent="0.2">
      <c r="A29" s="367" t="s">
        <v>508</v>
      </c>
      <c r="B29" s="416">
        <v>10000000</v>
      </c>
      <c r="C29" s="417">
        <f>B29</f>
        <v>10000000</v>
      </c>
      <c r="D29" s="400"/>
      <c r="E29" s="400"/>
      <c r="F29" s="400"/>
      <c r="G29" s="400"/>
      <c r="H29" s="400"/>
      <c r="I29" s="400"/>
      <c r="J29" s="400"/>
      <c r="K29" s="400"/>
    </row>
    <row r="30" spans="1:11" ht="15.75" customHeight="1" x14ac:dyDescent="0.2">
      <c r="A30" s="367" t="s">
        <v>509</v>
      </c>
      <c r="B30" s="416">
        <f t="shared" ref="B30:C30" si="6">B26-SUM(B27:B29)</f>
        <v>60000000</v>
      </c>
      <c r="C30" s="416">
        <f t="shared" si="6"/>
        <v>58000000</v>
      </c>
      <c r="D30" s="400"/>
      <c r="E30" s="400"/>
      <c r="F30" s="400"/>
      <c r="G30" s="400"/>
      <c r="H30" s="400"/>
      <c r="I30" s="400"/>
      <c r="J30" s="400"/>
      <c r="K30" s="400"/>
    </row>
    <row r="31" spans="1:11" ht="15.75" customHeight="1" x14ac:dyDescent="0.2">
      <c r="A31" s="400"/>
      <c r="B31" s="418"/>
      <c r="C31" s="419"/>
      <c r="D31" s="400"/>
      <c r="E31" s="400"/>
      <c r="F31" s="400"/>
      <c r="G31" s="400"/>
      <c r="H31" s="400"/>
      <c r="I31" s="400"/>
      <c r="J31" s="400"/>
      <c r="K31" s="400"/>
    </row>
    <row r="32" spans="1:11" ht="15.75" customHeight="1" x14ac:dyDescent="0.2">
      <c r="A32" s="400"/>
      <c r="B32" s="418"/>
      <c r="C32" s="419"/>
      <c r="D32" s="400"/>
      <c r="E32" s="400"/>
      <c r="F32" s="400"/>
      <c r="G32" s="400"/>
      <c r="H32" s="400"/>
      <c r="I32" s="400"/>
      <c r="J32" s="400"/>
      <c r="K32" s="400"/>
    </row>
    <row r="33" spans="1:11" ht="15.75" customHeight="1" x14ac:dyDescent="0.2">
      <c r="A33" s="400"/>
      <c r="B33" s="401"/>
      <c r="C33" s="402"/>
      <c r="D33" s="400"/>
      <c r="E33" s="400"/>
      <c r="F33" s="400"/>
      <c r="G33" s="400"/>
      <c r="H33" s="400"/>
      <c r="I33" s="400"/>
      <c r="J33" s="400"/>
      <c r="K33" s="400"/>
    </row>
    <row r="34" spans="1:11" ht="15.75" customHeight="1" x14ac:dyDescent="0.2">
      <c r="A34" s="400"/>
      <c r="B34" s="401"/>
      <c r="C34" s="402"/>
      <c r="D34" s="400"/>
      <c r="E34" s="400"/>
      <c r="F34" s="400"/>
      <c r="G34" s="400"/>
      <c r="H34" s="400"/>
      <c r="I34" s="400"/>
      <c r="J34" s="400"/>
      <c r="K34" s="400"/>
    </row>
    <row r="35" spans="1:11" ht="15.75" customHeight="1" x14ac:dyDescent="0.2">
      <c r="A35" s="400"/>
      <c r="B35" s="401"/>
      <c r="C35" s="402"/>
      <c r="D35" s="400"/>
      <c r="E35" s="400"/>
      <c r="F35" s="400"/>
      <c r="G35" s="400"/>
      <c r="H35" s="400"/>
      <c r="I35" s="400"/>
      <c r="J35" s="400"/>
      <c r="K35" s="400"/>
    </row>
    <row r="36" spans="1:11" ht="15.75" customHeight="1" x14ac:dyDescent="0.2">
      <c r="A36" s="400"/>
      <c r="B36" s="401"/>
      <c r="C36" s="402"/>
      <c r="D36" s="400"/>
      <c r="E36" s="400"/>
      <c r="F36" s="400"/>
      <c r="G36" s="400"/>
      <c r="H36" s="400"/>
      <c r="I36" s="400"/>
      <c r="J36" s="400"/>
      <c r="K36" s="400"/>
    </row>
    <row r="37" spans="1:11" ht="15.75" customHeight="1" x14ac:dyDescent="0.2">
      <c r="A37" s="400"/>
      <c r="B37" s="401"/>
      <c r="C37" s="402"/>
      <c r="D37" s="400"/>
      <c r="E37" s="400"/>
      <c r="F37" s="400"/>
      <c r="G37" s="400"/>
      <c r="H37" s="400"/>
      <c r="I37" s="400"/>
      <c r="J37" s="400"/>
      <c r="K37" s="400"/>
    </row>
    <row r="38" spans="1:11" ht="15.75" customHeight="1" x14ac:dyDescent="0.2">
      <c r="A38" s="400"/>
      <c r="B38" s="401"/>
      <c r="C38" s="402"/>
      <c r="D38" s="400"/>
      <c r="E38" s="400"/>
      <c r="F38" s="400"/>
      <c r="G38" s="400"/>
      <c r="H38" s="400"/>
      <c r="I38" s="400"/>
      <c r="J38" s="400"/>
      <c r="K38" s="400"/>
    </row>
    <row r="39" spans="1:11" ht="15.75" customHeight="1" x14ac:dyDescent="0.2">
      <c r="A39" s="400"/>
      <c r="B39" s="401"/>
      <c r="C39" s="402"/>
      <c r="D39" s="400"/>
      <c r="E39" s="400"/>
      <c r="F39" s="400"/>
      <c r="G39" s="400"/>
      <c r="H39" s="400"/>
      <c r="I39" s="400"/>
      <c r="J39" s="400"/>
      <c r="K39" s="400"/>
    </row>
    <row r="40" spans="1:11" ht="15.75" customHeight="1" x14ac:dyDescent="0.2">
      <c r="A40" s="400"/>
      <c r="B40" s="401"/>
      <c r="C40" s="402"/>
      <c r="D40" s="400"/>
      <c r="E40" s="400"/>
      <c r="F40" s="400"/>
      <c r="G40" s="400"/>
      <c r="H40" s="400"/>
      <c r="I40" s="400"/>
      <c r="J40" s="400"/>
      <c r="K40" s="400"/>
    </row>
    <row r="41" spans="1:11" ht="15.75" customHeight="1" x14ac:dyDescent="0.2">
      <c r="A41" s="400"/>
      <c r="B41" s="401"/>
      <c r="C41" s="402"/>
      <c r="D41" s="400"/>
      <c r="E41" s="400"/>
      <c r="F41" s="400"/>
      <c r="G41" s="400"/>
      <c r="H41" s="400"/>
      <c r="I41" s="400"/>
      <c r="J41" s="400"/>
      <c r="K41" s="400"/>
    </row>
    <row r="42" spans="1:11" ht="15.75" customHeight="1" x14ac:dyDescent="0.2">
      <c r="A42" s="400"/>
      <c r="B42" s="401"/>
      <c r="C42" s="402"/>
      <c r="D42" s="400"/>
      <c r="E42" s="400"/>
      <c r="F42" s="400"/>
      <c r="G42" s="400"/>
      <c r="H42" s="400"/>
      <c r="I42" s="400"/>
      <c r="J42" s="400"/>
      <c r="K42" s="400"/>
    </row>
    <row r="43" spans="1:11" ht="15.75" customHeight="1" x14ac:dyDescent="0.2">
      <c r="A43" s="400"/>
      <c r="B43" s="401"/>
      <c r="C43" s="402"/>
      <c r="D43" s="400"/>
      <c r="E43" s="400"/>
      <c r="F43" s="400"/>
      <c r="G43" s="400"/>
      <c r="H43" s="400"/>
      <c r="I43" s="400"/>
      <c r="J43" s="400"/>
      <c r="K43" s="400"/>
    </row>
    <row r="44" spans="1:11" ht="15.75" customHeight="1" x14ac:dyDescent="0.2">
      <c r="A44" s="400"/>
      <c r="B44" s="401"/>
      <c r="C44" s="402"/>
      <c r="D44" s="400"/>
      <c r="E44" s="400"/>
      <c r="F44" s="400"/>
      <c r="G44" s="400"/>
      <c r="H44" s="400"/>
      <c r="I44" s="400"/>
      <c r="J44" s="400"/>
      <c r="K44" s="400"/>
    </row>
    <row r="45" spans="1:11" ht="15.75" customHeight="1" x14ac:dyDescent="0.2">
      <c r="A45" s="400"/>
      <c r="B45" s="401"/>
      <c r="C45" s="402"/>
      <c r="D45" s="400"/>
      <c r="E45" s="400"/>
      <c r="F45" s="400"/>
      <c r="G45" s="400"/>
      <c r="H45" s="400"/>
      <c r="I45" s="400"/>
      <c r="J45" s="400"/>
      <c r="K45" s="400"/>
    </row>
    <row r="46" spans="1:11" ht="15.75" customHeight="1" x14ac:dyDescent="0.2">
      <c r="A46" s="400"/>
      <c r="B46" s="401"/>
      <c r="C46" s="402"/>
      <c r="D46" s="400"/>
      <c r="E46" s="400"/>
      <c r="F46" s="400"/>
      <c r="G46" s="400"/>
      <c r="H46" s="400"/>
      <c r="I46" s="400"/>
      <c r="J46" s="400"/>
      <c r="K46" s="400"/>
    </row>
    <row r="47" spans="1:11" ht="15.75" customHeight="1" x14ac:dyDescent="0.2">
      <c r="A47" s="400"/>
      <c r="B47" s="401"/>
      <c r="C47" s="402"/>
      <c r="D47" s="400"/>
      <c r="E47" s="400"/>
      <c r="F47" s="400"/>
      <c r="G47" s="400"/>
      <c r="H47" s="400"/>
      <c r="I47" s="400"/>
      <c r="J47" s="400"/>
      <c r="K47" s="400"/>
    </row>
    <row r="48" spans="1:11" ht="15.75" customHeight="1" x14ac:dyDescent="0.2">
      <c r="A48" s="400"/>
      <c r="B48" s="401"/>
      <c r="C48" s="402"/>
      <c r="D48" s="400"/>
      <c r="E48" s="400"/>
      <c r="F48" s="400"/>
      <c r="G48" s="400"/>
      <c r="H48" s="400"/>
      <c r="I48" s="400"/>
      <c r="J48" s="400"/>
      <c r="K48" s="400"/>
    </row>
    <row r="49" spans="1:11" ht="15.75" customHeight="1" x14ac:dyDescent="0.2">
      <c r="A49" s="400"/>
      <c r="B49" s="401"/>
      <c r="C49" s="402"/>
      <c r="D49" s="400"/>
      <c r="E49" s="400"/>
      <c r="F49" s="400"/>
      <c r="G49" s="400"/>
      <c r="H49" s="400"/>
      <c r="I49" s="400"/>
      <c r="J49" s="400"/>
      <c r="K49" s="400"/>
    </row>
    <row r="50" spans="1:11" ht="15.75" customHeight="1" x14ac:dyDescent="0.2">
      <c r="A50" s="400"/>
      <c r="B50" s="401"/>
      <c r="C50" s="402"/>
      <c r="D50" s="400"/>
      <c r="E50" s="400"/>
      <c r="F50" s="400"/>
      <c r="G50" s="400"/>
      <c r="H50" s="400"/>
      <c r="I50" s="400"/>
      <c r="J50" s="400"/>
      <c r="K50" s="400"/>
    </row>
    <row r="51" spans="1:11" ht="15.75" customHeight="1" x14ac:dyDescent="0.2">
      <c r="A51" s="400"/>
      <c r="B51" s="401"/>
      <c r="C51" s="402"/>
      <c r="D51" s="400"/>
      <c r="E51" s="400"/>
      <c r="F51" s="400"/>
      <c r="G51" s="400"/>
      <c r="H51" s="400"/>
      <c r="I51" s="400"/>
      <c r="J51" s="400"/>
      <c r="K51" s="400"/>
    </row>
    <row r="52" spans="1:11" ht="15.75" customHeight="1" x14ac:dyDescent="0.2">
      <c r="A52" s="400"/>
      <c r="B52" s="401"/>
      <c r="C52" s="402"/>
      <c r="D52" s="400"/>
      <c r="E52" s="400"/>
      <c r="F52" s="400"/>
      <c r="G52" s="400"/>
      <c r="H52" s="400"/>
      <c r="I52" s="400"/>
      <c r="J52" s="400"/>
      <c r="K52" s="400"/>
    </row>
    <row r="53" spans="1:11" ht="15.75" customHeight="1" x14ac:dyDescent="0.2">
      <c r="A53" s="400"/>
      <c r="B53" s="401"/>
      <c r="C53" s="402"/>
      <c r="D53" s="400"/>
      <c r="E53" s="400"/>
      <c r="F53" s="400"/>
      <c r="G53" s="400"/>
      <c r="H53" s="400"/>
      <c r="I53" s="400"/>
      <c r="J53" s="400"/>
      <c r="K53" s="400"/>
    </row>
    <row r="54" spans="1:11" ht="15.75" customHeight="1" x14ac:dyDescent="0.2">
      <c r="A54" s="400"/>
      <c r="B54" s="401"/>
      <c r="C54" s="402"/>
      <c r="D54" s="400"/>
      <c r="E54" s="400"/>
      <c r="F54" s="400"/>
      <c r="G54" s="400"/>
      <c r="H54" s="400"/>
      <c r="I54" s="400"/>
      <c r="J54" s="400"/>
      <c r="K54" s="400"/>
    </row>
    <row r="55" spans="1:11" ht="15.75" customHeight="1" x14ac:dyDescent="0.2">
      <c r="A55" s="400"/>
      <c r="B55" s="401"/>
      <c r="C55" s="402"/>
      <c r="D55" s="400"/>
      <c r="E55" s="400"/>
      <c r="F55" s="400"/>
      <c r="G55" s="400"/>
      <c r="H55" s="400"/>
      <c r="I55" s="400"/>
      <c r="J55" s="400"/>
      <c r="K55" s="400"/>
    </row>
    <row r="56" spans="1:11" ht="15.75" customHeight="1" x14ac:dyDescent="0.2">
      <c r="A56" s="400"/>
      <c r="B56" s="401"/>
      <c r="C56" s="402"/>
      <c r="D56" s="400"/>
      <c r="E56" s="400"/>
      <c r="F56" s="400"/>
      <c r="G56" s="400"/>
      <c r="H56" s="400"/>
      <c r="I56" s="400"/>
      <c r="J56" s="400"/>
      <c r="K56" s="400"/>
    </row>
    <row r="57" spans="1:11" ht="15.75" customHeight="1" x14ac:dyDescent="0.2">
      <c r="A57" s="400"/>
      <c r="B57" s="401"/>
      <c r="C57" s="402"/>
      <c r="D57" s="400"/>
      <c r="E57" s="400"/>
      <c r="F57" s="400"/>
      <c r="G57" s="400"/>
      <c r="H57" s="400"/>
      <c r="I57" s="400"/>
      <c r="J57" s="400"/>
      <c r="K57" s="400"/>
    </row>
    <row r="58" spans="1:11" ht="15.75" customHeight="1" x14ac:dyDescent="0.2">
      <c r="A58" s="400"/>
      <c r="B58" s="401"/>
      <c r="C58" s="402"/>
      <c r="D58" s="400"/>
      <c r="E58" s="400"/>
      <c r="F58" s="400"/>
      <c r="G58" s="400"/>
      <c r="H58" s="400"/>
      <c r="I58" s="400"/>
      <c r="J58" s="400"/>
      <c r="K58" s="400"/>
    </row>
    <row r="59" spans="1:11" ht="15.75" customHeight="1" x14ac:dyDescent="0.2">
      <c r="A59" s="400"/>
      <c r="B59" s="401"/>
      <c r="C59" s="402"/>
      <c r="D59" s="400"/>
      <c r="E59" s="400"/>
      <c r="F59" s="400"/>
      <c r="G59" s="400"/>
      <c r="H59" s="400"/>
      <c r="I59" s="400"/>
      <c r="J59" s="400"/>
      <c r="K59" s="400"/>
    </row>
    <row r="60" spans="1:11" ht="15.75" customHeight="1" x14ac:dyDescent="0.2">
      <c r="A60" s="400"/>
      <c r="B60" s="401"/>
      <c r="C60" s="402"/>
      <c r="D60" s="400"/>
      <c r="E60" s="400"/>
      <c r="F60" s="400"/>
      <c r="G60" s="400"/>
      <c r="H60" s="400"/>
      <c r="I60" s="400"/>
      <c r="J60" s="400"/>
      <c r="K60" s="400"/>
    </row>
    <row r="61" spans="1:11" ht="15.75" customHeight="1" x14ac:dyDescent="0.2">
      <c r="A61" s="400"/>
      <c r="B61" s="401"/>
      <c r="C61" s="402"/>
      <c r="D61" s="400"/>
      <c r="E61" s="400"/>
      <c r="F61" s="400"/>
      <c r="G61" s="400"/>
      <c r="H61" s="400"/>
      <c r="I61" s="400"/>
      <c r="J61" s="400"/>
      <c r="K61" s="400"/>
    </row>
    <row r="62" spans="1:11" ht="15.75" customHeight="1" x14ac:dyDescent="0.2">
      <c r="A62" s="400"/>
      <c r="B62" s="401"/>
      <c r="C62" s="402"/>
      <c r="D62" s="400"/>
      <c r="E62" s="400"/>
      <c r="F62" s="400"/>
      <c r="G62" s="400"/>
      <c r="H62" s="400"/>
      <c r="I62" s="400"/>
      <c r="J62" s="400"/>
      <c r="K62" s="400"/>
    </row>
    <row r="63" spans="1:11" ht="15.75" customHeight="1" x14ac:dyDescent="0.2">
      <c r="A63" s="400"/>
      <c r="B63" s="401"/>
      <c r="C63" s="402"/>
      <c r="D63" s="400"/>
      <c r="E63" s="400"/>
      <c r="F63" s="400"/>
      <c r="G63" s="400"/>
      <c r="H63" s="400"/>
      <c r="I63" s="400"/>
      <c r="J63" s="400"/>
      <c r="K63" s="400"/>
    </row>
    <row r="64" spans="1:11" ht="15.75" customHeight="1" x14ac:dyDescent="0.2">
      <c r="A64" s="400"/>
      <c r="B64" s="401"/>
      <c r="C64" s="402"/>
      <c r="D64" s="400"/>
      <c r="E64" s="400"/>
      <c r="F64" s="400"/>
      <c r="G64" s="400"/>
      <c r="H64" s="400"/>
      <c r="I64" s="400"/>
      <c r="J64" s="400"/>
      <c r="K64" s="400"/>
    </row>
    <row r="65" spans="1:11" ht="15.75" customHeight="1" x14ac:dyDescent="0.2">
      <c r="A65" s="400"/>
      <c r="B65" s="401"/>
      <c r="C65" s="402"/>
      <c r="D65" s="400"/>
      <c r="E65" s="400"/>
      <c r="F65" s="400"/>
      <c r="G65" s="400"/>
      <c r="H65" s="400"/>
      <c r="I65" s="400"/>
      <c r="J65" s="400"/>
      <c r="K65" s="400"/>
    </row>
    <row r="66" spans="1:11" ht="15.75" customHeight="1" x14ac:dyDescent="0.2">
      <c r="A66" s="400"/>
      <c r="B66" s="401"/>
      <c r="C66" s="402"/>
      <c r="D66" s="400"/>
      <c r="E66" s="400"/>
      <c r="F66" s="400"/>
      <c r="G66" s="400"/>
      <c r="H66" s="400"/>
      <c r="I66" s="400"/>
      <c r="J66" s="400"/>
      <c r="K66" s="400"/>
    </row>
    <row r="67" spans="1:11" ht="15.75" customHeight="1" x14ac:dyDescent="0.2">
      <c r="A67" s="400"/>
      <c r="B67" s="401"/>
      <c r="C67" s="402"/>
      <c r="D67" s="400"/>
      <c r="E67" s="400"/>
      <c r="F67" s="400"/>
      <c r="G67" s="400"/>
      <c r="H67" s="400"/>
      <c r="I67" s="400"/>
      <c r="J67" s="400"/>
      <c r="K67" s="400"/>
    </row>
    <row r="68" spans="1:11" ht="15.75" customHeight="1" x14ac:dyDescent="0.2">
      <c r="A68" s="400"/>
      <c r="B68" s="401"/>
      <c r="C68" s="402"/>
      <c r="D68" s="400"/>
      <c r="E68" s="400"/>
      <c r="F68" s="400"/>
      <c r="G68" s="400"/>
      <c r="H68" s="400"/>
      <c r="I68" s="400"/>
      <c r="J68" s="400"/>
      <c r="K68" s="400"/>
    </row>
    <row r="69" spans="1:11" ht="15.75" customHeight="1" x14ac:dyDescent="0.2">
      <c r="A69" s="400"/>
      <c r="B69" s="401"/>
      <c r="C69" s="402"/>
      <c r="D69" s="400"/>
      <c r="E69" s="400"/>
      <c r="F69" s="400"/>
      <c r="G69" s="400"/>
      <c r="H69" s="400"/>
      <c r="I69" s="400"/>
      <c r="J69" s="400"/>
      <c r="K69" s="400"/>
    </row>
    <row r="70" spans="1:11" ht="15.75" customHeight="1" x14ac:dyDescent="0.2">
      <c r="A70" s="400"/>
      <c r="B70" s="401"/>
      <c r="C70" s="402"/>
      <c r="D70" s="400"/>
      <c r="E70" s="400"/>
      <c r="F70" s="400"/>
      <c r="G70" s="400"/>
      <c r="H70" s="400"/>
      <c r="I70" s="400"/>
      <c r="J70" s="400"/>
      <c r="K70" s="400"/>
    </row>
    <row r="71" spans="1:11" ht="15.75" customHeight="1" x14ac:dyDescent="0.2">
      <c r="A71" s="400"/>
      <c r="B71" s="401"/>
      <c r="C71" s="402"/>
      <c r="D71" s="400"/>
      <c r="E71" s="400"/>
      <c r="F71" s="400"/>
      <c r="G71" s="400"/>
      <c r="H71" s="400"/>
      <c r="I71" s="400"/>
      <c r="J71" s="400"/>
      <c r="K71" s="400"/>
    </row>
    <row r="72" spans="1:11" ht="15.75" customHeight="1" x14ac:dyDescent="0.2">
      <c r="A72" s="400"/>
      <c r="B72" s="401"/>
      <c r="C72" s="402"/>
      <c r="D72" s="400"/>
      <c r="E72" s="400"/>
      <c r="F72" s="400"/>
      <c r="G72" s="400"/>
      <c r="H72" s="400"/>
      <c r="I72" s="400"/>
      <c r="J72" s="400"/>
      <c r="K72" s="400"/>
    </row>
    <row r="73" spans="1:11" ht="15.75" customHeight="1" x14ac:dyDescent="0.2">
      <c r="A73" s="400"/>
      <c r="B73" s="401"/>
      <c r="C73" s="402"/>
      <c r="D73" s="400"/>
      <c r="E73" s="400"/>
      <c r="F73" s="400"/>
      <c r="G73" s="400"/>
      <c r="H73" s="400"/>
      <c r="I73" s="400"/>
      <c r="J73" s="400"/>
      <c r="K73" s="400"/>
    </row>
    <row r="74" spans="1:11" ht="15.75" customHeight="1" x14ac:dyDescent="0.2">
      <c r="A74" s="400"/>
      <c r="B74" s="401"/>
      <c r="C74" s="402"/>
      <c r="D74" s="400"/>
      <c r="E74" s="400"/>
      <c r="F74" s="400"/>
      <c r="G74" s="400"/>
      <c r="H74" s="400"/>
      <c r="I74" s="400"/>
      <c r="J74" s="400"/>
      <c r="K74" s="400"/>
    </row>
    <row r="75" spans="1:11" ht="15.75" customHeight="1" x14ac:dyDescent="0.2">
      <c r="A75" s="400"/>
      <c r="B75" s="401"/>
      <c r="C75" s="402"/>
      <c r="D75" s="400"/>
      <c r="E75" s="400"/>
      <c r="F75" s="400"/>
      <c r="G75" s="400"/>
      <c r="H75" s="400"/>
      <c r="I75" s="400"/>
      <c r="J75" s="400"/>
      <c r="K75" s="400"/>
    </row>
    <row r="76" spans="1:11" ht="15.75" customHeight="1" x14ac:dyDescent="0.2">
      <c r="A76" s="400"/>
      <c r="B76" s="401"/>
      <c r="C76" s="402"/>
      <c r="D76" s="400"/>
      <c r="E76" s="400"/>
      <c r="F76" s="400"/>
      <c r="G76" s="400"/>
      <c r="H76" s="400"/>
      <c r="I76" s="400"/>
      <c r="J76" s="400"/>
      <c r="K76" s="400"/>
    </row>
    <row r="77" spans="1:11" ht="15.75" customHeight="1" x14ac:dyDescent="0.2">
      <c r="A77" s="400"/>
      <c r="B77" s="401"/>
      <c r="C77" s="402"/>
      <c r="D77" s="400"/>
      <c r="E77" s="400"/>
      <c r="F77" s="400"/>
      <c r="G77" s="400"/>
      <c r="H77" s="400"/>
      <c r="I77" s="400"/>
      <c r="J77" s="400"/>
      <c r="K77" s="400"/>
    </row>
    <row r="78" spans="1:11" ht="15.75" customHeight="1" x14ac:dyDescent="0.2">
      <c r="A78" s="400"/>
      <c r="B78" s="401"/>
      <c r="C78" s="402"/>
      <c r="D78" s="400"/>
      <c r="E78" s="400"/>
      <c r="F78" s="400"/>
      <c r="G78" s="400"/>
      <c r="H78" s="400"/>
      <c r="I78" s="400"/>
      <c r="J78" s="400"/>
      <c r="K78" s="400"/>
    </row>
    <row r="79" spans="1:11" ht="15.75" customHeight="1" x14ac:dyDescent="0.2">
      <c r="A79" s="400"/>
      <c r="B79" s="401"/>
      <c r="C79" s="402"/>
      <c r="D79" s="400"/>
      <c r="E79" s="400"/>
      <c r="F79" s="400"/>
      <c r="G79" s="400"/>
      <c r="H79" s="400"/>
      <c r="I79" s="400"/>
      <c r="J79" s="400"/>
      <c r="K79" s="400"/>
    </row>
    <row r="80" spans="1:11" ht="15.75" customHeight="1" x14ac:dyDescent="0.2">
      <c r="A80" s="400"/>
      <c r="B80" s="401"/>
      <c r="C80" s="402"/>
      <c r="D80" s="400"/>
      <c r="E80" s="400"/>
      <c r="F80" s="400"/>
      <c r="G80" s="400"/>
      <c r="H80" s="400"/>
      <c r="I80" s="400"/>
      <c r="J80" s="400"/>
      <c r="K80" s="400"/>
    </row>
    <row r="81" spans="1:11" ht="15.75" customHeight="1" x14ac:dyDescent="0.2">
      <c r="A81" s="400"/>
      <c r="B81" s="401"/>
      <c r="C81" s="402"/>
      <c r="D81" s="400"/>
      <c r="E81" s="400"/>
      <c r="F81" s="400"/>
      <c r="G81" s="400"/>
      <c r="H81" s="400"/>
      <c r="I81" s="400"/>
      <c r="J81" s="400"/>
      <c r="K81" s="400"/>
    </row>
    <row r="82" spans="1:11" ht="15.75" customHeight="1" x14ac:dyDescent="0.2">
      <c r="A82" s="400"/>
      <c r="B82" s="401"/>
      <c r="C82" s="402"/>
      <c r="D82" s="400"/>
      <c r="E82" s="400"/>
      <c r="F82" s="400"/>
      <c r="G82" s="400"/>
      <c r="H82" s="400"/>
      <c r="I82" s="400"/>
      <c r="J82" s="400"/>
      <c r="K82" s="400"/>
    </row>
    <row r="83" spans="1:11" ht="15.75" customHeight="1" x14ac:dyDescent="0.2">
      <c r="A83" s="400"/>
      <c r="B83" s="401"/>
      <c r="C83" s="402"/>
      <c r="D83" s="400"/>
      <c r="E83" s="400"/>
      <c r="F83" s="400"/>
      <c r="G83" s="400"/>
      <c r="H83" s="400"/>
      <c r="I83" s="400"/>
      <c r="J83" s="400"/>
      <c r="K83" s="400"/>
    </row>
    <row r="84" spans="1:11" ht="15.75" customHeight="1" x14ac:dyDescent="0.2">
      <c r="A84" s="400"/>
      <c r="B84" s="401"/>
      <c r="C84" s="402"/>
      <c r="D84" s="400"/>
      <c r="E84" s="400"/>
      <c r="F84" s="400"/>
      <c r="G84" s="400"/>
      <c r="H84" s="400"/>
      <c r="I84" s="400"/>
      <c r="J84" s="400"/>
      <c r="K84" s="400"/>
    </row>
    <row r="85" spans="1:11" ht="15.75" customHeight="1" x14ac:dyDescent="0.2">
      <c r="A85" s="400"/>
      <c r="B85" s="401"/>
      <c r="C85" s="402"/>
      <c r="D85" s="400"/>
      <c r="E85" s="400"/>
      <c r="F85" s="400"/>
      <c r="G85" s="400"/>
      <c r="H85" s="400"/>
      <c r="I85" s="400"/>
      <c r="J85" s="400"/>
      <c r="K85" s="400"/>
    </row>
    <row r="86" spans="1:11" ht="15.75" customHeight="1" x14ac:dyDescent="0.2">
      <c r="A86" s="400"/>
      <c r="B86" s="401"/>
      <c r="C86" s="402"/>
      <c r="D86" s="400"/>
      <c r="E86" s="400"/>
      <c r="F86" s="400"/>
      <c r="G86" s="400"/>
      <c r="H86" s="400"/>
      <c r="I86" s="400"/>
      <c r="J86" s="400"/>
      <c r="K86" s="400"/>
    </row>
    <row r="87" spans="1:11" ht="15.75" customHeight="1" x14ac:dyDescent="0.2">
      <c r="A87" s="400"/>
      <c r="B87" s="401"/>
      <c r="C87" s="402"/>
      <c r="D87" s="400"/>
      <c r="E87" s="400"/>
      <c r="F87" s="400"/>
      <c r="G87" s="400"/>
      <c r="H87" s="400"/>
      <c r="I87" s="400"/>
      <c r="J87" s="400"/>
      <c r="K87" s="400"/>
    </row>
    <row r="88" spans="1:11" ht="15.75" customHeight="1" x14ac:dyDescent="0.2">
      <c r="A88" s="400"/>
      <c r="B88" s="401"/>
      <c r="C88" s="402"/>
      <c r="D88" s="400"/>
      <c r="E88" s="400"/>
      <c r="F88" s="400"/>
      <c r="G88" s="400"/>
      <c r="H88" s="400"/>
      <c r="I88" s="400"/>
      <c r="J88" s="400"/>
      <c r="K88" s="400"/>
    </row>
    <row r="89" spans="1:11" ht="15.75" customHeight="1" x14ac:dyDescent="0.2">
      <c r="A89" s="400"/>
      <c r="B89" s="401"/>
      <c r="C89" s="402"/>
      <c r="D89" s="400"/>
      <c r="E89" s="400"/>
      <c r="F89" s="400"/>
      <c r="G89" s="400"/>
      <c r="H89" s="400"/>
      <c r="I89" s="400"/>
      <c r="J89" s="400"/>
      <c r="K89" s="400"/>
    </row>
    <row r="90" spans="1:11" ht="15.75" customHeight="1" x14ac:dyDescent="0.2">
      <c r="A90" s="400"/>
      <c r="B90" s="401"/>
      <c r="C90" s="402"/>
      <c r="D90" s="400"/>
      <c r="E90" s="400"/>
      <c r="F90" s="400"/>
      <c r="G90" s="400"/>
      <c r="H90" s="400"/>
      <c r="I90" s="400"/>
      <c r="J90" s="400"/>
      <c r="K90" s="400"/>
    </row>
    <row r="91" spans="1:11" ht="15.75" customHeight="1" x14ac:dyDescent="0.2">
      <c r="A91" s="400"/>
      <c r="B91" s="401"/>
      <c r="C91" s="402"/>
      <c r="D91" s="400"/>
      <c r="E91" s="400"/>
      <c r="F91" s="400"/>
      <c r="G91" s="400"/>
      <c r="H91" s="400"/>
      <c r="I91" s="400"/>
      <c r="J91" s="400"/>
      <c r="K91" s="400"/>
    </row>
    <row r="92" spans="1:11" ht="15.75" customHeight="1" x14ac:dyDescent="0.2">
      <c r="A92" s="400"/>
      <c r="B92" s="401"/>
      <c r="C92" s="402"/>
      <c r="D92" s="400"/>
      <c r="E92" s="400"/>
      <c r="F92" s="400"/>
      <c r="G92" s="400"/>
      <c r="H92" s="400"/>
      <c r="I92" s="400"/>
      <c r="J92" s="400"/>
      <c r="K92" s="400"/>
    </row>
    <row r="93" spans="1:11" ht="15.75" customHeight="1" x14ac:dyDescent="0.2">
      <c r="A93" s="400"/>
      <c r="B93" s="401"/>
      <c r="C93" s="402"/>
      <c r="D93" s="400"/>
      <c r="E93" s="400"/>
      <c r="F93" s="400"/>
      <c r="G93" s="400"/>
      <c r="H93" s="400"/>
      <c r="I93" s="400"/>
      <c r="J93" s="400"/>
      <c r="K93" s="400"/>
    </row>
    <row r="94" spans="1:11" ht="15.75" customHeight="1" x14ac:dyDescent="0.2">
      <c r="A94" s="400"/>
      <c r="B94" s="401"/>
      <c r="C94" s="402"/>
      <c r="D94" s="400"/>
      <c r="E94" s="400"/>
      <c r="F94" s="400"/>
      <c r="G94" s="400"/>
      <c r="H94" s="400"/>
      <c r="I94" s="400"/>
      <c r="J94" s="400"/>
      <c r="K94" s="400"/>
    </row>
    <row r="95" spans="1:11" ht="15.75" customHeight="1" x14ac:dyDescent="0.2">
      <c r="A95" s="400"/>
      <c r="B95" s="401"/>
      <c r="C95" s="402"/>
      <c r="D95" s="400"/>
      <c r="E95" s="400"/>
      <c r="F95" s="400"/>
      <c r="G95" s="400"/>
      <c r="H95" s="400"/>
      <c r="I95" s="400"/>
      <c r="J95" s="400"/>
      <c r="K95" s="400"/>
    </row>
    <row r="96" spans="1:11" ht="15.75" customHeight="1" x14ac:dyDescent="0.2">
      <c r="A96" s="400"/>
      <c r="B96" s="401"/>
      <c r="C96" s="402"/>
      <c r="D96" s="400"/>
      <c r="E96" s="400"/>
      <c r="F96" s="400"/>
      <c r="G96" s="400"/>
      <c r="H96" s="400"/>
      <c r="I96" s="400"/>
      <c r="J96" s="400"/>
      <c r="K96" s="400"/>
    </row>
    <row r="97" spans="1:11" ht="15.75" customHeight="1" x14ac:dyDescent="0.2">
      <c r="A97" s="400"/>
      <c r="B97" s="401"/>
      <c r="C97" s="402"/>
      <c r="D97" s="400"/>
      <c r="E97" s="400"/>
      <c r="F97" s="400"/>
      <c r="G97" s="400"/>
      <c r="H97" s="400"/>
      <c r="I97" s="400"/>
      <c r="J97" s="400"/>
      <c r="K97" s="400"/>
    </row>
    <row r="98" spans="1:11" ht="15.75" customHeight="1" x14ac:dyDescent="0.2">
      <c r="A98" s="400"/>
      <c r="B98" s="401"/>
      <c r="C98" s="402"/>
      <c r="D98" s="400"/>
      <c r="E98" s="400"/>
      <c r="F98" s="400"/>
      <c r="G98" s="400"/>
      <c r="H98" s="400"/>
      <c r="I98" s="400"/>
      <c r="J98" s="400"/>
      <c r="K98" s="400"/>
    </row>
    <row r="99" spans="1:11" ht="15.75" customHeight="1" x14ac:dyDescent="0.2">
      <c r="A99" s="400"/>
      <c r="B99" s="401"/>
      <c r="C99" s="402"/>
      <c r="D99" s="400"/>
      <c r="E99" s="400"/>
      <c r="F99" s="400"/>
      <c r="G99" s="400"/>
      <c r="H99" s="400"/>
      <c r="I99" s="400"/>
      <c r="J99" s="400"/>
      <c r="K99" s="400"/>
    </row>
    <row r="100" spans="1:11" ht="15.75" customHeight="1" x14ac:dyDescent="0.2">
      <c r="A100" s="400"/>
      <c r="B100" s="401"/>
      <c r="C100" s="402"/>
      <c r="D100" s="400"/>
      <c r="E100" s="400"/>
      <c r="F100" s="400"/>
      <c r="G100" s="400"/>
      <c r="H100" s="400"/>
      <c r="I100" s="400"/>
      <c r="J100" s="400"/>
      <c r="K100" s="400"/>
    </row>
  </sheetData>
  <mergeCells count="2">
    <mergeCell ref="E2:I2"/>
    <mergeCell ref="E3:I3"/>
  </mergeCells>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20"/>
  <sheetViews>
    <sheetView workbookViewId="0"/>
  </sheetViews>
  <sheetFormatPr defaultColWidth="14.390625" defaultRowHeight="15" customHeight="1" x14ac:dyDescent="0.2"/>
  <cols>
    <col min="1" max="1" width="16.27734375" customWidth="1"/>
    <col min="2" max="2" width="21.25390625" customWidth="1"/>
    <col min="3" max="3" width="17.75390625" customWidth="1"/>
    <col min="4" max="4" width="18.0234375" customWidth="1"/>
    <col min="5" max="6" width="8.7421875" customWidth="1"/>
  </cols>
  <sheetData>
    <row r="1" spans="1:5" ht="14.25" customHeight="1" x14ac:dyDescent="0.25">
      <c r="A1" s="483" t="s">
        <v>29</v>
      </c>
      <c r="B1" s="426"/>
      <c r="C1" s="426"/>
      <c r="D1" s="426"/>
      <c r="E1" s="1"/>
    </row>
    <row r="2" spans="1:5" ht="14.25" customHeight="1" x14ac:dyDescent="0.25">
      <c r="A2" s="483" t="s">
        <v>510</v>
      </c>
      <c r="B2" s="426"/>
      <c r="C2" s="426"/>
      <c r="D2" s="426"/>
      <c r="E2" s="1"/>
    </row>
    <row r="3" spans="1:5" ht="18" customHeight="1" x14ac:dyDescent="0.25">
      <c r="A3" s="483" t="s">
        <v>31</v>
      </c>
      <c r="B3" s="426"/>
      <c r="C3" s="426"/>
      <c r="D3" s="426"/>
      <c r="E3" s="1"/>
    </row>
    <row r="4" spans="1:5" ht="14.25" customHeight="1" x14ac:dyDescent="0.2">
      <c r="A4" s="15"/>
      <c r="B4" s="15"/>
      <c r="C4" s="31"/>
    </row>
    <row r="5" spans="1:5" ht="14.25" customHeight="1" x14ac:dyDescent="0.2">
      <c r="A5" s="420" t="s">
        <v>5</v>
      </c>
      <c r="B5" s="420" t="s">
        <v>6</v>
      </c>
      <c r="C5" s="421" t="s">
        <v>33</v>
      </c>
      <c r="D5" s="421" t="s">
        <v>34</v>
      </c>
    </row>
    <row r="6" spans="1:5" ht="14.25" customHeight="1" x14ac:dyDescent="0.2">
      <c r="A6" s="422">
        <f>'Day 1.1 Informasi'!E5</f>
        <v>101</v>
      </c>
      <c r="B6" s="423" t="str">
        <f>'Day 1.1 Informasi'!F5</f>
        <v>Kas</v>
      </c>
      <c r="C6" s="424" t="str">
        <f>'Day 1.3 Buku Besar'!F14</f>
        <v/>
      </c>
      <c r="D6" s="49"/>
    </row>
    <row r="7" spans="1:5" ht="14.25" customHeight="1" x14ac:dyDescent="0.2">
      <c r="A7" s="422">
        <f>'Day 1.1 Informasi'!E6</f>
        <v>102</v>
      </c>
      <c r="B7" s="423" t="str">
        <f>'Day 1.1 Informasi'!F6</f>
        <v>Piutang Usaha</v>
      </c>
      <c r="C7" s="424" t="str">
        <f>'Day 1.3 Buku Besar'!F25</f>
        <v/>
      </c>
      <c r="D7" s="49"/>
    </row>
    <row r="8" spans="1:5" ht="14.25" customHeight="1" x14ac:dyDescent="0.2">
      <c r="A8" s="422">
        <f>'Day 1.1 Informasi'!E7</f>
        <v>103</v>
      </c>
      <c r="B8" s="423" t="str">
        <f>'Day 1.1 Informasi'!F7</f>
        <v>Perlengkapan</v>
      </c>
      <c r="C8" s="424">
        <f>'Day 1.3 Buku Besar'!F35</f>
        <v>1000000</v>
      </c>
      <c r="D8" s="49"/>
    </row>
    <row r="9" spans="1:5" ht="14.25" customHeight="1" x14ac:dyDescent="0.2">
      <c r="A9" s="422">
        <f>'Day 1.1 Informasi'!E8</f>
        <v>104</v>
      </c>
      <c r="B9" s="423" t="str">
        <f>'Day 1.1 Informasi'!F8</f>
        <v>Sewa Dibayar Dimuka</v>
      </c>
      <c r="C9" s="424">
        <f>'Day 1.3 Buku Besar'!F46</f>
        <v>12000000</v>
      </c>
      <c r="D9" s="49"/>
    </row>
    <row r="10" spans="1:5" ht="14.25" customHeight="1" x14ac:dyDescent="0.2">
      <c r="A10" s="422">
        <f>'Day 1.1 Informasi'!E9</f>
        <v>121</v>
      </c>
      <c r="B10" s="423" t="str">
        <f>'Day 1.1 Informasi'!F9</f>
        <v>Peralatan Jaringan</v>
      </c>
      <c r="C10" s="424">
        <f>'Day 1.3 Buku Besar'!F57</f>
        <v>7000000</v>
      </c>
      <c r="D10" s="49"/>
    </row>
    <row r="11" spans="1:5" ht="14.25" customHeight="1" x14ac:dyDescent="0.2">
      <c r="A11" s="422">
        <f>'Day 1.1 Informasi'!E10</f>
        <v>201</v>
      </c>
      <c r="B11" s="423" t="str">
        <f>'Day 1.1 Informasi'!F10</f>
        <v>Utang Usaha</v>
      </c>
      <c r="C11" s="424"/>
      <c r="D11" s="424">
        <f>'Day 1.3 Buku Besar'!G69</f>
        <v>4000000</v>
      </c>
    </row>
    <row r="12" spans="1:5" ht="14.25" customHeight="1" x14ac:dyDescent="0.2">
      <c r="A12" s="422">
        <f>'Day 1.1 Informasi'!E11</f>
        <v>301</v>
      </c>
      <c r="B12" s="423" t="str">
        <f>'Day 1.1 Informasi'!F11</f>
        <v>Modal Usaha</v>
      </c>
      <c r="C12" s="424"/>
      <c r="D12" s="424" t="str">
        <f>'Day 1.3 Buku Besar'!G80</f>
        <v/>
      </c>
    </row>
    <row r="13" spans="1:5" ht="14.25" customHeight="1" x14ac:dyDescent="0.2">
      <c r="A13" s="422">
        <f>'Day 1.1 Informasi'!E12</f>
        <v>302</v>
      </c>
      <c r="B13" s="423" t="str">
        <f>'Day 1.1 Informasi'!F12</f>
        <v>Prive Bapak Andika</v>
      </c>
      <c r="C13" s="424">
        <f>'Day 1.3 Buku Besar'!F90</f>
        <v>2000000</v>
      </c>
      <c r="D13" s="49"/>
    </row>
    <row r="14" spans="1:5" ht="14.25" customHeight="1" x14ac:dyDescent="0.2">
      <c r="A14" s="422">
        <f>'Day 1.1 Informasi'!E13</f>
        <v>401</v>
      </c>
      <c r="B14" s="423" t="str">
        <f>'Day 1.1 Informasi'!F13</f>
        <v>Pendapatan Usaha</v>
      </c>
      <c r="C14" s="424"/>
      <c r="D14" s="424">
        <f>'Day 1.3 Buku Besar'!G102</f>
        <v>12500000</v>
      </c>
    </row>
    <row r="15" spans="1:5" ht="14.25" customHeight="1" x14ac:dyDescent="0.2">
      <c r="A15" s="422">
        <f>'Day 1.1 Informasi'!E14</f>
        <v>501</v>
      </c>
      <c r="B15" s="423" t="str">
        <f>'Day 1.1 Informasi'!F14</f>
        <v>Beban Gaji</v>
      </c>
      <c r="C15" s="424">
        <f>'Day 1.3 Buku Besar'!F112</f>
        <v>4500000</v>
      </c>
      <c r="D15" s="49"/>
    </row>
    <row r="16" spans="1:5" ht="14.25" customHeight="1" x14ac:dyDescent="0.2">
      <c r="A16" s="422">
        <f>'Day 1.1 Informasi'!E15</f>
        <v>502</v>
      </c>
      <c r="B16" s="423" t="str">
        <f>'Day 1.1 Informasi'!F15</f>
        <v>Beban Sewa</v>
      </c>
      <c r="C16" s="424">
        <f>'Day 1.3 Buku Besar'!F123</f>
        <v>0</v>
      </c>
      <c r="D16" s="49"/>
    </row>
    <row r="17" spans="1:4" ht="14.25" customHeight="1" x14ac:dyDescent="0.2">
      <c r="A17" s="484" t="s">
        <v>38</v>
      </c>
      <c r="B17" s="435"/>
      <c r="C17" s="48">
        <f t="shared" ref="C17:D17" si="0">SUM(C6:C16)</f>
        <v>26500000</v>
      </c>
      <c r="D17" s="48">
        <f t="shared" si="0"/>
        <v>16500000</v>
      </c>
    </row>
    <row r="18" spans="1:4" ht="14.25" customHeight="1" x14ac:dyDescent="0.2">
      <c r="A18" s="15"/>
      <c r="B18" s="15"/>
      <c r="C18" s="31"/>
    </row>
    <row r="19" spans="1:4" ht="14.25" customHeight="1" x14ac:dyDescent="0.2">
      <c r="A19" s="15"/>
      <c r="B19" s="15"/>
      <c r="C19" s="31"/>
    </row>
    <row r="20" spans="1:4" ht="14.25" customHeight="1" x14ac:dyDescent="0.2">
      <c r="A20" s="15"/>
      <c r="B20" s="15"/>
      <c r="C20" s="31"/>
    </row>
    <row r="21" spans="1:4" ht="14.25" customHeight="1" x14ac:dyDescent="0.2">
      <c r="A21" s="15"/>
      <c r="B21" s="15"/>
      <c r="C21" s="31"/>
    </row>
    <row r="22" spans="1:4" ht="14.25" customHeight="1" x14ac:dyDescent="0.2">
      <c r="A22" s="15"/>
      <c r="B22" s="15"/>
      <c r="C22" s="31"/>
    </row>
    <row r="23" spans="1:4" ht="14.25" customHeight="1" x14ac:dyDescent="0.2">
      <c r="A23" s="15"/>
      <c r="B23" s="15"/>
      <c r="C23" s="31"/>
    </row>
    <row r="24" spans="1:4" ht="14.25" customHeight="1" x14ac:dyDescent="0.2">
      <c r="A24" s="15"/>
      <c r="B24" s="15"/>
      <c r="C24" s="31"/>
    </row>
    <row r="25" spans="1:4" ht="14.25" customHeight="1" x14ac:dyDescent="0.2">
      <c r="A25" s="15"/>
      <c r="B25" s="15"/>
      <c r="C25" s="31"/>
    </row>
    <row r="26" spans="1:4" ht="14.25" customHeight="1" x14ac:dyDescent="0.2">
      <c r="A26" s="15"/>
      <c r="B26" s="15"/>
      <c r="C26" s="31"/>
    </row>
    <row r="27" spans="1:4" ht="14.25" customHeight="1" x14ac:dyDescent="0.2">
      <c r="A27" s="15"/>
      <c r="B27" s="15"/>
      <c r="C27" s="31"/>
    </row>
    <row r="28" spans="1:4" ht="14.25" customHeight="1" x14ac:dyDescent="0.2">
      <c r="A28" s="15"/>
      <c r="B28" s="15"/>
      <c r="C28" s="31"/>
    </row>
    <row r="29" spans="1:4" ht="14.25" customHeight="1" x14ac:dyDescent="0.2">
      <c r="A29" s="15"/>
      <c r="B29" s="15"/>
      <c r="C29" s="31"/>
    </row>
    <row r="30" spans="1:4" ht="14.25" customHeight="1" x14ac:dyDescent="0.2">
      <c r="A30" s="15"/>
      <c r="B30" s="15"/>
      <c r="C30" s="31"/>
    </row>
    <row r="31" spans="1:4" ht="14.25" customHeight="1" x14ac:dyDescent="0.2">
      <c r="A31" s="15"/>
      <c r="B31" s="15"/>
      <c r="C31" s="31"/>
    </row>
    <row r="32" spans="1:4" ht="14.25" customHeight="1" x14ac:dyDescent="0.2">
      <c r="A32" s="15"/>
      <c r="B32" s="15"/>
      <c r="C32" s="31"/>
    </row>
    <row r="33" spans="1:3" ht="14.25" customHeight="1" x14ac:dyDescent="0.2">
      <c r="A33" s="15"/>
      <c r="B33" s="15"/>
      <c r="C33" s="31"/>
    </row>
    <row r="34" spans="1:3" ht="14.25" customHeight="1" x14ac:dyDescent="0.2">
      <c r="A34" s="15"/>
      <c r="B34" s="15"/>
      <c r="C34" s="31"/>
    </row>
    <row r="35" spans="1:3" ht="14.25" customHeight="1" x14ac:dyDescent="0.2">
      <c r="A35" s="15"/>
      <c r="B35" s="15"/>
      <c r="C35" s="31"/>
    </row>
    <row r="36" spans="1:3" ht="14.25" customHeight="1" x14ac:dyDescent="0.2">
      <c r="A36" s="15"/>
      <c r="B36" s="15"/>
      <c r="C36" s="31"/>
    </row>
    <row r="37" spans="1:3" ht="14.25" customHeight="1" x14ac:dyDescent="0.2">
      <c r="A37" s="15"/>
      <c r="B37" s="15"/>
      <c r="C37" s="31"/>
    </row>
    <row r="38" spans="1:3" ht="14.25" customHeight="1" x14ac:dyDescent="0.2">
      <c r="A38" s="15"/>
      <c r="B38" s="15"/>
      <c r="C38" s="31"/>
    </row>
    <row r="39" spans="1:3" ht="14.25" customHeight="1" x14ac:dyDescent="0.2">
      <c r="A39" s="15"/>
      <c r="B39" s="15"/>
      <c r="C39" s="31"/>
    </row>
    <row r="40" spans="1:3" ht="14.25" customHeight="1" x14ac:dyDescent="0.2">
      <c r="A40" s="15"/>
      <c r="B40" s="15"/>
      <c r="C40" s="31"/>
    </row>
    <row r="41" spans="1:3" ht="14.25" customHeight="1" x14ac:dyDescent="0.2">
      <c r="A41" s="15"/>
      <c r="B41" s="15"/>
      <c r="C41" s="31"/>
    </row>
    <row r="42" spans="1:3" ht="14.25" customHeight="1" x14ac:dyDescent="0.2">
      <c r="A42" s="15"/>
      <c r="B42" s="15"/>
      <c r="C42" s="31"/>
    </row>
    <row r="43" spans="1:3" ht="14.25" customHeight="1" x14ac:dyDescent="0.2">
      <c r="A43" s="15"/>
      <c r="B43" s="15"/>
      <c r="C43" s="31"/>
    </row>
    <row r="44" spans="1:3" ht="14.25" customHeight="1" x14ac:dyDescent="0.2">
      <c r="A44" s="15"/>
      <c r="B44" s="15"/>
      <c r="C44" s="31"/>
    </row>
    <row r="45" spans="1:3" ht="14.25" customHeight="1" x14ac:dyDescent="0.2">
      <c r="A45" s="15"/>
      <c r="B45" s="15"/>
      <c r="C45" s="31"/>
    </row>
    <row r="46" spans="1:3" ht="14.25" customHeight="1" x14ac:dyDescent="0.2">
      <c r="A46" s="15"/>
      <c r="B46" s="15"/>
      <c r="C46" s="31"/>
    </row>
    <row r="47" spans="1:3" ht="14.25" customHeight="1" x14ac:dyDescent="0.2">
      <c r="A47" s="15"/>
      <c r="B47" s="15"/>
      <c r="C47" s="31"/>
    </row>
    <row r="48" spans="1:3" ht="14.25" customHeight="1" x14ac:dyDescent="0.2">
      <c r="A48" s="15"/>
      <c r="B48" s="15"/>
      <c r="C48" s="31"/>
    </row>
    <row r="49" spans="1:3" ht="14.25" customHeight="1" x14ac:dyDescent="0.2">
      <c r="A49" s="15"/>
      <c r="B49" s="15"/>
      <c r="C49" s="31"/>
    </row>
    <row r="50" spans="1:3" ht="14.25" customHeight="1" x14ac:dyDescent="0.2">
      <c r="A50" s="15"/>
      <c r="B50" s="15"/>
      <c r="C50" s="31"/>
    </row>
    <row r="51" spans="1:3" ht="14.25" customHeight="1" x14ac:dyDescent="0.2">
      <c r="A51" s="15"/>
      <c r="B51" s="15"/>
      <c r="C51" s="31"/>
    </row>
    <row r="52" spans="1:3" ht="14.25" customHeight="1" x14ac:dyDescent="0.2">
      <c r="A52" s="15"/>
      <c r="B52" s="15"/>
      <c r="C52" s="31"/>
    </row>
    <row r="53" spans="1:3" ht="14.25" customHeight="1" x14ac:dyDescent="0.2">
      <c r="A53" s="15"/>
      <c r="B53" s="15"/>
      <c r="C53" s="31"/>
    </row>
    <row r="54" spans="1:3" ht="14.25" customHeight="1" x14ac:dyDescent="0.2">
      <c r="A54" s="15"/>
      <c r="B54" s="15"/>
      <c r="C54" s="31"/>
    </row>
    <row r="55" spans="1:3" ht="14.25" customHeight="1" x14ac:dyDescent="0.2">
      <c r="A55" s="15"/>
      <c r="B55" s="15"/>
      <c r="C55" s="31"/>
    </row>
    <row r="56" spans="1:3" ht="14.25" customHeight="1" x14ac:dyDescent="0.2">
      <c r="A56" s="15"/>
      <c r="B56" s="15"/>
      <c r="C56" s="31"/>
    </row>
    <row r="57" spans="1:3" ht="14.25" customHeight="1" x14ac:dyDescent="0.2">
      <c r="A57" s="15"/>
      <c r="B57" s="15"/>
      <c r="C57" s="31"/>
    </row>
    <row r="58" spans="1:3" ht="14.25" customHeight="1" x14ac:dyDescent="0.2">
      <c r="A58" s="15"/>
      <c r="B58" s="15"/>
      <c r="C58" s="31"/>
    </row>
    <row r="59" spans="1:3" ht="14.25" customHeight="1" x14ac:dyDescent="0.2">
      <c r="A59" s="15"/>
      <c r="B59" s="15"/>
      <c r="C59" s="31"/>
    </row>
    <row r="60" spans="1:3" ht="14.25" customHeight="1" x14ac:dyDescent="0.2">
      <c r="A60" s="15"/>
      <c r="B60" s="15"/>
      <c r="C60" s="31"/>
    </row>
    <row r="61" spans="1:3" ht="14.25" customHeight="1" x14ac:dyDescent="0.2">
      <c r="A61" s="15"/>
      <c r="B61" s="15"/>
      <c r="C61" s="31"/>
    </row>
    <row r="62" spans="1:3" ht="14.25" customHeight="1" x14ac:dyDescent="0.2">
      <c r="A62" s="15"/>
      <c r="B62" s="15"/>
      <c r="C62" s="31"/>
    </row>
    <row r="63" spans="1:3" ht="14.25" customHeight="1" x14ac:dyDescent="0.2">
      <c r="A63" s="15"/>
      <c r="B63" s="15"/>
      <c r="C63" s="31"/>
    </row>
    <row r="64" spans="1:3" ht="14.25" customHeight="1" x14ac:dyDescent="0.2">
      <c r="A64" s="15"/>
      <c r="B64" s="15"/>
      <c r="C64" s="31"/>
    </row>
    <row r="65" spans="1:3" ht="14.25" customHeight="1" x14ac:dyDescent="0.2">
      <c r="A65" s="15"/>
      <c r="B65" s="15"/>
      <c r="C65" s="31"/>
    </row>
    <row r="66" spans="1:3" ht="14.25" customHeight="1" x14ac:dyDescent="0.2">
      <c r="A66" s="15"/>
      <c r="B66" s="15"/>
      <c r="C66" s="31"/>
    </row>
    <row r="67" spans="1:3" ht="14.25" customHeight="1" x14ac:dyDescent="0.2">
      <c r="A67" s="15"/>
      <c r="B67" s="15"/>
      <c r="C67" s="31"/>
    </row>
    <row r="68" spans="1:3" ht="14.25" customHeight="1" x14ac:dyDescent="0.2">
      <c r="A68" s="15"/>
      <c r="B68" s="15"/>
      <c r="C68" s="31"/>
    </row>
    <row r="69" spans="1:3" ht="14.25" customHeight="1" x14ac:dyDescent="0.2">
      <c r="A69" s="15"/>
      <c r="B69" s="15"/>
      <c r="C69" s="31"/>
    </row>
    <row r="70" spans="1:3" ht="14.25" customHeight="1" x14ac:dyDescent="0.2">
      <c r="A70" s="15"/>
      <c r="B70" s="15"/>
      <c r="C70" s="31"/>
    </row>
    <row r="71" spans="1:3" ht="14.25" customHeight="1" x14ac:dyDescent="0.2">
      <c r="A71" s="15"/>
      <c r="B71" s="15"/>
      <c r="C71" s="31"/>
    </row>
    <row r="72" spans="1:3" ht="14.25" customHeight="1" x14ac:dyDescent="0.2">
      <c r="A72" s="15"/>
      <c r="B72" s="15"/>
      <c r="C72" s="31"/>
    </row>
    <row r="73" spans="1:3" ht="14.25" customHeight="1" x14ac:dyDescent="0.2">
      <c r="A73" s="15"/>
      <c r="B73" s="15"/>
      <c r="C73" s="31"/>
    </row>
    <row r="74" spans="1:3" ht="14.25" customHeight="1" x14ac:dyDescent="0.2">
      <c r="A74" s="15"/>
      <c r="B74" s="15"/>
      <c r="C74" s="31"/>
    </row>
    <row r="75" spans="1:3" ht="14.25" customHeight="1" x14ac:dyDescent="0.2">
      <c r="A75" s="15"/>
      <c r="B75" s="15"/>
      <c r="C75" s="31"/>
    </row>
    <row r="76" spans="1:3" ht="14.25" customHeight="1" x14ac:dyDescent="0.2">
      <c r="A76" s="15"/>
      <c r="B76" s="15"/>
      <c r="C76" s="31"/>
    </row>
    <row r="77" spans="1:3" ht="14.25" customHeight="1" x14ac:dyDescent="0.2">
      <c r="A77" s="15"/>
      <c r="B77" s="15"/>
      <c r="C77" s="31"/>
    </row>
    <row r="78" spans="1:3" ht="14.25" customHeight="1" x14ac:dyDescent="0.2">
      <c r="A78" s="15"/>
      <c r="B78" s="15"/>
      <c r="C78" s="31"/>
    </row>
    <row r="79" spans="1:3" ht="14.25" customHeight="1" x14ac:dyDescent="0.2">
      <c r="A79" s="15"/>
      <c r="B79" s="15"/>
      <c r="C79" s="31"/>
    </row>
    <row r="80" spans="1:3" ht="14.25" customHeight="1" x14ac:dyDescent="0.2">
      <c r="A80" s="15"/>
      <c r="B80" s="15"/>
      <c r="C80" s="31"/>
    </row>
    <row r="81" spans="1:3" ht="14.25" customHeight="1" x14ac:dyDescent="0.2">
      <c r="A81" s="15"/>
      <c r="B81" s="15"/>
      <c r="C81" s="31"/>
    </row>
    <row r="82" spans="1:3" ht="14.25" customHeight="1" x14ac:dyDescent="0.2">
      <c r="A82" s="15"/>
      <c r="B82" s="15"/>
      <c r="C82" s="31"/>
    </row>
    <row r="83" spans="1:3" ht="14.25" customHeight="1" x14ac:dyDescent="0.2">
      <c r="A83" s="15"/>
      <c r="B83" s="15"/>
      <c r="C83" s="31"/>
    </row>
    <row r="84" spans="1:3" ht="14.25" customHeight="1" x14ac:dyDescent="0.2">
      <c r="A84" s="15"/>
      <c r="B84" s="15"/>
      <c r="C84" s="31"/>
    </row>
    <row r="85" spans="1:3" ht="14.25" customHeight="1" x14ac:dyDescent="0.2">
      <c r="A85" s="15"/>
      <c r="B85" s="15"/>
      <c r="C85" s="31"/>
    </row>
    <row r="86" spans="1:3" ht="14.25" customHeight="1" x14ac:dyDescent="0.2">
      <c r="A86" s="15"/>
      <c r="B86" s="15"/>
      <c r="C86" s="31"/>
    </row>
    <row r="87" spans="1:3" ht="14.25" customHeight="1" x14ac:dyDescent="0.2">
      <c r="A87" s="15"/>
      <c r="B87" s="15"/>
      <c r="C87" s="31"/>
    </row>
    <row r="88" spans="1:3" ht="14.25" customHeight="1" x14ac:dyDescent="0.2">
      <c r="A88" s="15"/>
      <c r="B88" s="15"/>
      <c r="C88" s="31"/>
    </row>
    <row r="89" spans="1:3" ht="14.25" customHeight="1" x14ac:dyDescent="0.2">
      <c r="A89" s="15"/>
      <c r="B89" s="15"/>
      <c r="C89" s="31"/>
    </row>
    <row r="90" spans="1:3" ht="14.25" customHeight="1" x14ac:dyDescent="0.2">
      <c r="A90" s="15"/>
      <c r="B90" s="15"/>
      <c r="C90" s="31"/>
    </row>
    <row r="91" spans="1:3" ht="14.25" customHeight="1" x14ac:dyDescent="0.2">
      <c r="A91" s="15"/>
      <c r="B91" s="15"/>
      <c r="C91" s="31"/>
    </row>
    <row r="92" spans="1:3" ht="14.25" customHeight="1" x14ac:dyDescent="0.2">
      <c r="A92" s="15"/>
      <c r="B92" s="15"/>
      <c r="C92" s="31"/>
    </row>
    <row r="93" spans="1:3" ht="14.25" customHeight="1" x14ac:dyDescent="0.2">
      <c r="A93" s="15"/>
      <c r="B93" s="15"/>
      <c r="C93" s="31"/>
    </row>
    <row r="94" spans="1:3" ht="14.25" customHeight="1" x14ac:dyDescent="0.2">
      <c r="A94" s="15"/>
      <c r="B94" s="15"/>
      <c r="C94" s="31"/>
    </row>
    <row r="95" spans="1:3" ht="14.25" customHeight="1" x14ac:dyDescent="0.2">
      <c r="A95" s="15"/>
      <c r="B95" s="15"/>
      <c r="C95" s="31"/>
    </row>
    <row r="96" spans="1:3" ht="14.25" customHeight="1" x14ac:dyDescent="0.2">
      <c r="A96" s="15"/>
      <c r="B96" s="15"/>
      <c r="C96" s="31"/>
    </row>
    <row r="97" spans="1:3" ht="14.25" customHeight="1" x14ac:dyDescent="0.2">
      <c r="A97" s="15"/>
      <c r="B97" s="15"/>
      <c r="C97" s="31"/>
    </row>
    <row r="98" spans="1:3" ht="14.25" customHeight="1" x14ac:dyDescent="0.2">
      <c r="A98" s="15"/>
      <c r="B98" s="15"/>
      <c r="C98" s="31"/>
    </row>
    <row r="99" spans="1:3" ht="14.25" customHeight="1" x14ac:dyDescent="0.2">
      <c r="A99" s="15"/>
      <c r="B99" s="15"/>
      <c r="C99" s="31"/>
    </row>
    <row r="100" spans="1:3" ht="14.25" customHeight="1" x14ac:dyDescent="0.2">
      <c r="A100" s="15"/>
      <c r="B100" s="15"/>
      <c r="C100" s="31"/>
    </row>
    <row r="101" spans="1:3" ht="14.25" customHeight="1" x14ac:dyDescent="0.2">
      <c r="A101" s="15"/>
      <c r="B101" s="15"/>
      <c r="C101" s="31"/>
    </row>
    <row r="102" spans="1:3" ht="14.25" customHeight="1" x14ac:dyDescent="0.2">
      <c r="A102" s="15"/>
      <c r="B102" s="15"/>
      <c r="C102" s="31"/>
    </row>
    <row r="103" spans="1:3" ht="14.25" customHeight="1" x14ac:dyDescent="0.2">
      <c r="A103" s="15"/>
      <c r="B103" s="15"/>
      <c r="C103" s="31"/>
    </row>
    <row r="104" spans="1:3" ht="14.25" customHeight="1" x14ac:dyDescent="0.2">
      <c r="A104" s="15"/>
      <c r="B104" s="15"/>
      <c r="C104" s="31"/>
    </row>
    <row r="105" spans="1:3" ht="14.25" customHeight="1" x14ac:dyDescent="0.2">
      <c r="A105" s="15"/>
      <c r="B105" s="15"/>
      <c r="C105" s="31"/>
    </row>
    <row r="106" spans="1:3" ht="14.25" customHeight="1" x14ac:dyDescent="0.2">
      <c r="A106" s="15"/>
      <c r="B106" s="15"/>
      <c r="C106" s="31"/>
    </row>
    <row r="107" spans="1:3" ht="14.25" customHeight="1" x14ac:dyDescent="0.2">
      <c r="A107" s="15"/>
      <c r="B107" s="15"/>
      <c r="C107" s="31"/>
    </row>
    <row r="108" spans="1:3" ht="14.25" customHeight="1" x14ac:dyDescent="0.2">
      <c r="A108" s="15"/>
      <c r="B108" s="15"/>
      <c r="C108" s="31"/>
    </row>
    <row r="109" spans="1:3" ht="14.25" customHeight="1" x14ac:dyDescent="0.2">
      <c r="A109" s="15"/>
      <c r="B109" s="15"/>
      <c r="C109" s="31"/>
    </row>
    <row r="110" spans="1:3" ht="14.25" customHeight="1" x14ac:dyDescent="0.2">
      <c r="A110" s="15"/>
      <c r="B110" s="15"/>
      <c r="C110" s="31"/>
    </row>
    <row r="111" spans="1:3" ht="14.25" customHeight="1" x14ac:dyDescent="0.2">
      <c r="A111" s="15"/>
      <c r="B111" s="15"/>
      <c r="C111" s="31"/>
    </row>
    <row r="112" spans="1:3" ht="14.25" customHeight="1" x14ac:dyDescent="0.2">
      <c r="A112" s="15"/>
      <c r="B112" s="15"/>
      <c r="C112" s="31"/>
    </row>
    <row r="113" spans="1:3" ht="14.25" customHeight="1" x14ac:dyDescent="0.2">
      <c r="A113" s="15"/>
      <c r="B113" s="15"/>
      <c r="C113" s="31"/>
    </row>
    <row r="114" spans="1:3" ht="14.25" customHeight="1" x14ac:dyDescent="0.2">
      <c r="A114" s="15"/>
      <c r="B114" s="15"/>
      <c r="C114" s="31"/>
    </row>
    <row r="115" spans="1:3" ht="14.25" customHeight="1" x14ac:dyDescent="0.2">
      <c r="A115" s="15"/>
      <c r="B115" s="15"/>
      <c r="C115" s="31"/>
    </row>
    <row r="116" spans="1:3" ht="14.25" customHeight="1" x14ac:dyDescent="0.2">
      <c r="A116" s="15"/>
      <c r="B116" s="15"/>
      <c r="C116" s="31"/>
    </row>
    <row r="117" spans="1:3" ht="14.25" customHeight="1" x14ac:dyDescent="0.2">
      <c r="A117" s="15"/>
      <c r="B117" s="15"/>
      <c r="C117" s="31"/>
    </row>
    <row r="118" spans="1:3" ht="14.25" customHeight="1" x14ac:dyDescent="0.2">
      <c r="A118" s="15"/>
      <c r="B118" s="15"/>
      <c r="C118" s="31"/>
    </row>
    <row r="119" spans="1:3" ht="14.25" customHeight="1" x14ac:dyDescent="0.2">
      <c r="A119" s="15"/>
      <c r="B119" s="15"/>
      <c r="C119" s="31"/>
    </row>
    <row r="120" spans="1:3" ht="14.25" customHeight="1" x14ac:dyDescent="0.2">
      <c r="A120" s="15"/>
      <c r="B120" s="15"/>
      <c r="C120" s="31"/>
    </row>
    <row r="121" spans="1:3" ht="14.25" customHeight="1" x14ac:dyDescent="0.2">
      <c r="A121" s="15"/>
      <c r="B121" s="15"/>
      <c r="C121" s="31"/>
    </row>
    <row r="122" spans="1:3" ht="14.25" customHeight="1" x14ac:dyDescent="0.2">
      <c r="A122" s="15"/>
      <c r="B122" s="15"/>
      <c r="C122" s="31"/>
    </row>
    <row r="123" spans="1:3" ht="14.25" customHeight="1" x14ac:dyDescent="0.2">
      <c r="A123" s="15"/>
      <c r="B123" s="15"/>
      <c r="C123" s="31"/>
    </row>
    <row r="124" spans="1:3" ht="14.25" customHeight="1" x14ac:dyDescent="0.2">
      <c r="A124" s="15"/>
      <c r="B124" s="15"/>
      <c r="C124" s="31"/>
    </row>
    <row r="125" spans="1:3" ht="14.25" customHeight="1" x14ac:dyDescent="0.2">
      <c r="A125" s="15"/>
      <c r="B125" s="15"/>
      <c r="C125" s="31"/>
    </row>
    <row r="126" spans="1:3" ht="14.25" customHeight="1" x14ac:dyDescent="0.2">
      <c r="A126" s="15"/>
      <c r="B126" s="15"/>
      <c r="C126" s="31"/>
    </row>
    <row r="127" spans="1:3" ht="14.25" customHeight="1" x14ac:dyDescent="0.2">
      <c r="A127" s="15"/>
      <c r="B127" s="15"/>
      <c r="C127" s="31"/>
    </row>
    <row r="128" spans="1:3" ht="14.25" customHeight="1" x14ac:dyDescent="0.2">
      <c r="A128" s="15"/>
      <c r="B128" s="15"/>
      <c r="C128" s="31"/>
    </row>
    <row r="129" spans="1:3" ht="14.25" customHeight="1" x14ac:dyDescent="0.2">
      <c r="A129" s="15"/>
      <c r="B129" s="15"/>
      <c r="C129" s="31"/>
    </row>
    <row r="130" spans="1:3" ht="14.25" customHeight="1" x14ac:dyDescent="0.2">
      <c r="A130" s="15"/>
      <c r="B130" s="15"/>
      <c r="C130" s="31"/>
    </row>
    <row r="131" spans="1:3" ht="14.25" customHeight="1" x14ac:dyDescent="0.2">
      <c r="A131" s="15"/>
      <c r="B131" s="15"/>
      <c r="C131" s="31"/>
    </row>
    <row r="132" spans="1:3" ht="14.25" customHeight="1" x14ac:dyDescent="0.2">
      <c r="A132" s="15"/>
      <c r="B132" s="15"/>
      <c r="C132" s="31"/>
    </row>
    <row r="133" spans="1:3" ht="14.25" customHeight="1" x14ac:dyDescent="0.2">
      <c r="A133" s="15"/>
      <c r="B133" s="15"/>
      <c r="C133" s="31"/>
    </row>
    <row r="134" spans="1:3" ht="14.25" customHeight="1" x14ac:dyDescent="0.2">
      <c r="A134" s="15"/>
      <c r="B134" s="15"/>
      <c r="C134" s="31"/>
    </row>
    <row r="135" spans="1:3" ht="14.25" customHeight="1" x14ac:dyDescent="0.2">
      <c r="A135" s="15"/>
      <c r="B135" s="15"/>
      <c r="C135" s="31"/>
    </row>
    <row r="136" spans="1:3" ht="14.25" customHeight="1" x14ac:dyDescent="0.2">
      <c r="A136" s="15"/>
      <c r="B136" s="15"/>
      <c r="C136" s="31"/>
    </row>
    <row r="137" spans="1:3" ht="14.25" customHeight="1" x14ac:dyDescent="0.2">
      <c r="A137" s="15"/>
      <c r="B137" s="15"/>
      <c r="C137" s="31"/>
    </row>
    <row r="138" spans="1:3" ht="14.25" customHeight="1" x14ac:dyDescent="0.2">
      <c r="A138" s="15"/>
      <c r="B138" s="15"/>
      <c r="C138" s="31"/>
    </row>
    <row r="139" spans="1:3" ht="14.25" customHeight="1" x14ac:dyDescent="0.2">
      <c r="A139" s="15"/>
      <c r="B139" s="15"/>
      <c r="C139" s="31"/>
    </row>
    <row r="140" spans="1:3" ht="14.25" customHeight="1" x14ac:dyDescent="0.2">
      <c r="A140" s="15"/>
      <c r="B140" s="15"/>
      <c r="C140" s="31"/>
    </row>
    <row r="141" spans="1:3" ht="14.25" customHeight="1" x14ac:dyDescent="0.2">
      <c r="A141" s="15"/>
      <c r="B141" s="15"/>
      <c r="C141" s="31"/>
    </row>
    <row r="142" spans="1:3" ht="14.25" customHeight="1" x14ac:dyDescent="0.2">
      <c r="A142" s="15"/>
      <c r="B142" s="15"/>
      <c r="C142" s="31"/>
    </row>
    <row r="143" spans="1:3" ht="14.25" customHeight="1" x14ac:dyDescent="0.2">
      <c r="A143" s="15"/>
      <c r="B143" s="15"/>
      <c r="C143" s="31"/>
    </row>
    <row r="144" spans="1:3" ht="14.25" customHeight="1" x14ac:dyDescent="0.2">
      <c r="A144" s="15"/>
      <c r="B144" s="15"/>
      <c r="C144" s="31"/>
    </row>
    <row r="145" spans="1:3" ht="14.25" customHeight="1" x14ac:dyDescent="0.2">
      <c r="A145" s="15"/>
      <c r="B145" s="15"/>
      <c r="C145" s="31"/>
    </row>
    <row r="146" spans="1:3" ht="14.25" customHeight="1" x14ac:dyDescent="0.2">
      <c r="A146" s="15"/>
      <c r="B146" s="15"/>
      <c r="C146" s="31"/>
    </row>
    <row r="147" spans="1:3" ht="14.25" customHeight="1" x14ac:dyDescent="0.2">
      <c r="A147" s="15"/>
      <c r="B147" s="15"/>
      <c r="C147" s="31"/>
    </row>
    <row r="148" spans="1:3" ht="14.25" customHeight="1" x14ac:dyDescent="0.2">
      <c r="A148" s="15"/>
      <c r="B148" s="15"/>
      <c r="C148" s="31"/>
    </row>
    <row r="149" spans="1:3" ht="14.25" customHeight="1" x14ac:dyDescent="0.2">
      <c r="A149" s="15"/>
      <c r="B149" s="15"/>
      <c r="C149" s="31"/>
    </row>
    <row r="150" spans="1:3" ht="14.25" customHeight="1" x14ac:dyDescent="0.2">
      <c r="A150" s="15"/>
      <c r="B150" s="15"/>
      <c r="C150" s="31"/>
    </row>
    <row r="151" spans="1:3" ht="14.25" customHeight="1" x14ac:dyDescent="0.2">
      <c r="A151" s="15"/>
      <c r="B151" s="15"/>
      <c r="C151" s="31"/>
    </row>
    <row r="152" spans="1:3" ht="14.25" customHeight="1" x14ac:dyDescent="0.2">
      <c r="A152" s="15"/>
      <c r="B152" s="15"/>
      <c r="C152" s="31"/>
    </row>
    <row r="153" spans="1:3" ht="14.25" customHeight="1" x14ac:dyDescent="0.2">
      <c r="A153" s="15"/>
      <c r="B153" s="15"/>
      <c r="C153" s="31"/>
    </row>
    <row r="154" spans="1:3" ht="14.25" customHeight="1" x14ac:dyDescent="0.2">
      <c r="A154" s="15"/>
      <c r="B154" s="15"/>
      <c r="C154" s="31"/>
    </row>
    <row r="155" spans="1:3" ht="14.25" customHeight="1" x14ac:dyDescent="0.2">
      <c r="A155" s="15"/>
      <c r="B155" s="15"/>
      <c r="C155" s="31"/>
    </row>
    <row r="156" spans="1:3" ht="14.25" customHeight="1" x14ac:dyDescent="0.2">
      <c r="A156" s="15"/>
      <c r="B156" s="15"/>
      <c r="C156" s="31"/>
    </row>
    <row r="157" spans="1:3" ht="14.25" customHeight="1" x14ac:dyDescent="0.2">
      <c r="A157" s="15"/>
      <c r="B157" s="15"/>
      <c r="C157" s="31"/>
    </row>
    <row r="158" spans="1:3" ht="14.25" customHeight="1" x14ac:dyDescent="0.2">
      <c r="A158" s="15"/>
      <c r="B158" s="15"/>
      <c r="C158" s="31"/>
    </row>
    <row r="159" spans="1:3" ht="14.25" customHeight="1" x14ac:dyDescent="0.2">
      <c r="A159" s="15"/>
      <c r="B159" s="15"/>
      <c r="C159" s="31"/>
    </row>
    <row r="160" spans="1:3" ht="14.25" customHeight="1" x14ac:dyDescent="0.2">
      <c r="A160" s="15"/>
      <c r="B160" s="15"/>
      <c r="C160" s="31"/>
    </row>
    <row r="161" spans="1:3" ht="14.25" customHeight="1" x14ac:dyDescent="0.2">
      <c r="A161" s="15"/>
      <c r="B161" s="15"/>
      <c r="C161" s="31"/>
    </row>
    <row r="162" spans="1:3" ht="14.25" customHeight="1" x14ac:dyDescent="0.2">
      <c r="A162" s="15"/>
      <c r="B162" s="15"/>
      <c r="C162" s="31"/>
    </row>
    <row r="163" spans="1:3" ht="14.25" customHeight="1" x14ac:dyDescent="0.2">
      <c r="A163" s="15"/>
      <c r="B163" s="15"/>
      <c r="C163" s="31"/>
    </row>
    <row r="164" spans="1:3" ht="14.25" customHeight="1" x14ac:dyDescent="0.2">
      <c r="A164" s="15"/>
      <c r="B164" s="15"/>
      <c r="C164" s="31"/>
    </row>
    <row r="165" spans="1:3" ht="14.25" customHeight="1" x14ac:dyDescent="0.2">
      <c r="A165" s="15"/>
      <c r="B165" s="15"/>
      <c r="C165" s="31"/>
    </row>
    <row r="166" spans="1:3" ht="14.25" customHeight="1" x14ac:dyDescent="0.2">
      <c r="A166" s="15"/>
      <c r="B166" s="15"/>
      <c r="C166" s="31"/>
    </row>
    <row r="167" spans="1:3" ht="14.25" customHeight="1" x14ac:dyDescent="0.2">
      <c r="A167" s="15"/>
      <c r="B167" s="15"/>
      <c r="C167" s="31"/>
    </row>
    <row r="168" spans="1:3" ht="14.25" customHeight="1" x14ac:dyDescent="0.2">
      <c r="A168" s="15"/>
      <c r="B168" s="15"/>
      <c r="C168" s="31"/>
    </row>
    <row r="169" spans="1:3" ht="14.25" customHeight="1" x14ac:dyDescent="0.2">
      <c r="A169" s="15"/>
      <c r="B169" s="15"/>
      <c r="C169" s="31"/>
    </row>
    <row r="170" spans="1:3" ht="14.25" customHeight="1" x14ac:dyDescent="0.2">
      <c r="A170" s="15"/>
      <c r="B170" s="15"/>
      <c r="C170" s="31"/>
    </row>
    <row r="171" spans="1:3" ht="14.25" customHeight="1" x14ac:dyDescent="0.2">
      <c r="A171" s="15"/>
      <c r="B171" s="15"/>
      <c r="C171" s="31"/>
    </row>
    <row r="172" spans="1:3" ht="14.25" customHeight="1" x14ac:dyDescent="0.2">
      <c r="A172" s="15"/>
      <c r="B172" s="15"/>
      <c r="C172" s="31"/>
    </row>
    <row r="173" spans="1:3" ht="14.25" customHeight="1" x14ac:dyDescent="0.2">
      <c r="A173" s="15"/>
      <c r="B173" s="15"/>
      <c r="C173" s="31"/>
    </row>
    <row r="174" spans="1:3" ht="14.25" customHeight="1" x14ac:dyDescent="0.2">
      <c r="A174" s="15"/>
      <c r="B174" s="15"/>
      <c r="C174" s="31"/>
    </row>
    <row r="175" spans="1:3" ht="14.25" customHeight="1" x14ac:dyDescent="0.2">
      <c r="A175" s="15"/>
      <c r="B175" s="15"/>
      <c r="C175" s="31"/>
    </row>
    <row r="176" spans="1:3" ht="14.25" customHeight="1" x14ac:dyDescent="0.2">
      <c r="A176" s="15"/>
      <c r="B176" s="15"/>
      <c r="C176" s="31"/>
    </row>
    <row r="177" spans="1:3" ht="14.25" customHeight="1" x14ac:dyDescent="0.2">
      <c r="A177" s="15"/>
      <c r="B177" s="15"/>
      <c r="C177" s="31"/>
    </row>
    <row r="178" spans="1:3" ht="14.25" customHeight="1" x14ac:dyDescent="0.2">
      <c r="A178" s="15"/>
      <c r="B178" s="15"/>
      <c r="C178" s="31"/>
    </row>
    <row r="179" spans="1:3" ht="14.25" customHeight="1" x14ac:dyDescent="0.2">
      <c r="A179" s="15"/>
      <c r="B179" s="15"/>
      <c r="C179" s="31"/>
    </row>
    <row r="180" spans="1:3" ht="14.25" customHeight="1" x14ac:dyDescent="0.2">
      <c r="A180" s="15"/>
      <c r="B180" s="15"/>
      <c r="C180" s="31"/>
    </row>
    <row r="181" spans="1:3" ht="14.25" customHeight="1" x14ac:dyDescent="0.2">
      <c r="A181" s="15"/>
      <c r="B181" s="15"/>
      <c r="C181" s="31"/>
    </row>
    <row r="182" spans="1:3" ht="14.25" customHeight="1" x14ac:dyDescent="0.2">
      <c r="A182" s="15"/>
      <c r="B182" s="15"/>
      <c r="C182" s="31"/>
    </row>
    <row r="183" spans="1:3" ht="14.25" customHeight="1" x14ac:dyDescent="0.2">
      <c r="A183" s="15"/>
      <c r="B183" s="15"/>
      <c r="C183" s="31"/>
    </row>
    <row r="184" spans="1:3" ht="14.25" customHeight="1" x14ac:dyDescent="0.2">
      <c r="A184" s="15"/>
      <c r="B184" s="15"/>
      <c r="C184" s="31"/>
    </row>
    <row r="185" spans="1:3" ht="14.25" customHeight="1" x14ac:dyDescent="0.2">
      <c r="A185" s="15"/>
      <c r="B185" s="15"/>
      <c r="C185" s="31"/>
    </row>
    <row r="186" spans="1:3" ht="14.25" customHeight="1" x14ac:dyDescent="0.2">
      <c r="A186" s="15"/>
      <c r="B186" s="15"/>
      <c r="C186" s="31"/>
    </row>
    <row r="187" spans="1:3" ht="14.25" customHeight="1" x14ac:dyDescent="0.2">
      <c r="A187" s="15"/>
      <c r="B187" s="15"/>
      <c r="C187" s="31"/>
    </row>
    <row r="188" spans="1:3" ht="14.25" customHeight="1" x14ac:dyDescent="0.2">
      <c r="A188" s="15"/>
      <c r="B188" s="15"/>
      <c r="C188" s="31"/>
    </row>
    <row r="189" spans="1:3" ht="14.25" customHeight="1" x14ac:dyDescent="0.2">
      <c r="A189" s="15"/>
      <c r="B189" s="15"/>
      <c r="C189" s="31"/>
    </row>
    <row r="190" spans="1:3" ht="14.25" customHeight="1" x14ac:dyDescent="0.2">
      <c r="A190" s="15"/>
      <c r="B190" s="15"/>
      <c r="C190" s="31"/>
    </row>
    <row r="191" spans="1:3" ht="14.25" customHeight="1" x14ac:dyDescent="0.2">
      <c r="A191" s="15"/>
      <c r="B191" s="15"/>
      <c r="C191" s="31"/>
    </row>
    <row r="192" spans="1:3" ht="14.25" customHeight="1" x14ac:dyDescent="0.2">
      <c r="A192" s="15"/>
      <c r="B192" s="15"/>
      <c r="C192" s="31"/>
    </row>
    <row r="193" spans="1:3" ht="14.25" customHeight="1" x14ac:dyDescent="0.2">
      <c r="A193" s="15"/>
      <c r="B193" s="15"/>
      <c r="C193" s="31"/>
    </row>
    <row r="194" spans="1:3" ht="14.25" customHeight="1" x14ac:dyDescent="0.2">
      <c r="A194" s="15"/>
      <c r="B194" s="15"/>
      <c r="C194" s="31"/>
    </row>
    <row r="195" spans="1:3" ht="14.25" customHeight="1" x14ac:dyDescent="0.2">
      <c r="A195" s="15"/>
      <c r="B195" s="15"/>
      <c r="C195" s="31"/>
    </row>
    <row r="196" spans="1:3" ht="14.25" customHeight="1" x14ac:dyDescent="0.2">
      <c r="A196" s="15"/>
      <c r="B196" s="15"/>
      <c r="C196" s="31"/>
    </row>
    <row r="197" spans="1:3" ht="14.25" customHeight="1" x14ac:dyDescent="0.2">
      <c r="A197" s="15"/>
      <c r="B197" s="15"/>
      <c r="C197" s="31"/>
    </row>
    <row r="198" spans="1:3" ht="14.25" customHeight="1" x14ac:dyDescent="0.2">
      <c r="A198" s="15"/>
      <c r="B198" s="15"/>
      <c r="C198" s="31"/>
    </row>
    <row r="199" spans="1:3" ht="14.25" customHeight="1" x14ac:dyDescent="0.2">
      <c r="A199" s="15"/>
      <c r="B199" s="15"/>
      <c r="C199" s="31"/>
    </row>
    <row r="200" spans="1:3" ht="14.25" customHeight="1" x14ac:dyDescent="0.2">
      <c r="A200" s="15"/>
      <c r="B200" s="15"/>
      <c r="C200" s="31"/>
    </row>
    <row r="201" spans="1:3" ht="14.25" customHeight="1" x14ac:dyDescent="0.2">
      <c r="A201" s="15"/>
      <c r="B201" s="15"/>
      <c r="C201" s="31"/>
    </row>
    <row r="202" spans="1:3" ht="14.25" customHeight="1" x14ac:dyDescent="0.2">
      <c r="A202" s="15"/>
      <c r="B202" s="15"/>
      <c r="C202" s="31"/>
    </row>
    <row r="203" spans="1:3" ht="14.25" customHeight="1" x14ac:dyDescent="0.2">
      <c r="A203" s="15"/>
      <c r="B203" s="15"/>
      <c r="C203" s="31"/>
    </row>
    <row r="204" spans="1:3" ht="14.25" customHeight="1" x14ac:dyDescent="0.2">
      <c r="A204" s="15"/>
      <c r="B204" s="15"/>
      <c r="C204" s="31"/>
    </row>
    <row r="205" spans="1:3" ht="14.25" customHeight="1" x14ac:dyDescent="0.2">
      <c r="A205" s="15"/>
      <c r="B205" s="15"/>
      <c r="C205" s="31"/>
    </row>
    <row r="206" spans="1:3" ht="14.25" customHeight="1" x14ac:dyDescent="0.2">
      <c r="A206" s="15"/>
      <c r="B206" s="15"/>
      <c r="C206" s="31"/>
    </row>
    <row r="207" spans="1:3" ht="14.25" customHeight="1" x14ac:dyDescent="0.2">
      <c r="A207" s="15"/>
      <c r="B207" s="15"/>
      <c r="C207" s="31"/>
    </row>
    <row r="208" spans="1:3" ht="14.25" customHeight="1" x14ac:dyDescent="0.2">
      <c r="A208" s="15"/>
      <c r="B208" s="15"/>
      <c r="C208" s="31"/>
    </row>
    <row r="209" spans="1:3" ht="14.25" customHeight="1" x14ac:dyDescent="0.2">
      <c r="A209" s="15"/>
      <c r="B209" s="15"/>
      <c r="C209" s="31"/>
    </row>
    <row r="210" spans="1:3" ht="14.25" customHeight="1" x14ac:dyDescent="0.2">
      <c r="A210" s="15"/>
      <c r="B210" s="15"/>
      <c r="C210" s="31"/>
    </row>
    <row r="211" spans="1:3" ht="14.25" customHeight="1" x14ac:dyDescent="0.2">
      <c r="A211" s="15"/>
      <c r="B211" s="15"/>
      <c r="C211" s="31"/>
    </row>
    <row r="212" spans="1:3" ht="14.25" customHeight="1" x14ac:dyDescent="0.2">
      <c r="A212" s="15"/>
      <c r="B212" s="15"/>
      <c r="C212" s="31"/>
    </row>
    <row r="213" spans="1:3" ht="14.25" customHeight="1" x14ac:dyDescent="0.2">
      <c r="A213" s="15"/>
      <c r="B213" s="15"/>
      <c r="C213" s="31"/>
    </row>
    <row r="214" spans="1:3" ht="14.25" customHeight="1" x14ac:dyDescent="0.2">
      <c r="A214" s="15"/>
      <c r="B214" s="15"/>
      <c r="C214" s="31"/>
    </row>
    <row r="215" spans="1:3" ht="14.25" customHeight="1" x14ac:dyDescent="0.2">
      <c r="A215" s="15"/>
      <c r="B215" s="15"/>
      <c r="C215" s="31"/>
    </row>
    <row r="216" spans="1:3" ht="14.25" customHeight="1" x14ac:dyDescent="0.2">
      <c r="A216" s="15"/>
      <c r="B216" s="15"/>
      <c r="C216" s="31"/>
    </row>
    <row r="217" spans="1:3" ht="14.25" customHeight="1" x14ac:dyDescent="0.2">
      <c r="A217" s="15"/>
      <c r="B217" s="15"/>
      <c r="C217" s="31"/>
    </row>
    <row r="218" spans="1:3" ht="14.25" customHeight="1" x14ac:dyDescent="0.2">
      <c r="A218" s="15"/>
      <c r="B218" s="15"/>
      <c r="C218" s="31"/>
    </row>
    <row r="219" spans="1:3" ht="14.25" customHeight="1" x14ac:dyDescent="0.2">
      <c r="A219" s="15"/>
      <c r="B219" s="15"/>
      <c r="C219" s="31"/>
    </row>
    <row r="220" spans="1:3" ht="14.25" customHeight="1" x14ac:dyDescent="0.2">
      <c r="A220" s="15"/>
      <c r="B220" s="15"/>
      <c r="C220" s="31"/>
    </row>
  </sheetData>
  <mergeCells count="4">
    <mergeCell ref="A1:D1"/>
    <mergeCell ref="A2:D2"/>
    <mergeCell ref="A3:D3"/>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18</vt:i4>
      </vt:variant>
    </vt:vector>
  </HeadingPairs>
  <TitlesOfParts>
    <vt:vector size="18" baseType="lpstr">
      <vt:lpstr>Day 1.1 Informasi</vt:lpstr>
      <vt:lpstr>Day 1.2 Jurnal Umum</vt:lpstr>
      <vt:lpstr>Day 1.3 Buku Besar</vt:lpstr>
      <vt:lpstr>Day 2.1 Informasi</vt:lpstr>
      <vt:lpstr>Day 2.2 Jurnal Penyesuian</vt:lpstr>
      <vt:lpstr>Day 2.3 Neraca Lajur</vt:lpstr>
      <vt:lpstr>Day 2.4 Laporan</vt:lpstr>
      <vt:lpstr>Day 3.1 Analis Laporan Keuangan</vt:lpstr>
      <vt:lpstr>Day 3.2 Analis Laporan Keuangan</vt:lpstr>
      <vt:lpstr>Day 4.1 Akuntansi Biaya</vt:lpstr>
      <vt:lpstr>Day 4 .2 Akuntansi Biaya</vt:lpstr>
      <vt:lpstr>Day 5.1 PPh 21</vt:lpstr>
      <vt:lpstr>Day 5.2 PPh 21</vt:lpstr>
      <vt:lpstr>Day 6.1 PPh Badan</vt:lpstr>
      <vt:lpstr>Day 6.2 PPH Badan</vt:lpstr>
      <vt:lpstr>Day 7 Pengantar Audit</vt:lpstr>
      <vt:lpstr>Day 8 Trial Ballance</vt:lpstr>
      <vt:lpstr>Neraca Saldo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Adelia Sulistyani</dc:creator>
  <cp:lastModifiedBy>pakuy kuya</cp:lastModifiedBy>
  <dcterms:created xsi:type="dcterms:W3CDTF">2024-06-10T04:42:09Z</dcterms:created>
  <dcterms:modified xsi:type="dcterms:W3CDTF">2025-11-15T00:45:32Z</dcterms:modified>
</cp:coreProperties>
</file>