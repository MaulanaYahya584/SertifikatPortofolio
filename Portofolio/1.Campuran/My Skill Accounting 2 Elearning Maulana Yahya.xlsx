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defaultThemeVersion="166925"/>
  <mc:AlternateContent xmlns:mc="http://schemas.openxmlformats.org/markup-compatibility/2006">
    <mc:Choice Requires="x15">
      <x15ac:absPath xmlns:x15ac="http://schemas.microsoft.com/office/spreadsheetml/2010/11/ac" url="C:\Users\pakuy\Documents\Statistik Excel\tugas my skill\FIX Tugas\Portofolio Excel\Akuntansi\"/>
    </mc:Choice>
  </mc:AlternateContent>
  <xr:revisionPtr revIDLastSave="0" documentId="13_ncr:1_{3F523E49-E0FD-4984-8013-C2E6BCE8FC5B}" xr6:coauthVersionLast="47" xr6:coauthVersionMax="47" xr10:uidLastSave="{00000000-0000-0000-0000-000000000000}"/>
  <bookViews>
    <workbookView xWindow="-120" yWindow="-120" windowWidth="29040" windowHeight="15720" firstSheet="36" activeTab="43" xr2:uid="{59DBEB53-1372-4BAD-A0BA-9AE9E17251B9}"/>
  </bookViews>
  <sheets>
    <sheet name="KASUS 1" sheetId="1" r:id="rId1"/>
    <sheet name="KASUS 2" sheetId="3" r:id="rId2"/>
    <sheet name="KASUS 2.2" sheetId="2" r:id="rId3"/>
    <sheet name="KASUS 2.3" sheetId="4" r:id="rId4"/>
    <sheet name="KASUS 3.1" sheetId="5" r:id="rId5"/>
    <sheet name="KAUSUS 3.2" sheetId="6" r:id="rId6"/>
    <sheet name="KAUSUS 3.3" sheetId="7" r:id="rId7"/>
    <sheet name="KASUSS 4.1" sheetId="9" r:id="rId8"/>
    <sheet name="KASUS 4.2" sheetId="10" r:id="rId9"/>
    <sheet name="KASUS 5.1" sheetId="11" r:id="rId10"/>
    <sheet name="KASUS 5.2" sheetId="12" r:id="rId11"/>
    <sheet name="KASUS 6.1" sheetId="13" r:id="rId12"/>
    <sheet name="KASUS 6.2" sheetId="14" r:id="rId13"/>
    <sheet name="KASUS 6.3" sheetId="15" r:id="rId14"/>
    <sheet name="KASUS 7.1" sheetId="16" r:id="rId15"/>
    <sheet name="KASUS 7.2" sheetId="17" r:id="rId16"/>
    <sheet name="KASUS 7.3" sheetId="18" r:id="rId17"/>
    <sheet name="KASUS 8.1" sheetId="20" r:id="rId18"/>
    <sheet name="KASUS 8.2" sheetId="19" r:id="rId19"/>
    <sheet name="KASUS 9" sheetId="23" r:id="rId20"/>
    <sheet name="KASUS 10" sheetId="24" r:id="rId21"/>
    <sheet name="Kasus 11.1" sheetId="29" r:id="rId22"/>
    <sheet name="Kasus 11.2" sheetId="28" r:id="rId23"/>
    <sheet name="Kasus 11.3" sheetId="25" r:id="rId24"/>
    <sheet name="Kasus 11.4" sheetId="26" r:id="rId25"/>
    <sheet name="Kasus12.1" sheetId="30" r:id="rId26"/>
    <sheet name="Kasus 12.2" sheetId="31" r:id="rId27"/>
    <sheet name="Kasus 12.3" sheetId="32" r:id="rId28"/>
    <sheet name="Kasus 13.1" sheetId="33" r:id="rId29"/>
    <sheet name="Kasus 3.2" sheetId="34" r:id="rId30"/>
    <sheet name="Kasus 13.3" sheetId="35" r:id="rId31"/>
    <sheet name="Kasus 13.4" sheetId="36" r:id="rId32"/>
    <sheet name="Kasus 13.5" sheetId="37" r:id="rId33"/>
    <sheet name="Kasus 14.1" sheetId="38" r:id="rId34"/>
    <sheet name="Kasus 15.1" sheetId="39" r:id="rId35"/>
    <sheet name="Kasus.15.2" sheetId="40" r:id="rId36"/>
    <sheet name="Kasus 16" sheetId="41" r:id="rId37"/>
    <sheet name="Kasus 17" sheetId="43" r:id="rId38"/>
    <sheet name="Kasus 18.1" sheetId="44" r:id="rId39"/>
    <sheet name="Kasus 19.2" sheetId="42" r:id="rId40"/>
    <sheet name="Kasus 19.3" sheetId="45" r:id="rId41"/>
    <sheet name="Kasus 20" sheetId="46" r:id="rId42"/>
    <sheet name="Kasus 21" sheetId="47" r:id="rId43"/>
    <sheet name="Kasus 22" sheetId="48" r:id="rId44"/>
    <sheet name="Kasus 23" sheetId="49" r:id="rId45"/>
    <sheet name="Kasus 24" sheetId="50" r:id="rId46"/>
    <sheet name="Sheet1" sheetId="51" r:id="rId4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50" i="41" l="1"/>
  <c r="B52" i="41"/>
  <c r="G89" i="46"/>
  <c r="G87" i="46"/>
  <c r="G85" i="46"/>
  <c r="G81" i="46"/>
  <c r="F83" i="46"/>
  <c r="F85" i="46" s="1"/>
  <c r="C69" i="46"/>
  <c r="D69" i="46"/>
  <c r="E69" i="46"/>
  <c r="G67" i="46"/>
  <c r="F84" i="46"/>
  <c r="F82" i="46"/>
  <c r="F71" i="46"/>
  <c r="F67" i="46"/>
  <c r="F70" i="46"/>
  <c r="F68" i="46"/>
  <c r="B68" i="46"/>
  <c r="C68" i="46"/>
  <c r="D68" i="46"/>
  <c r="A36" i="42"/>
  <c r="A35" i="42"/>
  <c r="B35" i="42"/>
  <c r="B36" i="42"/>
  <c r="E26" i="42"/>
  <c r="E27" i="42"/>
  <c r="E28" i="42"/>
  <c r="B36" i="43"/>
  <c r="B37" i="43"/>
  <c r="E25" i="42"/>
  <c r="C26" i="42"/>
  <c r="C27" i="42"/>
  <c r="C28" i="42"/>
  <c r="C25" i="42"/>
  <c r="F31" i="42"/>
  <c r="D31" i="42"/>
  <c r="A25" i="42" a="1"/>
  <c r="B8" i="20"/>
  <c r="B17" i="19"/>
  <c r="J3" i="12"/>
  <c r="E13" i="12"/>
  <c r="C13" i="12"/>
  <c r="D13" i="12"/>
  <c r="F13" i="12"/>
  <c r="B13" i="12"/>
  <c r="F27" i="42" l="1"/>
  <c r="D28" i="42"/>
  <c r="F28" i="42"/>
  <c r="A25" i="42"/>
  <c r="D27" i="42"/>
  <c r="D26" i="42"/>
  <c r="F26" i="42"/>
  <c r="B28" i="50"/>
  <c r="A28" i="50"/>
  <c r="C19" i="50"/>
  <c r="C20" i="50"/>
  <c r="C21" i="50"/>
  <c r="C22" i="50"/>
  <c r="C18" i="50"/>
  <c r="B23" i="50" s="1"/>
  <c r="B46" i="49"/>
  <c r="B42" i="49"/>
  <c r="B34" i="49"/>
  <c r="B43" i="49"/>
  <c r="B31" i="49"/>
  <c r="B41" i="49" s="1"/>
  <c r="B26" i="49"/>
  <c r="B28" i="49" s="1"/>
  <c r="F38" i="32"/>
  <c r="B53" i="41"/>
  <c r="C55" i="48"/>
  <c r="H36" i="48" s="1"/>
  <c r="B52" i="48"/>
  <c r="B51" i="48"/>
  <c r="A52" i="48"/>
  <c r="D25" i="42" l="1"/>
  <c r="D30" i="42" s="1"/>
  <c r="F25" i="42"/>
  <c r="F30" i="42" s="1"/>
  <c r="F32" i="42" s="1"/>
  <c r="B32" i="50"/>
  <c r="B33" i="50"/>
  <c r="B35" i="49"/>
  <c r="B44" i="49"/>
  <c r="B45" i="49" s="1"/>
  <c r="C53" i="48"/>
  <c r="C49" i="48"/>
  <c r="C48" i="48"/>
  <c r="C44" i="48"/>
  <c r="C43" i="48"/>
  <c r="C39" i="48"/>
  <c r="H26" i="48"/>
  <c r="H27" i="48"/>
  <c r="H28" i="48"/>
  <c r="H29" i="48"/>
  <c r="H30" i="48"/>
  <c r="H31" i="48"/>
  <c r="H32" i="48"/>
  <c r="H33" i="48"/>
  <c r="H34" i="48"/>
  <c r="H35" i="48"/>
  <c r="H25" i="48"/>
  <c r="F37" i="48"/>
  <c r="B37" i="48"/>
  <c r="C37" i="48"/>
  <c r="D37" i="48"/>
  <c r="E37" i="48"/>
  <c r="F26" i="48"/>
  <c r="F27" i="48"/>
  <c r="F28" i="48"/>
  <c r="F29" i="48"/>
  <c r="F30" i="48"/>
  <c r="F31" i="48"/>
  <c r="F32" i="48"/>
  <c r="F33" i="48"/>
  <c r="F34" i="48"/>
  <c r="F35" i="48"/>
  <c r="F36" i="48"/>
  <c r="F25" i="48"/>
  <c r="B135" i="46"/>
  <c r="B136" i="46"/>
  <c r="B134" i="46"/>
  <c r="B132" i="46"/>
  <c r="B131" i="46"/>
  <c r="F48" i="46"/>
  <c r="F47" i="46"/>
  <c r="F46" i="46"/>
  <c r="F45" i="46"/>
  <c r="F69" i="46"/>
  <c r="E82" i="46"/>
  <c r="D82" i="46"/>
  <c r="C82" i="46"/>
  <c r="B82" i="46"/>
  <c r="C84" i="46" s="1"/>
  <c r="E70" i="46"/>
  <c r="D70" i="46"/>
  <c r="C70" i="46"/>
  <c r="B79" i="46"/>
  <c r="C79" i="46"/>
  <c r="C81" i="46" s="1"/>
  <c r="D79" i="46"/>
  <c r="D81" i="46" s="1"/>
  <c r="B81" i="46"/>
  <c r="E65" i="46"/>
  <c r="D65" i="46"/>
  <c r="D67" i="46" s="1"/>
  <c r="C65" i="46"/>
  <c r="B65" i="46"/>
  <c r="B67" i="46" s="1"/>
  <c r="E32" i="47"/>
  <c r="E29" i="47"/>
  <c r="E30" i="47" s="1"/>
  <c r="B30" i="47"/>
  <c r="B33" i="47" s="1"/>
  <c r="C28" i="47" s="1"/>
  <c r="C30" i="47" s="1"/>
  <c r="C33" i="47" s="1"/>
  <c r="D28" i="47" s="1"/>
  <c r="D30" i="47" s="1"/>
  <c r="D33" i="47" s="1"/>
  <c r="F153" i="46"/>
  <c r="C153" i="46"/>
  <c r="D153" i="46"/>
  <c r="E153" i="46"/>
  <c r="B153" i="46"/>
  <c r="C144" i="46"/>
  <c r="C146" i="46" s="1"/>
  <c r="D144" i="46"/>
  <c r="D146" i="46" s="1"/>
  <c r="E144" i="46"/>
  <c r="E146" i="46" s="1"/>
  <c r="B144" i="46"/>
  <c r="B45" i="46"/>
  <c r="C47" i="46" s="1"/>
  <c r="C45" i="46"/>
  <c r="D47" i="46" s="1"/>
  <c r="D45" i="46"/>
  <c r="E47" i="46" s="1"/>
  <c r="B47" i="46"/>
  <c r="F119" i="46"/>
  <c r="F121" i="46" s="1"/>
  <c r="F29" i="46"/>
  <c r="F31" i="46" s="1"/>
  <c r="C31" i="46"/>
  <c r="D31" i="46"/>
  <c r="E31" i="46"/>
  <c r="B31" i="46"/>
  <c r="B16" i="45"/>
  <c r="C16" i="45" s="1"/>
  <c r="C17" i="45" s="1"/>
  <c r="C18" i="45" s="1"/>
  <c r="C19" i="45" s="1"/>
  <c r="C20" i="45" s="1"/>
  <c r="B18" i="45"/>
  <c r="B19" i="45"/>
  <c r="B20" i="45"/>
  <c r="B17" i="45"/>
  <c r="D33" i="44"/>
  <c r="C28" i="44"/>
  <c r="C29" i="44"/>
  <c r="C30" i="44"/>
  <c r="C31" i="44"/>
  <c r="C27" i="44"/>
  <c r="B27" i="44" a="1"/>
  <c r="B27" i="44" s="1"/>
  <c r="A27" i="44" a="1"/>
  <c r="B34" i="42" l="1"/>
  <c r="D32" i="42"/>
  <c r="B34" i="50"/>
  <c r="B35" i="50" s="1"/>
  <c r="B40" i="50" s="1"/>
  <c r="B38" i="50"/>
  <c r="D84" i="46"/>
  <c r="E79" i="46"/>
  <c r="E81" i="46" s="1"/>
  <c r="E84" i="46" s="1"/>
  <c r="C83" i="46"/>
  <c r="B83" i="46"/>
  <c r="F79" i="46"/>
  <c r="F81" i="46"/>
  <c r="E83" i="46"/>
  <c r="E85" i="46" s="1"/>
  <c r="E87" i="46" s="1"/>
  <c r="C154" i="46"/>
  <c r="E154" i="46"/>
  <c r="F144" i="46"/>
  <c r="F146" i="46" s="1"/>
  <c r="F154" i="46" s="1"/>
  <c r="D154" i="46"/>
  <c r="B146" i="46"/>
  <c r="B154" i="46" s="1"/>
  <c r="E33" i="47"/>
  <c r="E40" i="47" s="1"/>
  <c r="E68" i="46"/>
  <c r="C101" i="46"/>
  <c r="C103" i="46" s="1"/>
  <c r="C117" i="46" s="1"/>
  <c r="C119" i="46" s="1"/>
  <c r="C121" i="46" s="1"/>
  <c r="B101" i="46"/>
  <c r="E101" i="46"/>
  <c r="E103" i="46" s="1"/>
  <c r="E67" i="46"/>
  <c r="C67" i="46"/>
  <c r="D101" i="46"/>
  <c r="D103" i="46" s="1"/>
  <c r="F65" i="46"/>
  <c r="D28" i="44"/>
  <c r="A27" i="44"/>
  <c r="D29" i="44"/>
  <c r="D30" i="44"/>
  <c r="D31" i="44"/>
  <c r="F32" i="43"/>
  <c r="D32" i="43"/>
  <c r="A26" i="43" a="1"/>
  <c r="A26" i="43" s="1"/>
  <c r="E26" i="43" s="1"/>
  <c r="B27" i="43"/>
  <c r="B28" i="43"/>
  <c r="B29" i="43"/>
  <c r="B30" i="43"/>
  <c r="B26" i="43"/>
  <c r="D83" i="46" l="1"/>
  <c r="D85" i="46" s="1"/>
  <c r="D87" i="46" s="1"/>
  <c r="B85" i="46"/>
  <c r="B87" i="46" s="1"/>
  <c r="B69" i="46"/>
  <c r="C105" i="46"/>
  <c r="D71" i="46"/>
  <c r="D73" i="46" s="1"/>
  <c r="D89" i="46" s="1"/>
  <c r="D117" i="46"/>
  <c r="D119" i="46" s="1"/>
  <c r="D121" i="46" s="1"/>
  <c r="D105" i="46"/>
  <c r="E117" i="46"/>
  <c r="E119" i="46" s="1"/>
  <c r="E121" i="46" s="1"/>
  <c r="E105" i="46"/>
  <c r="B103" i="46"/>
  <c r="F101" i="46"/>
  <c r="D27" i="44"/>
  <c r="D32" i="44" s="1"/>
  <c r="C26" i="43"/>
  <c r="D26" i="43" s="1"/>
  <c r="F26" i="43"/>
  <c r="C30" i="43"/>
  <c r="D30" i="43" s="1"/>
  <c r="F30" i="43"/>
  <c r="C29" i="43"/>
  <c r="D29" i="43" s="1"/>
  <c r="C28" i="43"/>
  <c r="D28" i="43" s="1"/>
  <c r="D31" i="43" s="1"/>
  <c r="C27" i="43"/>
  <c r="D27" i="43" s="1"/>
  <c r="E30" i="43"/>
  <c r="E29" i="43"/>
  <c r="F29" i="43" s="1"/>
  <c r="E28" i="43"/>
  <c r="F28" i="43" s="1"/>
  <c r="E27" i="43"/>
  <c r="F27" i="43" s="1"/>
  <c r="B71" i="46" l="1"/>
  <c r="C85" i="46"/>
  <c r="C87" i="46" s="1"/>
  <c r="E71" i="46"/>
  <c r="E73" i="46" s="1"/>
  <c r="E89" i="46" s="1"/>
  <c r="C71" i="46"/>
  <c r="G71" i="46" s="1"/>
  <c r="F103" i="46"/>
  <c r="F105" i="46" s="1"/>
  <c r="B117" i="46"/>
  <c r="B119" i="46" s="1"/>
  <c r="B121" i="46" s="1"/>
  <c r="B105" i="46"/>
  <c r="D34" i="44"/>
  <c r="D33" i="43"/>
  <c r="B35" i="43"/>
  <c r="F31" i="43"/>
  <c r="F33" i="43" s="1"/>
  <c r="B71" i="41"/>
  <c r="B68" i="41"/>
  <c r="C69" i="41" s="1"/>
  <c r="B77" i="41"/>
  <c r="C79" i="41"/>
  <c r="C66" i="41"/>
  <c r="B73" i="46" l="1"/>
  <c r="B89" i="46" s="1"/>
  <c r="F87" i="46"/>
  <c r="C73" i="46"/>
  <c r="B78" i="41"/>
  <c r="C89" i="46" l="1"/>
  <c r="F73" i="46"/>
  <c r="F89" i="46" s="1"/>
  <c r="C53" i="41"/>
  <c r="B64" i="41"/>
  <c r="C62" i="41"/>
  <c r="B61" i="41"/>
  <c r="C59" i="41"/>
  <c r="B57" i="41"/>
  <c r="C50" i="41"/>
  <c r="B51" i="41"/>
  <c r="C51" i="41" s="1"/>
  <c r="C52" i="41"/>
  <c r="B49" i="41"/>
  <c r="C49" i="41" s="1"/>
  <c r="L9" i="30"/>
  <c r="B31" i="40"/>
  <c r="C31" i="40"/>
  <c r="C26" i="40"/>
  <c r="B26" i="40"/>
  <c r="C22" i="40"/>
  <c r="C21" i="40"/>
  <c r="C19" i="40"/>
  <c r="C18" i="40"/>
  <c r="B19" i="40"/>
  <c r="B18" i="40"/>
  <c r="C13" i="40"/>
  <c r="C12" i="40"/>
  <c r="B13" i="40"/>
  <c r="B12" i="40"/>
  <c r="B7" i="40"/>
  <c r="B6" i="40"/>
  <c r="B4" i="40"/>
  <c r="B3" i="40"/>
  <c r="B53" i="35"/>
  <c r="B48" i="35"/>
  <c r="B38" i="35"/>
  <c r="B94" i="38"/>
  <c r="B99" i="38"/>
  <c r="B101" i="38" s="1"/>
  <c r="B93" i="38"/>
  <c r="B85" i="38"/>
  <c r="E22" i="36"/>
  <c r="D21" i="36"/>
  <c r="E34" i="36"/>
  <c r="D33" i="36"/>
  <c r="D32" i="36"/>
  <c r="B28" i="36"/>
  <c r="A29" i="37"/>
  <c r="A28" i="37"/>
  <c r="A27" i="37"/>
  <c r="A26" i="37"/>
  <c r="D39" i="37"/>
  <c r="D33" i="37"/>
  <c r="E29" i="35"/>
  <c r="D28" i="35"/>
  <c r="D42" i="35"/>
  <c r="E43" i="35" s="1"/>
  <c r="B22" i="37"/>
  <c r="B21" i="37"/>
  <c r="B18" i="37"/>
  <c r="B24" i="36"/>
  <c r="B25" i="36"/>
  <c r="B26" i="36" s="1"/>
  <c r="A27" i="36" s="1"/>
  <c r="B17" i="36"/>
  <c r="B58" i="35" a="1"/>
  <c r="B58" i="35" s="1"/>
  <c r="B49" i="35"/>
  <c r="H59" i="35" a="1"/>
  <c r="H59" i="35" s="1"/>
  <c r="I59" i="35" s="1"/>
  <c r="B56" i="35"/>
  <c r="B34" i="35"/>
  <c r="B33" i="35"/>
  <c r="B32" i="35"/>
  <c r="B24" i="35"/>
  <c r="H26" i="34"/>
  <c r="H25" i="34"/>
  <c r="G24" i="34"/>
  <c r="G23" i="34"/>
  <c r="G22" i="34"/>
  <c r="B37" i="34"/>
  <c r="B36" i="34"/>
  <c r="B38" i="34" s="1"/>
  <c r="B34" i="34"/>
  <c r="B24" i="34"/>
  <c r="B28" i="34"/>
  <c r="B30" i="34" s="1"/>
  <c r="D33" i="33"/>
  <c r="E36" i="33"/>
  <c r="E35" i="33"/>
  <c r="C25" i="33"/>
  <c r="C29" i="33" s="1"/>
  <c r="D34" i="33" s="1"/>
  <c r="B22" i="33"/>
  <c r="D32" i="33" s="1"/>
  <c r="C37" i="32"/>
  <c r="C38" i="32"/>
  <c r="C36" i="32"/>
  <c r="C35" i="32"/>
  <c r="F34" i="32"/>
  <c r="C34" i="32"/>
  <c r="C32" i="32"/>
  <c r="C31" i="32"/>
  <c r="E28" i="32"/>
  <c r="F29" i="32" s="1"/>
  <c r="E33" i="32" s="1"/>
  <c r="C30" i="32"/>
  <c r="C28" i="32"/>
  <c r="C27" i="32"/>
  <c r="F21" i="32"/>
  <c r="F25" i="32" s="1"/>
  <c r="A22" i="32"/>
  <c r="A35" i="32" s="1"/>
  <c r="A18" i="32"/>
  <c r="A31" i="32" s="1"/>
  <c r="E15" i="32"/>
  <c r="E16" i="32" s="1"/>
  <c r="F20" i="32" s="1"/>
  <c r="A14" i="32"/>
  <c r="A27" i="32" s="1"/>
  <c r="D19" i="31"/>
  <c r="E20" i="31" s="1"/>
  <c r="E17" i="31"/>
  <c r="A22" i="31"/>
  <c r="A19" i="31"/>
  <c r="A16" i="31"/>
  <c r="L8" i="30"/>
  <c r="C74" i="26"/>
  <c r="C73" i="26"/>
  <c r="B74" i="26"/>
  <c r="B73" i="26"/>
  <c r="B44" i="26"/>
  <c r="B43" i="26"/>
  <c r="C16" i="26"/>
  <c r="C15" i="26"/>
  <c r="B16" i="26"/>
  <c r="B15" i="26"/>
  <c r="B52" i="29"/>
  <c r="B50" i="29"/>
  <c r="G73" i="46" l="1"/>
  <c r="B89" i="41"/>
  <c r="C90" i="41" s="1"/>
  <c r="B81" i="41"/>
  <c r="C82" i="41"/>
  <c r="C87" i="41"/>
  <c r="B65" i="41"/>
  <c r="C86" i="41" s="1"/>
  <c r="C58" i="41"/>
  <c r="D19" i="40"/>
  <c r="C28" i="40" s="1"/>
  <c r="D13" i="40"/>
  <c r="B22" i="40" s="1"/>
  <c r="D22" i="40" s="1"/>
  <c r="C29" i="40" s="1"/>
  <c r="C30" i="40" s="1"/>
  <c r="C32" i="40" s="1"/>
  <c r="D18" i="40"/>
  <c r="B28" i="40" s="1"/>
  <c r="B95" i="38"/>
  <c r="B102" i="38"/>
  <c r="B23" i="37"/>
  <c r="B24" i="37" s="1"/>
  <c r="B27" i="36"/>
  <c r="I70" i="35"/>
  <c r="B57" i="35"/>
  <c r="I61" i="35"/>
  <c r="I69" i="35"/>
  <c r="I67" i="35"/>
  <c r="I68" i="35"/>
  <c r="I66" i="35"/>
  <c r="I65" i="35"/>
  <c r="I64" i="35"/>
  <c r="I63" i="35"/>
  <c r="I62" i="35"/>
  <c r="I60" i="35"/>
  <c r="B35" i="35"/>
  <c r="B50" i="35" s="1"/>
  <c r="B52" i="35" s="1"/>
  <c r="B36" i="35"/>
  <c r="B39" i="34"/>
  <c r="E37" i="32"/>
  <c r="E32" i="32"/>
  <c r="E36" i="32" s="1"/>
  <c r="F24" i="32"/>
  <c r="E19" i="32"/>
  <c r="E23" i="32" s="1"/>
  <c r="C53" i="28"/>
  <c r="B42" i="28"/>
  <c r="B51" i="25"/>
  <c r="B50" i="25"/>
  <c r="B52" i="25" s="1"/>
  <c r="A39" i="25"/>
  <c r="E63" i="26"/>
  <c r="F63" i="26" s="1"/>
  <c r="E64" i="26"/>
  <c r="F64" i="26" s="1"/>
  <c r="E65" i="26"/>
  <c r="F65" i="26" s="1"/>
  <c r="E69" i="26"/>
  <c r="F69" i="26" s="1"/>
  <c r="E72" i="26"/>
  <c r="F72" i="26" s="1"/>
  <c r="D62" i="26"/>
  <c r="E62" i="26" s="1"/>
  <c r="F62" i="26" s="1"/>
  <c r="D63" i="26"/>
  <c r="D64" i="26"/>
  <c r="D65" i="26"/>
  <c r="D66" i="26"/>
  <c r="E66" i="26" s="1"/>
  <c r="F66" i="26" s="1"/>
  <c r="D67" i="26"/>
  <c r="E67" i="26" s="1"/>
  <c r="F67" i="26" s="1"/>
  <c r="D68" i="26"/>
  <c r="E68" i="26" s="1"/>
  <c r="F68" i="26" s="1"/>
  <c r="D69" i="26"/>
  <c r="D70" i="26"/>
  <c r="E70" i="26" s="1"/>
  <c r="F70" i="26" s="1"/>
  <c r="D71" i="26"/>
  <c r="E71" i="26" s="1"/>
  <c r="F71" i="26" s="1"/>
  <c r="D72" i="26"/>
  <c r="D61" i="26"/>
  <c r="E61" i="26" s="1"/>
  <c r="F61" i="26" s="1"/>
  <c r="J12" i="26"/>
  <c r="D60" i="26"/>
  <c r="E60" i="26" s="1"/>
  <c r="F60" i="26" s="1"/>
  <c r="D38" i="26"/>
  <c r="D39" i="26"/>
  <c r="D40" i="26"/>
  <c r="E40" i="26" s="1"/>
  <c r="F40" i="26" s="1"/>
  <c r="D41" i="26"/>
  <c r="E41" i="26" s="1"/>
  <c r="F41" i="26" s="1"/>
  <c r="D42" i="26"/>
  <c r="E42" i="26" s="1"/>
  <c r="F42" i="26" s="1"/>
  <c r="D37" i="26"/>
  <c r="E37" i="26" s="1"/>
  <c r="F37" i="26" s="1"/>
  <c r="E38" i="26"/>
  <c r="F38" i="26" s="1"/>
  <c r="E39" i="26"/>
  <c r="F39" i="26" s="1"/>
  <c r="D5" i="26"/>
  <c r="C35" i="26"/>
  <c r="C58" i="26" s="1"/>
  <c r="D35" i="26"/>
  <c r="D58" i="26" s="1"/>
  <c r="E35" i="26"/>
  <c r="E58" i="26" s="1"/>
  <c r="F35" i="26"/>
  <c r="F58" i="26" s="1"/>
  <c r="B35" i="26"/>
  <c r="B58" i="26" s="1"/>
  <c r="C43" i="26"/>
  <c r="E8" i="26"/>
  <c r="F8" i="26" s="1"/>
  <c r="E9" i="26"/>
  <c r="F9" i="26" s="1"/>
  <c r="E14" i="26"/>
  <c r="F14" i="26" s="1"/>
  <c r="D6" i="26"/>
  <c r="E6" i="26" s="1"/>
  <c r="F6" i="26" s="1"/>
  <c r="D7" i="26"/>
  <c r="E7" i="26" s="1"/>
  <c r="F7" i="26" s="1"/>
  <c r="D10" i="26"/>
  <c r="E10" i="26" s="1"/>
  <c r="F10" i="26" s="1"/>
  <c r="D11" i="26"/>
  <c r="E11" i="26" s="1"/>
  <c r="F11" i="26" s="1"/>
  <c r="D12" i="26"/>
  <c r="E12" i="26" s="1"/>
  <c r="F12" i="26" s="1"/>
  <c r="D13" i="26"/>
  <c r="E13" i="26" s="1"/>
  <c r="F13" i="26" s="1"/>
  <c r="D14" i="26"/>
  <c r="D15" i="26"/>
  <c r="E15" i="26" s="1"/>
  <c r="F15" i="26" s="1"/>
  <c r="D16" i="26"/>
  <c r="E16" i="26" s="1"/>
  <c r="F16" i="26" s="1"/>
  <c r="B84" i="41" l="1"/>
  <c r="C92" i="41"/>
  <c r="B85" i="41"/>
  <c r="B92" i="41" s="1"/>
  <c r="B21" i="40"/>
  <c r="D21" i="40" s="1"/>
  <c r="B29" i="40" s="1"/>
  <c r="B30" i="40" s="1"/>
  <c r="B32" i="40" s="1"/>
  <c r="B25" i="37"/>
  <c r="B29" i="37" s="1"/>
  <c r="D41" i="37" s="1"/>
  <c r="D40" i="37"/>
  <c r="D34" i="37"/>
  <c r="B37" i="35"/>
  <c r="B46" i="35" s="1"/>
  <c r="D66" i="35" s="1"/>
  <c r="C44" i="26"/>
  <c r="D74" i="26"/>
  <c r="E74" i="26" s="1"/>
  <c r="F74" i="26" s="1"/>
  <c r="D43" i="26"/>
  <c r="E43" i="26" s="1"/>
  <c r="F43" i="26" s="1"/>
  <c r="D73" i="26"/>
  <c r="E73" i="26" s="1"/>
  <c r="F73" i="26" s="1"/>
  <c r="E5" i="26"/>
  <c r="F5" i="26" s="1"/>
  <c r="E42" i="37" l="1"/>
  <c r="E36" i="37"/>
  <c r="B28" i="37"/>
  <c r="D35" i="37" s="1"/>
  <c r="D44" i="26"/>
  <c r="E44" i="26" s="1"/>
  <c r="F44" i="26" s="1"/>
  <c r="B4" i="19"/>
  <c r="B27" i="19"/>
  <c r="B26" i="19"/>
  <c r="B25" i="19"/>
  <c r="B21" i="19"/>
  <c r="B19" i="19"/>
  <c r="B20" i="19"/>
  <c r="B18" i="19"/>
  <c r="B13" i="19"/>
  <c r="B12" i="19"/>
  <c r="B11" i="19"/>
  <c r="B9" i="19"/>
  <c r="B5" i="19"/>
  <c r="B3" i="19"/>
  <c r="D11" i="11" a="1"/>
  <c r="D11" i="11" s="1"/>
  <c r="D12" i="11" a="1"/>
  <c r="D12" i="11" s="1"/>
  <c r="D13" i="11" a="1"/>
  <c r="D13" i="11" s="1"/>
  <c r="D14" i="11" a="1"/>
  <c r="D14" i="11" s="1"/>
  <c r="D15" i="11" a="1"/>
  <c r="D15" i="11" s="1"/>
  <c r="D16" i="11" a="1"/>
  <c r="D16" i="11" s="1"/>
  <c r="D17" i="11" a="1"/>
  <c r="D17" i="11" s="1"/>
  <c r="D18" i="11" a="1"/>
  <c r="D18" i="11" s="1"/>
  <c r="D19" i="11" a="1"/>
  <c r="D19" i="11" s="1"/>
  <c r="D10" i="11" a="1"/>
  <c r="D10" i="11" s="1"/>
  <c r="E14" i="17"/>
  <c r="E16" i="18"/>
  <c r="C14" i="15"/>
  <c r="C15" i="15"/>
  <c r="D13" i="15"/>
  <c r="D7" i="15"/>
  <c r="D14" i="15" s="1"/>
  <c r="D15" i="15" s="1"/>
  <c r="D21" i="14"/>
  <c r="D39" i="14"/>
  <c r="G11" i="11"/>
  <c r="G12" i="11"/>
  <c r="G13" i="11"/>
  <c r="G14" i="11"/>
  <c r="G15" i="11"/>
  <c r="G16" i="11"/>
  <c r="G17" i="11"/>
  <c r="G18" i="11"/>
  <c r="G19" i="11"/>
  <c r="G10" i="11"/>
  <c r="K4" i="12"/>
  <c r="C10" i="12"/>
  <c r="F11" i="12"/>
  <c r="B9" i="12"/>
  <c r="B8" i="12"/>
  <c r="D7" i="12"/>
  <c r="C6" i="12"/>
  <c r="F5" i="12"/>
  <c r="C4" i="12"/>
  <c r="D3" i="12"/>
  <c r="C2" i="12"/>
  <c r="D9" i="11"/>
  <c r="H11" i="11"/>
  <c r="H12" i="11"/>
  <c r="H13" i="11"/>
  <c r="H14" i="11"/>
  <c r="H15" i="11"/>
  <c r="H16" i="11"/>
  <c r="H17" i="11"/>
  <c r="H18" i="11"/>
  <c r="H19" i="11"/>
  <c r="H10" i="11"/>
  <c r="F14" i="11"/>
  <c r="F19" i="11"/>
  <c r="F18" i="11"/>
  <c r="F17" i="11"/>
  <c r="F16" i="11"/>
  <c r="F15" i="11"/>
  <c r="F13" i="11"/>
  <c r="F12" i="11"/>
  <c r="F11" i="11"/>
  <c r="I11" i="11" s="1"/>
  <c r="F10" i="11"/>
  <c r="C12" i="10"/>
  <c r="B13" i="10"/>
  <c r="C11" i="10"/>
  <c r="C10" i="10"/>
  <c r="C9" i="10"/>
  <c r="C7" i="10"/>
  <c r="C13" i="10" s="1"/>
  <c r="B5" i="10"/>
  <c r="B6" i="10"/>
  <c r="B4" i="10"/>
  <c r="G22" i="9"/>
  <c r="F23" i="9"/>
  <c r="G23" i="9"/>
  <c r="E23" i="9"/>
  <c r="D22" i="9"/>
  <c r="D23" i="9" s="1"/>
  <c r="B7" i="7" a="1"/>
  <c r="B7" i="7" s="1"/>
  <c r="B8" i="7" a="1"/>
  <c r="B8" i="7" s="1"/>
  <c r="B9" i="7" a="1"/>
  <c r="B9" i="7" s="1"/>
  <c r="B10" i="7" a="1"/>
  <c r="B10" i="7" s="1"/>
  <c r="B11" i="7" a="1"/>
  <c r="B11" i="7" s="1"/>
  <c r="B12" i="7" a="1"/>
  <c r="B12" i="7"/>
  <c r="B13" i="7" a="1"/>
  <c r="B13" i="7" s="1"/>
  <c r="B14" i="7" a="1"/>
  <c r="B14" i="7" s="1"/>
  <c r="H14" i="7" s="1"/>
  <c r="B15" i="7" a="1"/>
  <c r="B15" i="7" s="1"/>
  <c r="H15" i="7" s="1"/>
  <c r="B16" i="7" a="1"/>
  <c r="B16" i="7" s="1"/>
  <c r="B17" i="7" a="1"/>
  <c r="B17" i="7" s="1"/>
  <c r="B18" i="7" a="1"/>
  <c r="B18" i="7"/>
  <c r="H18" i="7" s="1"/>
  <c r="B6" i="7" a="1"/>
  <c r="B6" i="7" s="1"/>
  <c r="H12" i="7"/>
  <c r="E7" i="7"/>
  <c r="E8" i="7"/>
  <c r="E9" i="7"/>
  <c r="E10" i="7"/>
  <c r="E11" i="7"/>
  <c r="E12" i="7"/>
  <c r="E13" i="7"/>
  <c r="E14" i="7"/>
  <c r="E15" i="7"/>
  <c r="E16" i="7"/>
  <c r="E17" i="7"/>
  <c r="E18" i="7"/>
  <c r="E6" i="7"/>
  <c r="C12" i="11" l="1"/>
  <c r="C13" i="11"/>
  <c r="C15" i="11"/>
  <c r="C16" i="11"/>
  <c r="C17" i="11"/>
  <c r="C18" i="11"/>
  <c r="C14" i="11"/>
  <c r="C19" i="11"/>
  <c r="C10" i="11"/>
  <c r="I19" i="11"/>
  <c r="I15" i="11"/>
  <c r="I12" i="11"/>
  <c r="I10" i="11"/>
  <c r="I18" i="11"/>
  <c r="I16" i="11"/>
  <c r="I14" i="11"/>
  <c r="I13" i="11"/>
  <c r="C11" i="11"/>
  <c r="I17" i="11"/>
  <c r="H17" i="7"/>
  <c r="G17" i="7"/>
  <c r="G10" i="7"/>
  <c r="H10" i="7"/>
  <c r="G16" i="7"/>
  <c r="H16" i="7"/>
  <c r="H8" i="7"/>
  <c r="G8" i="7"/>
  <c r="G13" i="7"/>
  <c r="H13" i="7"/>
  <c r="G11" i="7"/>
  <c r="H11" i="7"/>
  <c r="G9" i="7"/>
  <c r="H9" i="7"/>
  <c r="G7" i="7"/>
  <c r="H7" i="7"/>
  <c r="G6" i="7"/>
  <c r="H6" i="7"/>
  <c r="G15" i="7"/>
  <c r="G14" i="7"/>
  <c r="G12" i="7"/>
  <c r="G18" i="7"/>
  <c r="F6" i="7" l="1"/>
  <c r="F7" i="7"/>
  <c r="F8" i="7"/>
  <c r="F9" i="7"/>
  <c r="F10" i="7"/>
  <c r="F11" i="7"/>
  <c r="F12" i="7"/>
  <c r="F13" i="7"/>
  <c r="F14" i="7"/>
  <c r="F15" i="7"/>
  <c r="F16" i="7"/>
  <c r="F17" i="7"/>
  <c r="A18" i="7"/>
  <c r="F18" i="7" s="1"/>
  <c r="H19" i="7" l="1"/>
  <c r="F19" i="7"/>
  <c r="G19" i="7" l="1"/>
  <c r="E19" i="7"/>
  <c r="G58" i="4"/>
  <c r="H40" i="4"/>
  <c r="H34" i="4"/>
  <c r="H33" i="4"/>
  <c r="H32" i="4"/>
  <c r="C33" i="4"/>
  <c r="G26" i="4"/>
  <c r="G25" i="4"/>
  <c r="C26" i="4"/>
  <c r="G7" i="4"/>
  <c r="G8" i="4" s="1"/>
  <c r="G9" i="4" s="1"/>
  <c r="G10" i="4" s="1"/>
  <c r="G11" i="4" s="1"/>
  <c r="G12" i="4" s="1"/>
  <c r="G13" i="4" s="1"/>
  <c r="G6" i="4"/>
  <c r="G5" i="4"/>
  <c r="H22" i="1"/>
  <c r="E20" i="1"/>
  <c r="E18" i="1"/>
  <c r="I17" i="1"/>
  <c r="E16" i="1"/>
  <c r="I15" i="1"/>
  <c r="H14" i="1"/>
  <c r="E14" i="1"/>
  <c r="I13" i="1"/>
  <c r="E12" i="1"/>
  <c r="E10" i="1"/>
  <c r="I9" i="1"/>
  <c r="I7" i="1"/>
  <c r="E8" i="1"/>
  <c r="E6" i="1"/>
  <c r="I5" i="1"/>
  <c r="I22" i="1" s="1"/>
  <c r="E4" i="1"/>
  <c r="B59" i="35" l="1"/>
  <c r="D62" i="35" s="1"/>
  <c r="E67" i="35"/>
  <c r="E63" i="35" l="1"/>
  <c r="C54" i="48"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<sst xmlns="http://schemas.openxmlformats.org/spreadsheetml/2006/main" count="1258" uniqueCount="672">
  <si>
    <t>Data transaksi</t>
  </si>
  <si>
    <t>Tanggal</t>
  </si>
  <si>
    <t>Jurnal Umum</t>
  </si>
  <si>
    <t>Keterangan</t>
  </si>
  <si>
    <t>Debit</t>
  </si>
  <si>
    <t>Kredit</t>
  </si>
  <si>
    <t>Reff</t>
  </si>
  <si>
    <t>Kas</t>
  </si>
  <si>
    <t>Modal</t>
  </si>
  <si>
    <t>Tn.Adi menyetor uang sebagai modal awal Rp.40.000.000</t>
  </si>
  <si>
    <t>Tn.Adi membeli peralatan sebesar Rp.10.000.000</t>
  </si>
  <si>
    <t>Tn.Adi membeli persediaan obat sebesar Rp.5.000.000 secara kredit</t>
  </si>
  <si>
    <t>Tn.Adi menjual obat senilai Rp.2.000.000 tunai</t>
  </si>
  <si>
    <t>Membayar biaya listrik sebesar Rp.300.000</t>
  </si>
  <si>
    <t>Membayar pembelian obat yang dibeli tanggal 10/1/2024</t>
  </si>
  <si>
    <t>Membayar biaya sewa Rp.700.000</t>
  </si>
  <si>
    <t>Membayar beban gaji karyawan sebesar Rp.1.000.000</t>
  </si>
  <si>
    <t>Penarikan modal untuk keperluan pribadi sebesar Rp.500.000</t>
  </si>
  <si>
    <t>Peralatan</t>
  </si>
  <si>
    <t>Persediaan</t>
  </si>
  <si>
    <t>Utang Usaha</t>
  </si>
  <si>
    <t>Hutang Usaha</t>
  </si>
  <si>
    <t>Penjualan</t>
  </si>
  <si>
    <t>Beban Ulisitas</t>
  </si>
  <si>
    <t>Beban Sewa</t>
  </si>
  <si>
    <t>Beban Gaji</t>
  </si>
  <si>
    <t>Prive</t>
  </si>
  <si>
    <t>Jumlah</t>
  </si>
  <si>
    <t> Jurnal Umum</t>
  </si>
  <si>
    <t>  Halaman :</t>
  </si>
  <si>
    <t>Ref</t>
  </si>
  <si>
    <t>Beban Persediaan/ HPP</t>
  </si>
  <si>
    <t>Beban Listrik</t>
  </si>
  <si>
    <t>Utang</t>
  </si>
  <si>
    <t>Apotek Brawijaya Malang</t>
  </si>
  <si>
    <t>Neraca</t>
  </si>
  <si>
    <t>Per 1 Januari 2024</t>
  </si>
  <si>
    <t>Piutang Usaha</t>
  </si>
  <si>
    <t>Modal Adi</t>
  </si>
  <si>
    <t>Jumlah Aktiva</t>
  </si>
  <si>
    <t>Jumlah Pasiva</t>
  </si>
  <si>
    <t>Nama : Kas</t>
  </si>
  <si>
    <t>No : 101</t>
  </si>
  <si>
    <t>Tanggal </t>
  </si>
  <si>
    <t>Saldo</t>
  </si>
  <si>
    <t>Jan</t>
  </si>
  <si>
    <t>Nama : Piutang Usaha</t>
  </si>
  <si>
    <t>No : 102</t>
  </si>
  <si>
    <t>-</t>
  </si>
  <si>
    <t>Nama : Peralatan</t>
  </si>
  <si>
    <t>No : 103</t>
  </si>
  <si>
    <t>Posting</t>
  </si>
  <si>
    <t>JU</t>
  </si>
  <si>
    <t>NS</t>
  </si>
  <si>
    <t>No : 201</t>
  </si>
  <si>
    <t>Nama : Modal</t>
  </si>
  <si>
    <t>No : 301</t>
  </si>
  <si>
    <t>Nama : Utang Usaha</t>
  </si>
  <si>
    <t>Nama : Pendapatan</t>
  </si>
  <si>
    <t>No : 401</t>
  </si>
  <si>
    <t>Nama : Beban Persediaan</t>
  </si>
  <si>
    <t>No : 501</t>
  </si>
  <si>
    <t>Nama : Beban Listrik</t>
  </si>
  <si>
    <t>No : 502</t>
  </si>
  <si>
    <t>Nama : Beban Sewa</t>
  </si>
  <si>
    <t>No : 503</t>
  </si>
  <si>
    <t>Nama : Beban Gaji</t>
  </si>
  <si>
    <t>No : 504</t>
  </si>
  <si>
    <t>Nama : Prive</t>
  </si>
  <si>
    <t>No : 302</t>
  </si>
  <si>
    <t> Jurnal Penyesuaian</t>
  </si>
  <si>
    <t>31 Des</t>
  </si>
  <si>
    <t>Pendapatan diterima dimuka</t>
  </si>
  <si>
    <t>Beban Asuransi</t>
  </si>
  <si>
    <t>Beban Penyusutan Peralatan</t>
  </si>
  <si>
    <t>Pendapatan</t>
  </si>
  <si>
    <t>Utang Gaji</t>
  </si>
  <si>
    <t>Asuransi dibayar dimuka</t>
  </si>
  <si>
    <t>Akum.Penyusutan Peralatan</t>
  </si>
  <si>
    <t>NERACA LAJUR</t>
  </si>
  <si>
    <t>Per 31 Desember 2024 (dalam jutaan rupiah)</t>
  </si>
  <si>
    <t>Nama Perkiraan</t>
  </si>
  <si>
    <t>Neraca Saldo</t>
  </si>
  <si>
    <t>Penyesuaian</t>
  </si>
  <si>
    <t>N.S.S disesuaikan</t>
  </si>
  <si>
    <t>Beban Asuransi dibayar dimuka</t>
  </si>
  <si>
    <t>Beban asuransi</t>
  </si>
  <si>
    <t>Akum Penyusutan Peralatan</t>
  </si>
  <si>
    <t>D</t>
  </si>
  <si>
    <t>K</t>
  </si>
  <si>
    <t>Laba Rugi</t>
  </si>
  <si>
    <t> -</t>
  </si>
  <si>
    <t>166.000 </t>
  </si>
  <si>
    <t>Neraca Saldo setelah penutupan</t>
  </si>
  <si>
    <t>Per 31 Des 2024</t>
  </si>
  <si>
    <t>Total</t>
  </si>
  <si>
    <t>Nama Akun</t>
  </si>
  <si>
    <t>Ikhtisar laba rugi</t>
  </si>
  <si>
    <t>Nama Debitur</t>
  </si>
  <si>
    <t>Saldo Piutang 31 Des 2023</t>
  </si>
  <si>
    <t>Tanggal Jatuh Tempo</t>
  </si>
  <si>
    <t>PT Harum Sari</t>
  </si>
  <si>
    <t>PT Mekar Pagi</t>
  </si>
  <si>
    <t>PT Segar Abadi</t>
  </si>
  <si>
    <t>CV Putik Mawar</t>
  </si>
  <si>
    <t>PT Bougenville</t>
  </si>
  <si>
    <t>PT Melati Puti</t>
  </si>
  <si>
    <t>Toko Hanum</t>
  </si>
  <si>
    <t>CV Lili Kuning</t>
  </si>
  <si>
    <t>Toko Anggrek</t>
  </si>
  <si>
    <t>CV Seruni</t>
  </si>
  <si>
    <t>Golongan umur piutang</t>
  </si>
  <si>
    <t>Persentase Kerugian</t>
  </si>
  <si>
    <t>Belum jatuh tempo</t>
  </si>
  <si>
    <t>Lewat dari 1-30 hari</t>
  </si>
  <si>
    <t>Lewat dari 31-60 hari</t>
  </si>
  <si>
    <t>Lewat dari 61-90 hari</t>
  </si>
  <si>
    <t>Lewat &gt; 90 hari</t>
  </si>
  <si>
    <t>Umur</t>
  </si>
  <si>
    <t>Daftar Akun</t>
  </si>
  <si>
    <t>31-60</t>
  </si>
  <si>
    <t>61-90</t>
  </si>
  <si>
    <t>&gt;90 hari</t>
  </si>
  <si>
    <t>PT Bougonville</t>
  </si>
  <si>
    <t>PT Melati Putri</t>
  </si>
  <si>
    <t>Cv Lili Kuning</t>
  </si>
  <si>
    <t>Cv Seruni</t>
  </si>
  <si>
    <t>Jumlah Piutang</t>
  </si>
  <si>
    <t>Jumlah Diskonto</t>
  </si>
  <si>
    <t>CEK</t>
  </si>
  <si>
    <t>Perbaikan</t>
  </si>
  <si>
    <t>Tempo</t>
  </si>
  <si>
    <t>Selisih</t>
  </si>
  <si>
    <t>No</t>
  </si>
  <si>
    <t>Debet</t>
  </si>
  <si>
    <t>Beban Kerugian Piutang Tak Tertagih</t>
  </si>
  <si>
    <t>Saldo  Awal</t>
  </si>
  <si>
    <t>Rekening Internal</t>
  </si>
  <si>
    <t>Rekening Bank</t>
  </si>
  <si>
    <t>Rekonsiliasi Bank</t>
  </si>
  <si>
    <t>Saldo Menurut kas</t>
  </si>
  <si>
    <t>Di Tambah</t>
  </si>
  <si>
    <t>Piutang Wasel</t>
  </si>
  <si>
    <t>Pendapatan Bunga Wasel</t>
  </si>
  <si>
    <t>Pendapatan Bunga Bank</t>
  </si>
  <si>
    <t>koreksi salah catat</t>
  </si>
  <si>
    <t>Di Kurang</t>
  </si>
  <si>
    <t>Beban administrasi Bank</t>
  </si>
  <si>
    <t>Cek kosong</t>
  </si>
  <si>
    <t> Saldo Akhir</t>
  </si>
  <si>
    <t>Saldo Menurut Bank</t>
  </si>
  <si>
    <t>Di Tambah :</t>
  </si>
  <si>
    <t>Setoran Dalam Perjalanan</t>
  </si>
  <si>
    <t>Koreksi Bank</t>
  </si>
  <si>
    <t>Di Kurang :</t>
  </si>
  <si>
    <t>Cek Beredar :</t>
  </si>
  <si>
    <r>
      <t> </t>
    </r>
    <r>
      <rPr>
        <b/>
        <sz val="12"/>
        <color rgb="FFFFFFFF"/>
        <rFont val="Calibri"/>
        <family val="2"/>
      </rPr>
      <t>Saldo Akhir</t>
    </r>
  </si>
  <si>
    <t>NO. CEK</t>
  </si>
  <si>
    <t>TANGGAL</t>
  </si>
  <si>
    <t>JUMLAH</t>
  </si>
  <si>
    <t>27 Oktober</t>
  </si>
  <si>
    <t>Rp. 2.860.000</t>
  </si>
  <si>
    <t>28 Oktober</t>
  </si>
  <si>
    <t>Rp. 3.194.700</t>
  </si>
  <si>
    <t>Rp. 830.000</t>
  </si>
  <si>
    <t>29 Oktober</t>
  </si>
  <si>
    <t>Rp. 2.031.400</t>
  </si>
  <si>
    <t>30 Oktober</t>
  </si>
  <si>
    <t>Rp. 4.585.300</t>
  </si>
  <si>
    <t>Akun</t>
  </si>
  <si>
    <t xml:space="preserve">Kas </t>
  </si>
  <si>
    <t>Pembelian</t>
  </si>
  <si>
    <t>Beban Administrasi Bank</t>
  </si>
  <si>
    <t>Test</t>
  </si>
  <si>
    <t>3 Des 2023</t>
  </si>
  <si>
    <t>Kas Kecil</t>
  </si>
  <si>
    <t>Tidak Ada Pencatatan</t>
  </si>
  <si>
    <t>Tidak ada Pencatatan</t>
  </si>
  <si>
    <t>Tidak Ada pencatatan</t>
  </si>
  <si>
    <t>Rp 1 500.000</t>
  </si>
  <si>
    <r>
      <t xml:space="preserve">d. Peralatan </t>
    </r>
    <r>
      <rPr>
        <sz val="12"/>
        <color rgb="FF000000"/>
        <rFont val="Arial"/>
        <family val="2"/>
      </rPr>
      <t>Kantor</t>
    </r>
  </si>
  <si>
    <r>
      <t xml:space="preserve">c. </t>
    </r>
    <r>
      <rPr>
        <sz val="12"/>
        <color rgb="FF000000"/>
        <rFont val="Arial"/>
        <family val="2"/>
      </rPr>
      <t>Beban Konsumsi Lembur</t>
    </r>
  </si>
  <si>
    <t>Metode Dana Tetap</t>
  </si>
  <si>
    <t>Beban Angkut Pembelian</t>
  </si>
  <si>
    <t>Beban Konsumsi Lembur</t>
  </si>
  <si>
    <t>Peralatan Kantor</t>
  </si>
  <si>
    <t>Metode Fluktuatif</t>
  </si>
  <si>
    <t>Kas kecil</t>
  </si>
  <si>
    <t>1 500.000</t>
  </si>
  <si>
    <r>
      <t xml:space="preserve">b. </t>
    </r>
    <r>
      <rPr>
        <sz val="12"/>
        <color rgb="FF000000"/>
        <rFont val="Arial"/>
        <family val="2"/>
      </rPr>
      <t>Beban Angkut Pembelian</t>
    </r>
  </si>
  <si>
    <t>Perlengkapan Kantor</t>
  </si>
  <si>
    <r>
      <t xml:space="preserve">a. Perlengkapan </t>
    </r>
    <r>
      <rPr>
        <sz val="12"/>
        <color rgb="FF000000"/>
        <rFont val="Arial"/>
        <family val="2"/>
      </rPr>
      <t>Kantor</t>
    </r>
  </si>
  <si>
    <t>Laporan Neraca dan Laba rugi PT Indosat TBK 2024</t>
  </si>
  <si>
    <t>EBIT</t>
  </si>
  <si>
    <t>Hutang Lancar</t>
  </si>
  <si>
    <t>Biaya Bunga</t>
  </si>
  <si>
    <t>Asset lancar</t>
  </si>
  <si>
    <t>Pendapatan bersih</t>
  </si>
  <si>
    <t>Piutang</t>
  </si>
  <si>
    <t>Aktiva Tetap</t>
  </si>
  <si>
    <t>Laba bersih (EAIT)</t>
  </si>
  <si>
    <t>Total Hutang</t>
  </si>
  <si>
    <t>Total Asset</t>
  </si>
  <si>
    <t>Ekuisitas</t>
  </si>
  <si>
    <t>Jenis Rasio</t>
  </si>
  <si>
    <t>Angka Rasio</t>
  </si>
  <si>
    <t>Interpretasi</t>
  </si>
  <si>
    <t>Current Ratio</t>
  </si>
  <si>
    <t>Quick Ratio</t>
  </si>
  <si>
    <t>Cash Ratio</t>
  </si>
  <si>
    <t>Debt to Asset Ratio</t>
  </si>
  <si>
    <t xml:space="preserve">Rasio ini menunjukan bahwa  68% pendannaan dibiayai oleh hutang. Artinya dari </t>
  </si>
  <si>
    <t xml:space="preserve">Rp 100 pendanaan Rp 68 dibiayai oleh hutang dan Rp 32 di sediakan pemegang saham. </t>
  </si>
  <si>
    <t xml:space="preserve"> Debt to Equity Ratio</t>
  </si>
  <si>
    <t>Time Interest Earned Ratio</t>
  </si>
  <si>
    <t>Total Asset to Equity Ratio</t>
  </si>
  <si>
    <t>Hal ini menunjukan bahwa Perusahaan memiliki 3,12 kali asset lebih banyak dibandingkan modal.</t>
  </si>
  <si>
    <t>Sales to Receivable Ratio</t>
  </si>
  <si>
    <t>Sales to Liquid Asset Ratio</t>
  </si>
  <si>
    <t>Hal ini berarti perusahaan dapat menghasilkan penjualan sebesar 17,03 kali lipat dari  total piutang dagang yang dimilikinya</t>
  </si>
  <si>
    <t>Sales to Inventory Ratio</t>
  </si>
  <si>
    <t>Perputaran persediaan perusahaan sangat tinggi yaitu 778 kali artinya 778,21 kali persediaan diganti dalam setahun dan dalam sehari sekitar 2 kali mengganti persediaan.</t>
  </si>
  <si>
    <t>Sales to Current Asset Ratio</t>
  </si>
  <si>
    <t>Sales to Fixed Asset Ratio</t>
  </si>
  <si>
    <t>Net Profit Margin (NPM)</t>
  </si>
  <si>
    <t>Return on Investment (ROI)</t>
  </si>
  <si>
    <t>Return on Equity (ROE)</t>
  </si>
  <si>
    <t>Perusahaan belum cukup liquid  artinya masih bergantung terhadap piutang dan persediaan dalam membayar hutangnya</t>
  </si>
  <si>
    <t>Time Interest Earned Ratio adalah 1,27 kali atau dengan kata lain biaya bunga dapat ditutup oleh 1,27  kali  dari laba sebelum bunga dan pajak.</t>
  </si>
  <si>
    <t>MEMBUAT JURNAL UMUM</t>
  </si>
  <si>
    <t>MEMBUAT BUKU BESAR</t>
  </si>
  <si>
    <t>MEMBUAT NERACA LAJUR</t>
  </si>
  <si>
    <t>MENUTUP MODAL DAN MEMBUAT NERACA  SALDO SETELAH PENUTUP</t>
  </si>
  <si>
    <t>ANALISIS UMUR PUTANG</t>
  </si>
  <si>
    <t>REKONSILIASI BANK</t>
  </si>
  <si>
    <t>KAS KECIL</t>
  </si>
  <si>
    <t>Rasio Liquiditas</t>
  </si>
  <si>
    <t>Rasio Solvabilitas</t>
  </si>
  <si>
    <t>Rasio Aktivitas</t>
  </si>
  <si>
    <t>Rasio Portabilitas</t>
  </si>
  <si>
    <r>
      <t>Hasil dari rasio S</t>
    </r>
    <r>
      <rPr>
        <i/>
        <sz val="12"/>
        <color rgb="FF000000"/>
        <rFont val="Arial"/>
        <family val="2"/>
      </rPr>
      <t>ales to current asset </t>
    </r>
    <r>
      <rPr>
        <sz val="12"/>
        <color rgb="FF000000"/>
        <rFont val="Arial"/>
        <family val="2"/>
      </rPr>
      <t>sebesar 3,75 Kali. Hal ini menunjukan bahwa perusahaan menghasilkan Rp 3,75 penjualan untuk setiap rupiah asset lancar yang dimiliki.</t>
    </r>
  </si>
  <si>
    <r>
      <t>Hasil dari </t>
    </r>
    <r>
      <rPr>
        <i/>
        <sz val="12"/>
        <color rgb="FF000000"/>
        <rFont val="Arial"/>
        <family val="2"/>
      </rPr>
      <t>Sales to fixed asset </t>
    </r>
    <r>
      <rPr>
        <sz val="12"/>
        <color rgb="FF000000"/>
        <rFont val="Arial"/>
        <family val="2"/>
      </rPr>
      <t>sebesar 0,56 kali menunjukan bahwa perusahaan menghasilkan Rp. 0,56 penjualan untuk setiap rupiah asset tetap yang dimiliki.</t>
    </r>
  </si>
  <si>
    <t>ANALISA LAPORAN KEUANGAN</t>
  </si>
  <si>
    <t>Total Hutang Jangka Panjang</t>
  </si>
  <si>
    <t>ANALISIS KOMPARATIF</t>
  </si>
  <si>
    <t>PT DEAL</t>
  </si>
  <si>
    <t>PT DUEL</t>
  </si>
  <si>
    <t>Laba Bersih</t>
  </si>
  <si>
    <t>Total Aset</t>
  </si>
  <si>
    <t>Ekuitas Pemegang Saham</t>
  </si>
  <si>
    <t>Return on Asset (ROA)</t>
  </si>
  <si>
    <t>Net Profit Margin</t>
  </si>
  <si>
    <t>ANALISA ARUS KAS</t>
  </si>
  <si>
    <t>Total Pengeluaran dana</t>
  </si>
  <si>
    <t>Total Penerimaan dana</t>
  </si>
  <si>
    <t>Utang sewa pembiyaaan</t>
  </si>
  <si>
    <t>Non Pengendali entitas anak</t>
  </si>
  <si>
    <t>Deviden Tunai kepada pemegang saham :</t>
  </si>
  <si>
    <t>Utang bank jangka panjang</t>
  </si>
  <si>
    <t>Utang bank jangka pendek</t>
  </si>
  <si>
    <t>Deviden Tunai</t>
  </si>
  <si>
    <t>Pembayaran Untuk :</t>
  </si>
  <si>
    <t>Penggunaan Dana :</t>
  </si>
  <si>
    <t>Utang Jangka panjang</t>
  </si>
  <si>
    <t>Utang Jangka pendek</t>
  </si>
  <si>
    <t>Penerimaan dari :</t>
  </si>
  <si>
    <t>Sumber Dana</t>
  </si>
  <si>
    <t>Arus Kas Pendannaan</t>
  </si>
  <si>
    <t>Total Pengeluaran Dana</t>
  </si>
  <si>
    <t>Total Penerimaan Dana</t>
  </si>
  <si>
    <t>Akuisisi Entitas anak di kuraingi kas yang diperoleh</t>
  </si>
  <si>
    <t>Uang muka Pembelian Asset tatap</t>
  </si>
  <si>
    <t>Perolehan asset tetap</t>
  </si>
  <si>
    <t>Penerimaan dari hasil penjualan asset tetap</t>
  </si>
  <si>
    <t>Penerimaan Dana</t>
  </si>
  <si>
    <t>Arus Kas Investasi</t>
  </si>
  <si>
    <t>Pengeluaran Dana :</t>
  </si>
  <si>
    <t>Penerimaan Dana :</t>
  </si>
  <si>
    <t>Pendapatan operasional lain</t>
  </si>
  <si>
    <t>Biaya Keuangan</t>
  </si>
  <si>
    <t>Tagihan Pajak</t>
  </si>
  <si>
    <t>Pajak Penghasilan</t>
  </si>
  <si>
    <t>Pendapatan Keuangan</t>
  </si>
  <si>
    <t>Pembayaran kepada Pemasok dan karyawan</t>
  </si>
  <si>
    <t>Penerimaan  dari pelanggan</t>
  </si>
  <si>
    <t>kinerja</t>
  </si>
  <si>
    <t>Varian (%)</t>
  </si>
  <si>
    <t>Varian (Rp)</t>
  </si>
  <si>
    <t>Arus Kas Operasi</t>
  </si>
  <si>
    <t>ANALISA SUMBER PENGGUNAAN DANA</t>
  </si>
  <si>
    <t>Sewa Perbulan</t>
  </si>
  <si>
    <t>Tahun (Bulan)</t>
  </si>
  <si>
    <t>Durasi Sewa (Tahun)</t>
  </si>
  <si>
    <t xml:space="preserve">Utang </t>
  </si>
  <si>
    <t>Bunga</t>
  </si>
  <si>
    <t>Bunga Pertahun</t>
  </si>
  <si>
    <t>Bunga jatuh tempo</t>
  </si>
  <si>
    <t>Utang dan bunga jatuh tempo</t>
  </si>
  <si>
    <t>Investasi Awal</t>
  </si>
  <si>
    <t>Pendapatan yang diharapkan</t>
  </si>
  <si>
    <t>Discoun Rate</t>
  </si>
  <si>
    <t>Nvp</t>
  </si>
  <si>
    <t>Investasi</t>
  </si>
  <si>
    <t>Arus Kas Setiap Tahun</t>
  </si>
  <si>
    <t>Payback Periode</t>
  </si>
  <si>
    <t>Produksi</t>
  </si>
  <si>
    <t>Pengiriman</t>
  </si>
  <si>
    <t>Penagihan</t>
  </si>
  <si>
    <t>Pembayaran</t>
  </si>
  <si>
    <t>Siklus Pendapatan</t>
  </si>
  <si>
    <t>Siklus Pembelian</t>
  </si>
  <si>
    <t>Perputaran Pesediaan</t>
  </si>
  <si>
    <t>Tahun (Hari)</t>
  </si>
  <si>
    <t>Siklus Pesediaan</t>
  </si>
  <si>
    <t>Penyesuain</t>
  </si>
  <si>
    <t>Nilai Nolinal</t>
  </si>
  <si>
    <t>Kupon (%)</t>
  </si>
  <si>
    <t>Bunga Pasar</t>
  </si>
  <si>
    <t>Jamgka Waktu (Tahun)</t>
  </si>
  <si>
    <t>Kupon Per Tahun</t>
  </si>
  <si>
    <t>Nilai Obligasi Kini</t>
  </si>
  <si>
    <t>Hutang Obnigasi</t>
  </si>
  <si>
    <t>(Saat Penerbitan)</t>
  </si>
  <si>
    <t>Biaya Bunga Obligasi</t>
  </si>
  <si>
    <t>Hutang Obligasi</t>
  </si>
  <si>
    <t>Disknto Obligasi</t>
  </si>
  <si>
    <t>Hutang bligasi</t>
  </si>
  <si>
    <t>Beban Bunga Obligasi</t>
  </si>
  <si>
    <t>Diskonto Obligasi</t>
  </si>
  <si>
    <t>(Penyesuaian Obligasi)</t>
  </si>
  <si>
    <t>(Pembayaran Bunga Pertama)</t>
  </si>
  <si>
    <t>Premium Obligasi</t>
  </si>
  <si>
    <t>Premium  Atas Obligasi</t>
  </si>
  <si>
    <t>Jenis Obligasi</t>
  </si>
  <si>
    <t>Menghitung Besarnya Perolehan Tanah :</t>
  </si>
  <si>
    <t>Harga Pasar Aktiva Yang Diberikan</t>
  </si>
  <si>
    <t>Kas Yang di Berikan</t>
  </si>
  <si>
    <t>Harga Perolehan tanah</t>
  </si>
  <si>
    <t>Nilai Pasar Mobil</t>
  </si>
  <si>
    <t>Nilai Buku Mobil</t>
  </si>
  <si>
    <t>Ak,u;;asi Penyusutan</t>
  </si>
  <si>
    <t>Kerugian Pertukaran Mobil Bekas</t>
  </si>
  <si>
    <t>Debit (Rp)</t>
  </si>
  <si>
    <t>Kredit (Rp)</t>
  </si>
  <si>
    <t>Tanah</t>
  </si>
  <si>
    <t>Akumulasi Penyusutan Mobil</t>
  </si>
  <si>
    <t>Kerugian Pertukaran</t>
  </si>
  <si>
    <t>Mobil</t>
  </si>
  <si>
    <t>Keuntungan Atau Kerugan :</t>
  </si>
  <si>
    <t>Harga Perolehan Pasar Laptop Bekas</t>
  </si>
  <si>
    <t>Nilai Komputer Bekas</t>
  </si>
  <si>
    <t>Akmulasi Penyusutan Komputer Bekas</t>
  </si>
  <si>
    <t>Harga Perolehan Laptop Bekas</t>
  </si>
  <si>
    <t>Nilai Buku Laptop Bekas Dan Perolehan Laptop Baru :</t>
  </si>
  <si>
    <t>Harga Laptop Baru</t>
  </si>
  <si>
    <t>Harga Kasepakatan Dan Tawar Menawar Oleh Pihak Toko</t>
  </si>
  <si>
    <t>Jumlah Bayar</t>
  </si>
  <si>
    <t>Harga Laptop Bekas</t>
  </si>
  <si>
    <t>Total Perolehan Laptop Baru</t>
  </si>
  <si>
    <t>Kerugian Pertukaran Sejenis :</t>
  </si>
  <si>
    <t>Nilai Buku Laptop Bekas :</t>
  </si>
  <si>
    <t>Akumulasi Penyusutan Laptop Bekas</t>
  </si>
  <si>
    <t>Kerugian Pertukaran Laptop Bekas</t>
  </si>
  <si>
    <t>Laptop Baru</t>
  </si>
  <si>
    <t>Laptop Bekas</t>
  </si>
  <si>
    <t>Penyusutan per tahun</t>
  </si>
  <si>
    <t>Harga Perolehan</t>
  </si>
  <si>
    <t>Nulai Residu</t>
  </si>
  <si>
    <t>Umur Ekonomis</t>
  </si>
  <si>
    <t>Biaya penyusutan mesin</t>
  </si>
  <si>
    <t>Akumulasi Penyusutan Bekas</t>
  </si>
  <si>
    <t>Penyusutan per tahun :</t>
  </si>
  <si>
    <t>Total Penyusutan</t>
  </si>
  <si>
    <t>Nilai Buku Mesin</t>
  </si>
  <si>
    <t>Penyusutan Pertahun</t>
  </si>
  <si>
    <t>Nilai Buku Mesin Sebelum Disusutkan :</t>
  </si>
  <si>
    <t>Akumulasi Penyusutan</t>
  </si>
  <si>
    <t>Perhitungan Penyusutan Pertahun dilakukan Perbaikan Pada akhir Tahun 2022 :</t>
  </si>
  <si>
    <t>Nilai Buku</t>
  </si>
  <si>
    <t>Nilai Residu</t>
  </si>
  <si>
    <t>Sisa Umur Ekonomis</t>
  </si>
  <si>
    <t>Tambahan</t>
  </si>
  <si>
    <t>Total Umur</t>
  </si>
  <si>
    <t>Umur beli</t>
  </si>
  <si>
    <t>Biaya Penyusutan Penyusutan</t>
  </si>
  <si>
    <t xml:space="preserve">          Akumulasi penyusutan</t>
  </si>
  <si>
    <t>Penyusutan Diakhir 2022 makaSetengah Tahun, Maka :</t>
  </si>
  <si>
    <t>Akhir 2022</t>
  </si>
  <si>
    <t>Umur akhir 2022</t>
  </si>
  <si>
    <t>Dalam Pecahan</t>
  </si>
  <si>
    <t>Penyustan akhit Tahun</t>
  </si>
  <si>
    <t>Akumulasi penyusutan</t>
  </si>
  <si>
    <t>Nilai Aktiva Yang Diganti</t>
  </si>
  <si>
    <t>Biaya Penyutan Pertahuan</t>
  </si>
  <si>
    <t>Jurnal Perbaikan Mesin</t>
  </si>
  <si>
    <t>Jurnal  Penyesuian Awal</t>
  </si>
  <si>
    <t>Jurnal Penyesuian Di Akhir 2022</t>
  </si>
  <si>
    <t>Jurnal Penyesuaian Setelah Perbaikan</t>
  </si>
  <si>
    <t xml:space="preserve">Tanggal </t>
  </si>
  <si>
    <t xml:space="preserve">Biaya Penyusutan Mesin </t>
  </si>
  <si>
    <t>Jurnal Penyesuaian</t>
  </si>
  <si>
    <t>Mulai</t>
  </si>
  <si>
    <t>Penghentian</t>
  </si>
  <si>
    <t>Umur Pakai</t>
  </si>
  <si>
    <t>Akumulasi penyusutan mesin</t>
  </si>
  <si>
    <t>Rugi penghentian Mesin</t>
  </si>
  <si>
    <t>Mesin</t>
  </si>
  <si>
    <t>Jurnal Penghentian Mesin</t>
  </si>
  <si>
    <t>Total Akumulasi Penyusutan Sebelum Dijual</t>
  </si>
  <si>
    <t>Dijual</t>
  </si>
  <si>
    <t>Akumulai Penyusutan (Pakai)</t>
  </si>
  <si>
    <t>Kerugian Penjualan</t>
  </si>
  <si>
    <t>Umur Mesin (Udah Dipakai)</t>
  </si>
  <si>
    <t>Jurnal Rugi</t>
  </si>
  <si>
    <t>Rugi Untung</t>
  </si>
  <si>
    <t>Pendapatan Keluarga Ibu Sarah</t>
  </si>
  <si>
    <t>Suami Ibu Sarah</t>
  </si>
  <si>
    <t>Total Pendapatan</t>
  </si>
  <si>
    <t>Pengeluaran Bulanan</t>
  </si>
  <si>
    <t>Biaya Rumah Tangga</t>
  </si>
  <si>
    <t>Air,Telepon, Listrik</t>
  </si>
  <si>
    <t>Pendidikan</t>
  </si>
  <si>
    <t>Lain-lain</t>
  </si>
  <si>
    <t>Angsuran Kredis Sebelumnya</t>
  </si>
  <si>
    <t>Total Pengeluaran</t>
  </si>
  <si>
    <t>Penadaptan Bersih</t>
  </si>
  <si>
    <t>Kas Sisa</t>
  </si>
  <si>
    <t>Angsuran Pinjaman Baru</t>
  </si>
  <si>
    <t>Bunga (flat)</t>
  </si>
  <si>
    <t>Total Angsuran Perbulan</t>
  </si>
  <si>
    <t>Sisa Pendapatan Setelah Cicilan</t>
  </si>
  <si>
    <t>Angsuran Pokok</t>
  </si>
  <si>
    <t>Durasi Angsuran</t>
  </si>
  <si>
    <t>Mie Soto</t>
  </si>
  <si>
    <t>Mie Ayam Bawang</t>
  </si>
  <si>
    <t>Unit yang diproduksi/tahun</t>
  </si>
  <si>
    <t>Biaya utama</t>
  </si>
  <si>
    <t>Jam tenaga kerja langsung</t>
  </si>
  <si>
    <t>Jam kerja mesin</t>
  </si>
  <si>
    <t>Pergerakan produksi</t>
  </si>
  <si>
    <t>Number of moves</t>
  </si>
  <si>
    <t>Data per Departemen</t>
  </si>
  <si>
    <t>Dept. pemrosesan</t>
  </si>
  <si>
    <t>Dept. pengemasan</t>
  </si>
  <si>
    <t>Biaya overhead pabrik</t>
  </si>
  <si>
    <t>Biaya penyetelan</t>
  </si>
  <si>
    <t>Biaya penanganan material</t>
  </si>
  <si>
    <t>Biaya listrik dan energi</t>
  </si>
  <si>
    <t>Biaya inspeksi</t>
  </si>
  <si>
    <t>Jenis Biaya</t>
  </si>
  <si>
    <t>Jumlah (Rp)</t>
  </si>
  <si>
    <t>Jenis Aktivitas</t>
  </si>
  <si>
    <t>Biaya Penyetelan</t>
  </si>
  <si>
    <t>Batch - Level Activity</t>
  </si>
  <si>
    <t>Biaya Penanganan Material</t>
  </si>
  <si>
    <t>Total Biaya</t>
  </si>
  <si>
    <t>Biaya Listrik Dan Energi</t>
  </si>
  <si>
    <t>Unit Level Ackivity</t>
  </si>
  <si>
    <t>Biaya Infeksi</t>
  </si>
  <si>
    <t>Unit Level Activity</t>
  </si>
  <si>
    <t>Dasar Tarif</t>
  </si>
  <si>
    <t>Tarif BOP</t>
  </si>
  <si>
    <t>Batch-Level Activity</t>
  </si>
  <si>
    <t>Unit Level Acivity</t>
  </si>
  <si>
    <t>Aktivitas yang Digunakan</t>
  </si>
  <si>
    <t>Pembebanan BOP</t>
  </si>
  <si>
    <t>Mie Bawang</t>
  </si>
  <si>
    <t>Biaya Utama</t>
  </si>
  <si>
    <t>Biaya Overhead :</t>
  </si>
  <si>
    <t>Batch Level Activity</t>
  </si>
  <si>
    <t>Total Biaya Produksi</t>
  </si>
  <si>
    <t>Unit yang diproduksi</t>
  </si>
  <si>
    <t>Harga Pokok PerUnit</t>
  </si>
  <si>
    <t>1. Mengelompokan Biaya Overhead Dari Setiap Aktivitas</t>
  </si>
  <si>
    <t>2. Menghitung Biaya Overhead Pabrik Perkelompok (Pool Rate)</t>
  </si>
  <si>
    <t>3. Membebankan Biaya Overhead Pabrik</t>
  </si>
  <si>
    <t>4. Perhitungan Harga Pokok Produksi</t>
  </si>
  <si>
    <t xml:space="preserve">Varians                                            </t>
  </si>
  <si>
    <t>Kesimpulan</t>
  </si>
  <si>
    <t>(U/F)</t>
  </si>
  <si>
    <t>Pembelian Bahan Baku</t>
  </si>
  <si>
    <t>Pemakaian Bahan Baku</t>
  </si>
  <si>
    <t>Pembayaran Upah Tenaga Kerja Langsung</t>
  </si>
  <si>
    <t>Pembebanan Biaya Tenaga Kerja Langsung</t>
  </si>
  <si>
    <t>Varian Overhead Pabrik</t>
  </si>
  <si>
    <t>Persediaan Bahan baku</t>
  </si>
  <si>
    <t>Varian Bahan Baku</t>
  </si>
  <si>
    <t>Utang dagang</t>
  </si>
  <si>
    <t>BDP Bahan Baku</t>
  </si>
  <si>
    <t>Gaji dan upah</t>
  </si>
  <si>
    <t>Varian Gaji</t>
  </si>
  <si>
    <t>Persediaaan Bahan baku</t>
  </si>
  <si>
    <t>BOP dibebankan</t>
  </si>
  <si>
    <t>Persedian Produk Jadi</t>
  </si>
  <si>
    <t>BOP Sesungguhnya</t>
  </si>
  <si>
    <t>Varaian bahan baku</t>
  </si>
  <si>
    <t>Varian gaji dan upah</t>
  </si>
  <si>
    <t>Varian overhead Pabrik</t>
  </si>
  <si>
    <t>Persedian BDP</t>
  </si>
  <si>
    <t>Persediaan BDP – BOP</t>
  </si>
  <si>
    <t>BDP-BTKL</t>
  </si>
  <si>
    <t>Gaji Dan Upah</t>
  </si>
  <si>
    <r>
      <t>Harga Pokok Penjualan</t>
    </r>
    <r>
      <rPr>
        <i/>
        <sz val="12"/>
        <color rgb="FF000000"/>
        <rFont val="Arial"/>
        <family val="2"/>
      </rPr>
      <t xml:space="preserve"> (selisih antara debit dan total varian)</t>
    </r>
  </si>
  <si>
    <r>
      <t xml:space="preserve">Biaya Bahan Baku Tidak Langsusng </t>
    </r>
    <r>
      <rPr>
        <i/>
        <sz val="12"/>
        <color rgb="FF000000"/>
        <rFont val="Arial"/>
        <family val="2"/>
      </rPr>
      <t>(Perlengkapan Pabrik )</t>
    </r>
  </si>
  <si>
    <r>
      <t xml:space="preserve">Biaya Listrik </t>
    </r>
    <r>
      <rPr>
        <i/>
        <sz val="12"/>
        <color rgb="FF000000"/>
        <rFont val="Arial"/>
        <family val="2"/>
      </rPr>
      <t xml:space="preserve">(Masih terutang) </t>
    </r>
  </si>
  <si>
    <r>
      <t xml:space="preserve">Biaya Tenaga Kerja Tidak Langsung </t>
    </r>
    <r>
      <rPr>
        <i/>
        <sz val="12"/>
        <color rgb="FF000000"/>
        <rFont val="Arial"/>
        <family val="2"/>
      </rPr>
      <t>(Kas)</t>
    </r>
  </si>
  <si>
    <t>Tahun</t>
  </si>
  <si>
    <t>Tahun 1</t>
  </si>
  <si>
    <t>Tahun 2</t>
  </si>
  <si>
    <t>Tahun 3</t>
  </si>
  <si>
    <t>Tahun 4</t>
  </si>
  <si>
    <t>Tahun 5</t>
  </si>
  <si>
    <t>Ars Kas</t>
  </si>
  <si>
    <t>Tingkat Bunga</t>
  </si>
  <si>
    <t>Nilai Sekarang (PV)</t>
  </si>
  <si>
    <t>Nilai Sekarang</t>
  </si>
  <si>
    <t>Total Nilai Sekarang NVP</t>
  </si>
  <si>
    <t>Total Nilai Investasi Awal (Io)</t>
  </si>
  <si>
    <t>Nilai Sekarang Bersih</t>
  </si>
  <si>
    <t>Selisih Pv</t>
  </si>
  <si>
    <t>Nilai IRR 9%</t>
  </si>
  <si>
    <t>Arus Kas</t>
  </si>
  <si>
    <t xml:space="preserve">Nilai IRR 8% </t>
  </si>
  <si>
    <t>Dreamy Lnas</t>
  </si>
  <si>
    <t>Anggaran Penjualan</t>
  </si>
  <si>
    <t>Untuk periode yang berakhir pada 31 Desember 2023</t>
  </si>
  <si>
    <t>Triwulan</t>
  </si>
  <si>
    <t>Tahunan</t>
  </si>
  <si>
    <t>Unit</t>
  </si>
  <si>
    <t>Harga Jual/Unit ($)</t>
  </si>
  <si>
    <t xml:space="preserve">    Anggaran Penjualan ($)</t>
  </si>
  <si>
    <t>Dreamy Land</t>
  </si>
  <si>
    <t>Anggaran Produksi</t>
  </si>
  <si>
    <t>Persediaan Akhir yang diinginkan</t>
  </si>
  <si>
    <t xml:space="preserve">    Total Kebutuhan</t>
  </si>
  <si>
    <t>Dikurangi : Persediaan Awal</t>
  </si>
  <si>
    <t xml:space="preserve">    Unit yang harus diproduksi</t>
  </si>
  <si>
    <t>Sabun Mandi</t>
  </si>
  <si>
    <t>Unit yang harus diproduksi (Tabel 2)</t>
  </si>
  <si>
    <t>Bahan Baku Langsung per Unit</t>
  </si>
  <si>
    <t>Kebutuhan Produksi</t>
  </si>
  <si>
    <t>Persedian Akhir yang diinginkan</t>
  </si>
  <si>
    <t>Total Kebutuhan</t>
  </si>
  <si>
    <t>Bahan Baku Langsung yang harus dibeli</t>
  </si>
  <si>
    <t>Biaya per Sabun Mandi  ($)</t>
  </si>
  <si>
    <t>Total Biaya Pembelian Sabun Mandi</t>
  </si>
  <si>
    <t>Anggaran Biaya Tenaga Kerja</t>
  </si>
  <si>
    <t>Unit yang harus diproduksi (Tabel 1)</t>
  </si>
  <si>
    <t>Waktu Tenaga Kerja per Unit</t>
  </si>
  <si>
    <t>Total Waktu yang dibutuhkan</t>
  </si>
  <si>
    <t>Rata-rata Upah per Jam ($)</t>
  </si>
  <si>
    <t>Total Biaya Tenaga Kerja Langsung ($)</t>
  </si>
  <si>
    <t>Anggaran Biaya Overhead</t>
  </si>
  <si>
    <t>Tenaga Kerja Langsung (Jam) (Tabel 4)</t>
  </si>
  <si>
    <t>Tarif Overhead Variabel</t>
  </si>
  <si>
    <t>Anggaran Overhead Tetap ($)</t>
  </si>
  <si>
    <t xml:space="preserve">  Anggaran Overhead Variabel ($)</t>
  </si>
  <si>
    <t>Total Biaya Overhead ($)</t>
  </si>
  <si>
    <t>Anggaran Persediaan Barang Jadi</t>
  </si>
  <si>
    <t>Perhitungan Biaya per Unit</t>
  </si>
  <si>
    <t xml:space="preserve">Bahan Baku (120m bahan kimia sebesar 5$ + 1 botol packaging sebesar 0,20$) </t>
  </si>
  <si>
    <t>Tenaga Kerja (0,12 jam @12$)</t>
  </si>
  <si>
    <t>Biaya Overhead:</t>
  </si>
  <si>
    <t>Biaya variable (0,12 jam @7$)</t>
  </si>
  <si>
    <t>Total Biaya per Unit ($)</t>
  </si>
  <si>
    <r>
      <t>Tetap (</t>
    </r>
    <r>
      <rPr>
        <sz val="12"/>
        <color rgb="FF000000"/>
        <rFont val="Roboto"/>
      </rPr>
      <t>0,12 jam @1,25)</t>
    </r>
  </si>
  <si>
    <t>Luna Co</t>
  </si>
  <si>
    <t>Anggaran Biaya Pemasaran dan Administrasi Umum</t>
  </si>
  <si>
    <t>Anggaran Penjualan (Unit) (Tabel 1)</t>
  </si>
  <si>
    <t>Biaya Variabel Pemasaran dan Admin per Unit</t>
  </si>
  <si>
    <t>Total Biaya Variabel</t>
  </si>
  <si>
    <t>Biaya Variabel Pemasaran dan Administrasi Umum</t>
  </si>
  <si>
    <t>Gaji</t>
  </si>
  <si>
    <t>Perlengkapan</t>
  </si>
  <si>
    <t>Iklan</t>
  </si>
  <si>
    <t>Depresiasi</t>
  </si>
  <si>
    <t>Asuransi</t>
  </si>
  <si>
    <t>Total Biaya Tetap</t>
  </si>
  <si>
    <t>Total Biaya Pemasaran dan Administrasi Umum ($)</t>
  </si>
  <si>
    <t>Januari</t>
  </si>
  <si>
    <t>Februari</t>
  </si>
  <si>
    <t>Maret</t>
  </si>
  <si>
    <t>Triwulan 1</t>
  </si>
  <si>
    <t>Penerimaan Kas</t>
  </si>
  <si>
    <t>Pengeluaran Kas</t>
  </si>
  <si>
    <t>PT Ameena Jaya</t>
  </si>
  <si>
    <t>Anggaran Kas untuk periode yang berakhir pada Triwulan 1 2023</t>
  </si>
  <si>
    <t>Saldo Awal Kas</t>
  </si>
  <si>
    <t>Pembiayaan</t>
  </si>
  <si>
    <t>Saldo Akhir Kas</t>
  </si>
  <si>
    <t>Subtotal</t>
  </si>
  <si>
    <t>Kas Tersedia</t>
  </si>
  <si>
    <t>Pinjaman</t>
  </si>
  <si>
    <t>Pembayaran Pinjaman Pokok</t>
  </si>
  <si>
    <t>Pembayaran Pinjaman Bunga</t>
  </si>
  <si>
    <t>Total Pembiayaan</t>
  </si>
  <si>
    <t>Anggaran Pembelian Bahan Baku (Botol) untuk periode yang berakhir pada 31 Desember 2023</t>
  </si>
  <si>
    <t>Anggaran Pembelian Bahan Baku (Bahan Kima) untuk periode yang berakhir pada 31 Desember 2023</t>
  </si>
  <si>
    <t>Total Biaya Pembelian Keseluruhan</t>
  </si>
  <si>
    <t>Mencatat Pembelian Bahan Baku :</t>
  </si>
  <si>
    <t>Mencatat Pemakaian Bahan Baku :</t>
  </si>
  <si>
    <t>Mencatat Biaya Tenaga Kerja Langsung :</t>
  </si>
  <si>
    <t>Mencatat Biaya Overhead Pabrik (BOP) :</t>
  </si>
  <si>
    <t>Mencatat Varian :</t>
  </si>
  <si>
    <t>Mencatat Persediaan Produk Jadi :</t>
  </si>
  <si>
    <t>Mencatat Pembebanan Gaji Dan Upah Langsung :</t>
  </si>
  <si>
    <t>Bulan</t>
  </si>
  <si>
    <t>THR</t>
  </si>
  <si>
    <t>Bonus</t>
  </si>
  <si>
    <t>Premi JKK &amp; JKM</t>
  </si>
  <si>
    <t>Penghasilan Bruto</t>
  </si>
  <si>
    <t>TER gol A</t>
  </si>
  <si>
    <t>PPh 21</t>
  </si>
  <si>
    <t>April</t>
  </si>
  <si>
    <t>Mei</t>
  </si>
  <si>
    <t>Juni</t>
  </si>
  <si>
    <t>Juli</t>
  </si>
  <si>
    <t>Agustus</t>
  </si>
  <si>
    <t>September</t>
  </si>
  <si>
    <t>Oktober</t>
  </si>
  <si>
    <t>November</t>
  </si>
  <si>
    <t>Desember</t>
  </si>
  <si>
    <t>Penghasilan bruto setahun</t>
  </si>
  <si>
    <t>Pengurangan :</t>
  </si>
  <si>
    <t>Biaya Jabatan</t>
  </si>
  <si>
    <t>Iuran Pensiun 12 x 100.000</t>
  </si>
  <si>
    <t>Penghasilan Neto Setahun</t>
  </si>
  <si>
    <t>Penghasilan Tidak Kena Pajak (PTKP)</t>
  </si>
  <si>
    <t>Untuk WP sendiri</t>
  </si>
  <si>
    <t>2 tanggungan</t>
  </si>
  <si>
    <t>PPh 21 terutang setahun :</t>
  </si>
  <si>
    <t>PPh 21 yang telah dibayar sampai Nov 2024</t>
  </si>
  <si>
    <t>PPh 21 Des 2024</t>
  </si>
  <si>
    <t>Cadangan Piutang Tak tertagih</t>
  </si>
  <si>
    <t>Belum Jatuh Tempo</t>
  </si>
  <si>
    <t>Dikurangi : Biaya Variabel</t>
  </si>
  <si>
    <t>Dikurangi : Biaya Tetap</t>
  </si>
  <si>
    <t>Laba Sebelum Pajak</t>
  </si>
  <si>
    <t>Margin Kontribusi</t>
  </si>
  <si>
    <t>Biaya Tetap</t>
  </si>
  <si>
    <t>Biaya Tetap (F)</t>
  </si>
  <si>
    <t>Laba Yang Diinginkan (L)</t>
  </si>
  <si>
    <t>Harga Jual Perunit (P)</t>
  </si>
  <si>
    <t>Biaya Perunit (V)</t>
  </si>
  <si>
    <t>Penjualan (X)</t>
  </si>
  <si>
    <t>Perkiraan Penjualaan</t>
  </si>
  <si>
    <t>Laba Sebelum Pajaknya</t>
  </si>
  <si>
    <t>Uraian</t>
  </si>
  <si>
    <t>Biaya Variabel</t>
  </si>
  <si>
    <t>Bahan Baku</t>
  </si>
  <si>
    <t>Upah Langsung</t>
  </si>
  <si>
    <t>Overhead Pabrik</t>
  </si>
  <si>
    <t>Biaya Penjualan</t>
  </si>
  <si>
    <t>Biaya Umum</t>
  </si>
  <si>
    <t>Biaya Overhead Pabrik</t>
  </si>
  <si>
    <t>Asumsi Laba</t>
  </si>
  <si>
    <t>Total aktiva Yang Diharapkan</t>
  </si>
  <si>
    <t>Biaya Perunit</t>
  </si>
  <si>
    <t>Pesentase Laba Dan Persentase Biaya</t>
  </si>
  <si>
    <t>Laba Perunit</t>
  </si>
  <si>
    <t>Harga Jual</t>
  </si>
  <si>
    <t>Biaya Per Unit :</t>
  </si>
  <si>
    <t>Laba :</t>
  </si>
  <si>
    <t>Harga Jual Per Unit :</t>
  </si>
  <si>
    <t>Kas Ditambah Kas Yang Dibatasi Penggunaanya</t>
  </si>
  <si>
    <t>Rasio ini menunjukan bahwa kreditor memberikan Rp 212,09 pada tahun 2024 untuk setiap Rp 100 yang disediakan oleh pemegang saham artinya utang perusaan 2,12 kali lipat dari pada modal sendiri.</t>
  </si>
  <si>
    <t>Rasio ini menandakan bahwa Perusahaan Menghasilkan penjualan 12,50  kali dari total asset liquid yang dimilikinya.</t>
  </si>
  <si>
    <t>NPM sebesar 9,43% menunjukan bahwa perusahaan berhasil mempertahankan 9,43% keuntungan bersih.</t>
  </si>
  <si>
    <t>ROI sebesar 4,61% menunjukan bahwa investor berhasil meraih keuntungan sebesar 4,61% dari total investasinya selama satu tahun</t>
  </si>
  <si>
    <t>ROE sebesar 14,39% menunjukan bahwa perusahaan berhasil menhasilkan 14,39% keuntungan bersih pemegang saham</t>
  </si>
  <si>
    <t>Artinya setiap Rp 1 hutang lancar dijamin dengan Rp 0,480 Aktiva lancar Atau 0,480:1 antara aktiva lancar dengan hutang lancar. Hasil pengukuran yang rendah menunjukan bahwa Perusahaan kurang modal dalam membayar hutang.</t>
  </si>
  <si>
    <t>Perusahaan masih bergantung dengan persediaan dalam membayar hutangnya artinya perushaan belum bisa mengandalkan asset yang cepat dicairkan seperti kas, setara kas dan piutang usaha karena harus bergantung dengan persediaannya itu.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</si>
</sst>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5">
    <numFmt numFmtId="6" formatCode="&quot;Rp&quot;#,##0;[Red]\-&quot;Rp&quot;#,##0"/>
    <numFmt numFmtId="42" formatCode="_-&quot;Rp&quot;* #,##0_-;\-&quot;Rp&quot;* #,##0_-;_-&quot;Rp&quot;* &quot;-&quot;_-;_-@_-"/>
    <numFmt numFmtId="41" formatCode="_-* #,##0_-;\-* #,##0_-;_-* &quot;-&quot;_-;_-@_-"/>
    <numFmt numFmtId="44" formatCode="_-&quot;Rp&quot;* #,##0.00_-;\-&quot;Rp&quot;* #,##0.00_-;_-&quot;Rp&quot;* &quot;-&quot;??_-;_-@_-"/>
    <numFmt numFmtId="43" formatCode="_-* #,##0.00_-;\-* #,##0.00_-;_-* &quot;-&quot;??_-;_-@_-"/>
    <numFmt numFmtId="164" formatCode="_-[$Rp-3809]* #,##0_-;\-[$Rp-3809]* #,##0_-;_-[$Rp-3809]* &quot;-&quot;_-;_-@_-"/>
    <numFmt numFmtId="165" formatCode="#,##0_ ;\-#,##0\ "/>
    <numFmt numFmtId="166" formatCode="0.00\ &quot;Kali&quot;"/>
    <numFmt numFmtId="167" formatCode="0\ &quot;Hari&quot;"/>
    <numFmt numFmtId="168" formatCode="0\ &quot;Kali&quot;"/>
    <numFmt numFmtId="169" formatCode="0.0\ &quot;Hari&quot;"/>
    <numFmt numFmtId="170" formatCode="#,##0;\(#,##0\)"/>
    <numFmt numFmtId="171" formatCode="#,##0.00;[Red]\(#,##0.00\)"/>
    <numFmt numFmtId="172" formatCode="#,##0;[Red]\(#,##0\)"/>
    <numFmt numFmtId="173" formatCode="#,##0\ &quot;Tahun&quot;"/>
    <numFmt numFmtId="174" formatCode="#,##0.0\ &quot;Tahun&quot;"/>
    <numFmt numFmtId="175" formatCode="_-* #,##0.0_-;\-* #,##0.0_-;_-* &quot;-&quot;?_-;_-@_-"/>
    <numFmt numFmtId="176" formatCode="#,##0\ &quot;Pertahun&quot;"/>
    <numFmt numFmtId="177" formatCode="#,##0\ &quot;Bulan&quot;"/>
    <numFmt numFmtId="178" formatCode="#,##0\ &quot;Perahun&quot;"/>
    <numFmt numFmtId="179" formatCode="_-* #,##0.0000_-;\-* #,##0.0000_-;_-* &quot;-&quot;????_-;_-@_-"/>
    <numFmt numFmtId="180" formatCode="_-* #,##0.000_-;\-* #,##0.000_-;_-* &quot;-&quot;???_-;_-@_-"/>
    <numFmt numFmtId="181" formatCode="#,##0\ &quot;Unit&quot;"/>
    <numFmt numFmtId="182" formatCode="#,##0\ &quot;/Unit&quot;"/>
    <numFmt numFmtId="183" formatCode="0.000\ &quot;Kali&quot;"/>
  </numFmts>
  <fonts count="56">
    <font>
      <sz val="11"/>
      <color theme="1"/>
      <name val="Calibri"/>
      <family val="2"/>
      <scheme val="minor"/>
    </font>
    <font>
      <sz val="12"/>
      <color rgb="FF000000"/>
      <name val="Roboto"/>
    </font>
    <font>
      <sz val="14"/>
      <color rgb="FF000000"/>
      <name val="Arial"/>
      <family val="2"/>
    </font>
    <font>
      <b/>
      <sz val="12"/>
      <color theme="1"/>
      <name val="Roboto"/>
    </font>
    <font>
      <sz val="14"/>
      <color theme="1"/>
      <name val="Calibri"/>
      <family val="2"/>
      <scheme val="minor"/>
    </font>
    <font>
      <sz val="12"/>
      <color theme="1"/>
      <name val="Calibri"/>
      <family val="2"/>
      <scheme val="minor"/>
    </font>
    <font>
      <sz val="12"/>
      <color rgb="FF000000"/>
      <name val="Arial"/>
      <family val="2"/>
    </font>
    <font>
      <sz val="12"/>
      <name val="Arial"/>
      <family val="2"/>
    </font>
    <font>
      <b/>
      <sz val="12"/>
      <color rgb="FF000000"/>
      <name val="Roboto"/>
    </font>
    <font>
      <b/>
      <sz val="14"/>
      <color theme="1"/>
      <name val="Calibri"/>
      <family val="2"/>
      <scheme val="minor"/>
    </font>
    <font>
      <sz val="11"/>
      <color theme="1"/>
      <name val="Calibri"/>
      <family val="2"/>
      <scheme val="minor"/>
    </font>
    <font>
      <sz val="12"/>
      <name val="Roboto"/>
    </font>
    <font>
      <sz val="18"/>
      <name val="Arial"/>
      <family val="2"/>
    </font>
    <font>
      <sz val="11"/>
      <color rgb="FF000000"/>
      <name val="Roboto"/>
    </font>
    <font>
      <b/>
      <sz val="11"/>
      <name val="Roboto"/>
    </font>
    <font>
      <b/>
      <sz val="14"/>
      <color theme="0"/>
      <name val="Calibri"/>
      <family val="2"/>
      <scheme val="minor"/>
    </font>
    <font>
      <b/>
      <sz val="12"/>
      <color rgb="FFFFFFFF"/>
      <name val="Roboto"/>
    </font>
    <font>
      <b/>
      <sz val="8"/>
      <color rgb="FF000000"/>
      <name val="Roboto"/>
    </font>
    <font>
      <b/>
      <sz val="20"/>
      <color theme="1"/>
      <name val="Calibri"/>
      <family val="2"/>
      <scheme val="minor"/>
    </font>
    <font>
      <b/>
      <sz val="12"/>
      <color theme="0"/>
      <name val="Roboto"/>
    </font>
    <font>
      <b/>
      <sz val="16"/>
      <color theme="1"/>
      <name val="Calibri"/>
      <family val="2"/>
      <scheme val="minor"/>
    </font>
    <font>
      <sz val="11"/>
      <color theme="0"/>
      <name val="Calibri"/>
      <family val="2"/>
      <scheme val="minor"/>
    </font>
    <font>
      <b/>
      <sz val="12"/>
      <color rgb="FFFFFFFF"/>
      <name val="Calibri"/>
      <family val="2"/>
    </font>
    <font>
      <sz val="12"/>
      <color rgb="FF000000"/>
      <name val="Calibri"/>
      <family val="2"/>
    </font>
    <font>
      <sz val="12"/>
      <color rgb="FF000000"/>
      <name val="Calibri Light"/>
      <family val="2"/>
    </font>
    <font>
      <sz val="12"/>
      <color rgb="FFFFFFFF"/>
      <name val="Calibri"/>
      <family val="2"/>
    </font>
    <font>
      <b/>
      <sz val="12"/>
      <color rgb="FF000000"/>
      <name val="Calibri"/>
      <family val="2"/>
    </font>
    <font>
      <b/>
      <sz val="18"/>
      <color theme="1"/>
      <name val="Calibri"/>
      <family val="2"/>
      <scheme val="minor"/>
    </font>
    <font>
      <sz val="12"/>
      <color rgb="FFFFFFFF"/>
      <name val="Arial"/>
      <family val="2"/>
    </font>
    <font>
      <sz val="12"/>
      <color rgb="FF000000"/>
      <name val="+mj-lt"/>
    </font>
    <font>
      <b/>
      <sz val="12"/>
      <color theme="1"/>
      <name val="Calibri"/>
      <family val="2"/>
      <scheme val="minor"/>
    </font>
    <font>
      <sz val="12"/>
      <color theme="0"/>
      <name val="Calibri"/>
      <family val="2"/>
      <scheme val="minor"/>
    </font>
    <font>
      <i/>
      <sz val="12"/>
      <color rgb="FF000000"/>
      <name val="Arial"/>
      <family val="2"/>
    </font>
    <font>
      <b/>
      <sz val="22"/>
      <color theme="1"/>
      <name val="Calibri"/>
      <family val="2"/>
      <scheme val="minor"/>
    </font>
    <font>
      <sz val="12"/>
      <color theme="0"/>
      <name val="Roboto"/>
    </font>
    <font>
      <b/>
      <sz val="28"/>
      <color theme="1"/>
      <name val="Calibri"/>
      <family val="2"/>
      <scheme val="minor"/>
    </font>
    <font>
      <b/>
      <sz val="10"/>
      <color rgb="FFFFFFFF"/>
      <name val="Roboto"/>
    </font>
    <font>
      <b/>
      <sz val="11"/>
      <color rgb="FFFFFFFF"/>
      <name val="Roboto"/>
    </font>
    <font>
      <b/>
      <sz val="12"/>
      <color rgb="FFFFFFFF"/>
      <name val="Arial"/>
      <family val="2"/>
    </font>
    <font>
      <b/>
      <sz val="24"/>
      <color theme="1"/>
      <name val="Calibri"/>
      <family val="2"/>
      <scheme val="minor"/>
    </font>
    <font>
      <i/>
      <sz val="11"/>
      <color rgb="FFFF0000"/>
      <name val="Calibri"/>
      <family val="2"/>
      <scheme val="minor"/>
    </font>
    <font>
      <b/>
      <sz val="12"/>
      <color theme="0"/>
      <name val="Calibri"/>
      <family val="2"/>
      <scheme val="minor"/>
    </font>
    <font>
      <sz val="12"/>
      <color theme="2"/>
      <name val="Arial"/>
      <family val="2"/>
    </font>
    <font>
      <sz val="12"/>
      <color theme="2"/>
      <name val="Calibri"/>
      <family val="2"/>
      <scheme val="minor"/>
    </font>
    <font>
      <b/>
      <sz val="12"/>
      <color theme="2"/>
      <name val="Calibri"/>
      <family val="2"/>
      <scheme val="minor"/>
    </font>
    <font>
      <sz val="12"/>
      <color theme="1"/>
      <name val="Arial"/>
      <family val="2"/>
    </font>
    <font>
      <sz val="12"/>
      <color theme="0"/>
      <name val="Arial"/>
      <family val="2"/>
    </font>
    <font>
      <b/>
      <sz val="12"/>
      <color theme="1"/>
      <name val="Arial"/>
      <family val="2"/>
    </font>
    <font>
      <sz val="11"/>
      <color theme="1"/>
      <name val="Arial"/>
      <family val="2"/>
    </font>
    <font>
      <b/>
      <sz val="12"/>
      <color theme="0"/>
      <name val="Arial"/>
      <family val="2"/>
    </font>
    <font>
      <sz val="8"/>
      <name val="Calibri"/>
      <family val="2"/>
      <scheme val="minor"/>
    </font>
    <font>
      <b/>
      <sz val="12"/>
      <color rgb="FF000000"/>
      <name val="Arial"/>
      <family val="2"/>
    </font>
    <font>
      <sz val="18"/>
      <color theme="0"/>
      <name val="Arial"/>
      <family val="2"/>
    </font>
    <font>
      <sz val="12"/>
      <color theme="1"/>
      <name val="Roboto"/>
    </font>
    <font>
      <b/>
      <sz val="13"/>
      <color rgb="FFFFFFFF"/>
      <name val="Roboto"/>
    </font>
    <font>
      <sz val="12"/>
      <color rgb="FF000000"/>
      <name val="Calibri"/>
      <family val="2"/>
      <scheme val="minor"/>
    </font>
  </fonts>
  <fills count="12">
    <fill>
      <patternFill patternType="none"/>
    </fill>
    <fill>
      <patternFill patternType="gray125"/>
    </fill>
    <fill>
      <patternFill patternType="solid">
        <fgColor rgb="FFFFFF00"/>
        <bgColor indexed="64"/>
      </patternFill>
    </fill>
    <fill>
      <patternFill patternType="solid">
        <fgColor rgb="FFF3F3F3"/>
        <bgColor indexed="64"/>
      </patternFill>
    </fill>
    <fill>
      <patternFill patternType="solid">
        <fgColor rgb="FF006666"/>
        <bgColor indexed="64"/>
      </patternFill>
    </fill>
    <fill>
      <patternFill patternType="solid">
        <fgColor theme="8" tint="-0.249977111117893"/>
        <bgColor indexed="64"/>
      </patternFill>
    </fill>
    <fill>
      <patternFill patternType="solid">
        <fgColor theme="4"/>
        <bgColor indexed="64"/>
      </patternFill>
    </fill>
    <fill>
      <patternFill patternType="solid">
        <fgColor theme="2"/>
        <bgColor indexed="64"/>
      </patternFill>
    </fill>
    <fill>
      <patternFill patternType="solid">
        <fgColor theme="7" tint="0.39997558519241921"/>
        <bgColor indexed="64"/>
      </patternFill>
    </fill>
    <fill>
      <patternFill patternType="solid">
        <fgColor theme="8" tint="-0.499984740745262"/>
        <bgColor indexed="64"/>
      </patternFill>
    </fill>
    <fill>
      <patternFill patternType="solid">
        <fgColor theme="0"/>
        <bgColor indexed="64"/>
      </patternFill>
    </fill>
    <fill>
      <patternFill patternType="solid">
        <fgColor theme="2" tint="-9.9978637043366805E-2"/>
        <bgColor indexed="64"/>
      </patternFill>
    </fill>
  </fills>
  <borders count="61">
    <border>
      <left/>
      <right/>
      <top/>
      <bottom/>
      <diagonal/>
    </border>
    <border>
      <left style="thin">
        <color indexed="64"/>
      </left>
      <right style="thin">
        <color indexed="64"/>
      </right>
      <top style="thin">
        <color indexed="64"/>
      </top>
      <bottom style="thin">
        <color indexed="64"/>
      </bottom>
      <diagonal/>
    </border>
    <border>
      <left style="thin">
        <color rgb="FF9E9E9E"/>
      </left>
      <right style="thin">
        <color rgb="FF9E9E9E"/>
      </right>
      <top style="thin">
        <color rgb="FF9E9E9E"/>
      </top>
      <bottom style="thin">
        <color rgb="FF9E9E9E"/>
      </bottom>
      <diagonal/>
    </border>
    <border>
      <left style="thin">
        <color rgb="FF9E9E9E"/>
      </left>
      <right/>
      <top style="thin">
        <color rgb="FF9E9E9E"/>
      </top>
      <bottom style="thin">
        <color rgb="FF9E9E9E"/>
      </bottom>
      <diagonal/>
    </border>
    <border>
      <left/>
      <right/>
      <top style="thin">
        <color rgb="FF9E9E9E"/>
      </top>
      <bottom style="thin">
        <color rgb="FF9E9E9E"/>
      </bottom>
      <diagonal/>
    </border>
    <border>
      <left/>
      <right style="thin">
        <color rgb="FF9E9E9E"/>
      </right>
      <top style="thin">
        <color rgb="FF9E9E9E"/>
      </top>
      <bottom style="thin">
        <color rgb="FF9E9E9E"/>
      </bottom>
      <diagonal/>
    </border>
    <border>
      <left style="thin">
        <color rgb="FFD9D9D9"/>
      </left>
      <right/>
      <top style="thin">
        <color rgb="FFD9D9D9"/>
      </top>
      <bottom/>
      <diagonal/>
    </border>
    <border>
      <left/>
      <right/>
      <top style="thin">
        <color rgb="FFD9D9D9"/>
      </top>
      <bottom/>
      <diagonal/>
    </border>
    <border>
      <left/>
      <right style="thin">
        <color rgb="FFD9D9D9"/>
      </right>
      <top style="thin">
        <color rgb="FFD9D9D9"/>
      </top>
      <bottom/>
      <diagonal/>
    </border>
    <border>
      <left style="thin">
        <color rgb="FFD9D9D9"/>
      </left>
      <right/>
      <top/>
      <bottom/>
      <diagonal/>
    </border>
    <border>
      <left/>
      <right style="thin">
        <color rgb="FFD9D9D9"/>
      </right>
      <top/>
      <bottom/>
      <diagonal/>
    </border>
    <border>
      <left/>
      <right/>
      <top/>
      <bottom style="thin">
        <color rgb="FFD9D9D9"/>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rgb="FF9E9E9E"/>
      </left>
      <right style="thin">
        <color rgb="FF9E9E9E"/>
      </right>
      <top style="thin">
        <color rgb="FF9E9E9E"/>
      </top>
      <bottom style="thin">
        <color indexed="64"/>
      </bottom>
      <diagonal/>
    </border>
    <border>
      <left style="thin">
        <color rgb="FFD9D9D9"/>
      </left>
      <right style="thin">
        <color rgb="FFD9D9D9"/>
      </right>
      <top style="thin">
        <color rgb="FFD9D9D9"/>
      </top>
      <bottom style="thin">
        <color rgb="FFD9D9D9"/>
      </bottom>
      <diagonal/>
    </border>
    <border>
      <left style="thin">
        <color rgb="FFD9D9D9"/>
      </left>
      <right/>
      <top style="thin">
        <color rgb="FFD9D9D9"/>
      </top>
      <bottom style="thin">
        <color rgb="FFD9D9D9"/>
      </bottom>
      <diagonal/>
    </border>
    <border>
      <left/>
      <right/>
      <top style="thin">
        <color rgb="FFD9D9D9"/>
      </top>
      <bottom style="thin">
        <color rgb="FFD9D9D9"/>
      </bottom>
      <diagonal/>
    </border>
    <border>
      <left/>
      <right style="thin">
        <color rgb="FFD9D9D9"/>
      </right>
      <top style="thin">
        <color rgb="FFD9D9D9"/>
      </top>
      <bottom style="thin">
        <color rgb="FFD9D9D9"/>
      </bottom>
      <diagonal/>
    </border>
    <border>
      <left style="thin">
        <color rgb="FFD9D9D9"/>
      </left>
      <right/>
      <top/>
      <bottom style="thin">
        <color rgb="FFD9D9D9"/>
      </bottom>
      <diagonal/>
    </border>
    <border>
      <left/>
      <right style="thin">
        <color rgb="FFD9D9D9"/>
      </right>
      <top/>
      <bottom style="thin">
        <color rgb="FFD9D9D9"/>
      </bottom>
      <diagonal/>
    </border>
    <border>
      <left style="thin">
        <color rgb="FFD9D9D9"/>
      </left>
      <right style="thin">
        <color rgb="FFD9D9D9"/>
      </right>
      <top style="thin">
        <color rgb="FFD9D9D9"/>
      </top>
      <bottom/>
      <diagonal/>
    </border>
    <border>
      <left style="thin">
        <color rgb="FF9E9E9E"/>
      </left>
      <right style="thin">
        <color rgb="FF9E9E9E"/>
      </right>
      <top style="thin">
        <color rgb="FF9E9E9E"/>
      </top>
      <bottom/>
      <diagonal/>
    </border>
    <border>
      <left style="thin">
        <color rgb="FF9E9E9E"/>
      </left>
      <right style="thin">
        <color rgb="FF9E9E9E"/>
      </right>
      <top/>
      <bottom/>
      <diagonal/>
    </border>
    <border>
      <left style="thin">
        <color rgb="FF9E9E9E"/>
      </left>
      <right style="thin">
        <color rgb="FF9E9E9E"/>
      </right>
      <top/>
      <bottom style="thin">
        <color rgb="FF9E9E9E"/>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rgb="FFB7B7B7"/>
      </left>
      <right style="thin">
        <color rgb="FFB7B7B7"/>
      </right>
      <top style="thin">
        <color rgb="FFB7B7B7"/>
      </top>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rgb="FFCCCCCC"/>
      </left>
      <right/>
      <top style="thin">
        <color rgb="FFCCCCCC"/>
      </top>
      <bottom/>
      <diagonal/>
    </border>
    <border>
      <left/>
      <right/>
      <top style="thin">
        <color rgb="FFCCCCCC"/>
      </top>
      <bottom/>
      <diagonal/>
    </border>
    <border>
      <left/>
      <right style="thin">
        <color rgb="FFCCCCCC"/>
      </right>
      <top style="thin">
        <color rgb="FFCCCCCC"/>
      </top>
      <bottom/>
      <diagonal/>
    </border>
    <border>
      <left style="thin">
        <color rgb="FFCCCCCC"/>
      </left>
      <right/>
      <top/>
      <bottom/>
      <diagonal/>
    </border>
    <border>
      <left/>
      <right style="thin">
        <color rgb="FFCCCCCC"/>
      </right>
      <top/>
      <bottom/>
      <diagonal/>
    </border>
    <border>
      <left style="thin">
        <color rgb="FFCCCCCC"/>
      </left>
      <right/>
      <top/>
      <bottom style="thin">
        <color rgb="FFCCCCCC"/>
      </bottom>
      <diagonal/>
    </border>
    <border>
      <left/>
      <right/>
      <top/>
      <bottom style="thin">
        <color rgb="FFCCCCCC"/>
      </bottom>
      <diagonal/>
    </border>
    <border>
      <left/>
      <right style="thin">
        <color rgb="FFCCCCCC"/>
      </right>
      <top/>
      <bottom style="thin">
        <color rgb="FFCCCCCC"/>
      </bottom>
      <diagonal/>
    </border>
    <border>
      <left style="thin">
        <color rgb="FFCCCCCC"/>
      </left>
      <right style="thin">
        <color rgb="FFCCCCCC"/>
      </right>
      <top style="thin">
        <color rgb="FFCCCCCC"/>
      </top>
      <bottom/>
      <diagonal/>
    </border>
    <border>
      <left style="thin">
        <color rgb="FFCCCCCC"/>
      </left>
      <right/>
      <top style="thin">
        <color rgb="FFCCCCCC"/>
      </top>
      <bottom style="thin">
        <color rgb="FFCCCCCC"/>
      </bottom>
      <diagonal/>
    </border>
    <border>
      <left/>
      <right/>
      <top style="thin">
        <color rgb="FFCCCCCC"/>
      </top>
      <bottom style="thin">
        <color rgb="FFCCCCCC"/>
      </bottom>
      <diagonal/>
    </border>
    <border>
      <left/>
      <right style="thin">
        <color rgb="FFCCCCCC"/>
      </right>
      <top style="thin">
        <color rgb="FFCCCCCC"/>
      </top>
      <bottom style="thin">
        <color rgb="FFCCCCCC"/>
      </bottom>
      <diagonal/>
    </border>
    <border>
      <left style="thin">
        <color rgb="FFCCCCCC"/>
      </left>
      <right style="thin">
        <color rgb="FFCCCCCC"/>
      </right>
      <top/>
      <bottom/>
      <diagonal/>
    </border>
    <border>
      <left style="medium">
        <color rgb="FF000000"/>
      </left>
      <right style="medium">
        <color rgb="FF000000"/>
      </right>
      <top/>
      <bottom/>
      <diagonal/>
    </border>
    <border>
      <left style="thin">
        <color rgb="FFD9D9D9"/>
      </left>
      <right style="thin">
        <color rgb="FFD9D9D9"/>
      </right>
      <top/>
      <bottom/>
      <diagonal/>
    </border>
    <border>
      <left style="thin">
        <color rgb="FFD9D9D9"/>
      </left>
      <right/>
      <top style="thin">
        <color rgb="FFD9D9D9"/>
      </top>
      <bottom style="thin">
        <color indexed="64"/>
      </bottom>
      <diagonal/>
    </border>
    <border>
      <left/>
      <right/>
      <top style="thin">
        <color rgb="FFD9D9D9"/>
      </top>
      <bottom style="thin">
        <color indexed="64"/>
      </bottom>
      <diagonal/>
    </border>
    <border>
      <left/>
      <right style="thin">
        <color rgb="FFD9D9D9"/>
      </right>
      <top style="thin">
        <color rgb="FFD9D9D9"/>
      </top>
      <bottom style="thin">
        <color indexed="64"/>
      </bottom>
      <diagonal/>
    </border>
  </borders>
  <cellStyleXfs count="3">
    <xf numFmtId="0" fontId="0" fillId="0" borderId="0"/>
    <xf numFmtId="44" fontId="10" fillId="0" borderId="0" applyFont="0" applyFill="0" applyBorder="0" applyAlignment="0" applyProtection="0"/>
    <xf numFmtId="9" fontId="10" fillId="0" borderId="0" applyFont="0" applyFill="0" applyBorder="0" applyAlignment="0" applyProtection="0"/>
  </cellStyleXfs>
  <cellXfs count="517">
    <xf numFmtId="0" fontId="0" fillId="0" borderId="0" xfId="0"/>
    <xf numFmtId="164" fontId="0" fillId="0" borderId="0" xfId="0" applyNumberFormat="1"/>
    <xf numFmtId="0" fontId="1" fillId="0" borderId="1" xfId="0" applyFont="1" applyBorder="1" applyAlignment="1">
      <alignment horizontal="left" vertical="center" wrapText="1" readingOrder="1"/>
    </xf>
    <xf numFmtId="3" fontId="1" fillId="0" borderId="1" xfId="0" applyNumberFormat="1" applyFont="1" applyBorder="1" applyAlignment="1">
      <alignment horizontal="right" vertical="center" wrapText="1" readingOrder="1"/>
    </xf>
    <xf numFmtId="0" fontId="2" fillId="0" borderId="1" xfId="0" applyFont="1" applyBorder="1" applyAlignment="1">
      <alignment horizontal="left" vertical="center" wrapText="1" readingOrder="1"/>
    </xf>
    <xf numFmtId="16" fontId="1" fillId="0" borderId="2" xfId="0" applyNumberFormat="1" applyFont="1" applyBorder="1" applyAlignment="1">
      <alignment horizontal="left" vertical="center" wrapText="1" readingOrder="1"/>
    </xf>
    <xf numFmtId="0" fontId="1" fillId="0" borderId="2" xfId="0" applyFont="1" applyBorder="1" applyAlignment="1">
      <alignment horizontal="left" vertical="center" wrapText="1" readingOrder="1"/>
    </xf>
    <xf numFmtId="0" fontId="1" fillId="0" borderId="2" xfId="0" applyFont="1" applyBorder="1" applyAlignment="1">
      <alignment horizontal="center" vertical="center" wrapText="1" readingOrder="1"/>
    </xf>
    <xf numFmtId="3" fontId="1" fillId="0" borderId="2" xfId="0" applyNumberFormat="1" applyFont="1" applyBorder="1" applyAlignment="1">
      <alignment horizontal="right" vertical="center" wrapText="1" readingOrder="1"/>
    </xf>
    <xf numFmtId="0" fontId="4" fillId="0" borderId="0" xfId="0" applyFont="1"/>
    <xf numFmtId="14" fontId="4" fillId="0" borderId="1" xfId="0" applyNumberFormat="1" applyFont="1" applyBorder="1"/>
    <xf numFmtId="0" fontId="4" fillId="0" borderId="1" xfId="0" applyFont="1" applyBorder="1"/>
    <xf numFmtId="164" fontId="4" fillId="0" borderId="1" xfId="0" applyNumberFormat="1" applyFont="1" applyBorder="1"/>
    <xf numFmtId="0" fontId="5" fillId="0" borderId="0" xfId="0" applyFont="1"/>
    <xf numFmtId="0" fontId="1" fillId="0" borderId="1" xfId="0" applyFont="1" applyBorder="1" applyAlignment="1">
      <alignment horizontal="center" vertical="center" wrapText="1" readingOrder="1"/>
    </xf>
    <xf numFmtId="0" fontId="7" fillId="0" borderId="1" xfId="0" applyFont="1" applyBorder="1" applyAlignment="1">
      <alignment horizontal="right" vertical="center" wrapText="1"/>
    </xf>
    <xf numFmtId="0" fontId="1" fillId="0" borderId="1" xfId="0" applyFont="1" applyBorder="1" applyAlignment="1">
      <alignment horizontal="center" wrapText="1" readingOrder="1"/>
    </xf>
    <xf numFmtId="0" fontId="6" fillId="0" borderId="1" xfId="0" applyFont="1" applyBorder="1" applyAlignment="1">
      <alignment horizontal="left" wrapText="1" readingOrder="1"/>
    </xf>
    <xf numFmtId="0" fontId="1" fillId="0" borderId="1" xfId="0" applyFont="1" applyBorder="1" applyAlignment="1">
      <alignment horizontal="left" wrapText="1" readingOrder="1"/>
    </xf>
    <xf numFmtId="0" fontId="1" fillId="3" borderId="1" xfId="0" applyFont="1" applyFill="1" applyBorder="1" applyAlignment="1">
      <alignment horizontal="center" wrapText="1" readingOrder="1"/>
    </xf>
    <xf numFmtId="0" fontId="1" fillId="3" borderId="1" xfId="0" applyFont="1" applyFill="1" applyBorder="1" applyAlignment="1">
      <alignment horizontal="left" wrapText="1" readingOrder="1"/>
    </xf>
    <xf numFmtId="0" fontId="7" fillId="3" borderId="1" xfId="0" applyFont="1" applyFill="1" applyBorder="1" applyAlignment="1">
      <alignment horizontal="right" wrapText="1"/>
    </xf>
    <xf numFmtId="0" fontId="7" fillId="0" borderId="1" xfId="0" applyFont="1" applyBorder="1" applyAlignment="1">
      <alignment horizontal="right" wrapText="1"/>
    </xf>
    <xf numFmtId="0" fontId="1" fillId="0" borderId="13" xfId="0" applyFont="1" applyBorder="1" applyAlignment="1">
      <alignment horizontal="center" wrapText="1" readingOrder="1"/>
    </xf>
    <xf numFmtId="0" fontId="8" fillId="0" borderId="1" xfId="0" applyFont="1" applyBorder="1" applyAlignment="1">
      <alignment horizontal="left" vertical="center" wrapText="1" readingOrder="1"/>
    </xf>
    <xf numFmtId="164" fontId="1" fillId="3" borderId="1" xfId="0" applyNumberFormat="1" applyFont="1" applyFill="1" applyBorder="1" applyAlignment="1">
      <alignment horizontal="right" wrapText="1" readingOrder="1"/>
    </xf>
    <xf numFmtId="164" fontId="7" fillId="3" borderId="1" xfId="0" applyNumberFormat="1" applyFont="1" applyFill="1" applyBorder="1" applyAlignment="1">
      <alignment horizontal="right" wrapText="1"/>
    </xf>
    <xf numFmtId="164" fontId="7" fillId="0" borderId="1" xfId="0" applyNumberFormat="1" applyFont="1" applyBorder="1" applyAlignment="1">
      <alignment horizontal="right" wrapText="1"/>
    </xf>
    <xf numFmtId="164" fontId="1" fillId="0" borderId="1" xfId="0" applyNumberFormat="1" applyFont="1" applyBorder="1" applyAlignment="1">
      <alignment horizontal="right" wrapText="1" readingOrder="1"/>
    </xf>
    <xf numFmtId="164" fontId="7" fillId="0" borderId="1" xfId="0" applyNumberFormat="1" applyFont="1" applyBorder="1" applyAlignment="1">
      <alignment horizontal="right" vertical="center" wrapText="1"/>
    </xf>
    <xf numFmtId="164" fontId="1" fillId="0" borderId="1" xfId="0" applyNumberFormat="1" applyFont="1" applyBorder="1" applyAlignment="1">
      <alignment horizontal="right" vertical="center" wrapText="1" readingOrder="1"/>
    </xf>
    <xf numFmtId="0" fontId="1" fillId="0" borderId="2" xfId="0" applyFont="1" applyBorder="1" applyAlignment="1">
      <alignment horizontal="left" wrapText="1" readingOrder="1"/>
    </xf>
    <xf numFmtId="0" fontId="11" fillId="0" borderId="2" xfId="0" applyFont="1" applyBorder="1" applyAlignment="1">
      <alignment horizontal="left" wrapText="1" readingOrder="1"/>
    </xf>
    <xf numFmtId="0" fontId="1" fillId="0" borderId="16" xfId="0" applyFont="1" applyBorder="1" applyAlignment="1">
      <alignment horizontal="left" wrapText="1" readingOrder="1"/>
    </xf>
    <xf numFmtId="3" fontId="0" fillId="0" borderId="0" xfId="0" applyNumberFormat="1"/>
    <xf numFmtId="0" fontId="14" fillId="0" borderId="17" xfId="0" applyFont="1" applyBorder="1" applyAlignment="1">
      <alignment horizontal="left" vertical="center" wrapText="1" readingOrder="1"/>
    </xf>
    <xf numFmtId="0" fontId="13" fillId="0" borderId="1" xfId="0" applyFont="1" applyBorder="1" applyAlignment="1">
      <alignment horizontal="center" vertical="center" wrapText="1" readingOrder="1"/>
    </xf>
    <xf numFmtId="0" fontId="13" fillId="3" borderId="1" xfId="0" applyFont="1" applyFill="1" applyBorder="1" applyAlignment="1">
      <alignment horizontal="center" vertical="center" wrapText="1" readingOrder="1"/>
    </xf>
    <xf numFmtId="0" fontId="13" fillId="3" borderId="1" xfId="0" applyFont="1" applyFill="1" applyBorder="1" applyAlignment="1">
      <alignment horizontal="left" vertical="center" wrapText="1" readingOrder="1"/>
    </xf>
    <xf numFmtId="0" fontId="12" fillId="3" borderId="1" xfId="0" applyFont="1" applyFill="1" applyBorder="1" applyAlignment="1">
      <alignment horizontal="center" vertical="center" wrapText="1"/>
    </xf>
    <xf numFmtId="0" fontId="7" fillId="3" borderId="1" xfId="0" applyFont="1" applyFill="1" applyBorder="1" applyAlignment="1">
      <alignment horizontal="right" vertical="center" wrapText="1"/>
    </xf>
    <xf numFmtId="3" fontId="7" fillId="3" borderId="1" xfId="0" applyNumberFormat="1" applyFont="1" applyFill="1" applyBorder="1" applyAlignment="1">
      <alignment horizontal="right" vertical="center" wrapText="1"/>
    </xf>
    <xf numFmtId="3" fontId="1" fillId="3" borderId="1" xfId="0" applyNumberFormat="1" applyFont="1" applyFill="1" applyBorder="1" applyAlignment="1">
      <alignment horizontal="right" vertical="center" wrapText="1" readingOrder="1"/>
    </xf>
    <xf numFmtId="0" fontId="1" fillId="3" borderId="1" xfId="0" applyFont="1" applyFill="1" applyBorder="1" applyAlignment="1">
      <alignment horizontal="right" vertical="center" wrapText="1" readingOrder="1"/>
    </xf>
    <xf numFmtId="165" fontId="7" fillId="3" borderId="1" xfId="1" applyNumberFormat="1" applyFont="1" applyFill="1" applyBorder="1" applyAlignment="1">
      <alignment horizontal="right" vertical="center" wrapText="1"/>
    </xf>
    <xf numFmtId="0" fontId="18" fillId="0" borderId="0" xfId="0" applyFont="1"/>
    <xf numFmtId="0" fontId="1" fillId="0" borderId="1" xfId="0" applyFont="1" applyBorder="1" applyAlignment="1">
      <alignment horizontal="right" vertical="center" wrapText="1" readingOrder="1"/>
    </xf>
    <xf numFmtId="0" fontId="5" fillId="0" borderId="1" xfId="0" applyFont="1" applyBorder="1"/>
    <xf numFmtId="0" fontId="7" fillId="0" borderId="1" xfId="0" applyFont="1" applyBorder="1" applyAlignment="1">
      <alignment vertical="top" wrapText="1"/>
    </xf>
    <xf numFmtId="0" fontId="7" fillId="0" borderId="1" xfId="0" applyFont="1" applyBorder="1" applyAlignment="1">
      <alignment vertical="center" wrapText="1"/>
    </xf>
    <xf numFmtId="3" fontId="7" fillId="0" borderId="1" xfId="0" applyNumberFormat="1" applyFont="1" applyBorder="1" applyAlignment="1">
      <alignment horizontal="right" vertical="center" wrapText="1"/>
    </xf>
    <xf numFmtId="3" fontId="6" fillId="0" borderId="1" xfId="0" applyNumberFormat="1" applyFont="1" applyBorder="1" applyAlignment="1">
      <alignment horizontal="right" vertical="center" wrapText="1" readingOrder="1"/>
    </xf>
    <xf numFmtId="0" fontId="6" fillId="0" borderId="1" xfId="0" applyFont="1" applyBorder="1" applyAlignment="1">
      <alignment horizontal="left" vertical="center" wrapText="1" readingOrder="1"/>
    </xf>
    <xf numFmtId="6" fontId="6" fillId="0" borderId="1" xfId="0" applyNumberFormat="1" applyFont="1" applyBorder="1" applyAlignment="1">
      <alignment horizontal="left" vertical="center" wrapText="1" readingOrder="1"/>
    </xf>
    <xf numFmtId="0" fontId="19" fillId="4" borderId="6" xfId="0" applyFont="1" applyFill="1" applyBorder="1" applyAlignment="1">
      <alignment horizontal="center" vertical="top" wrapText="1" readingOrder="1"/>
    </xf>
    <xf numFmtId="0" fontId="15" fillId="4" borderId="1" xfId="0" applyFont="1" applyFill="1" applyBorder="1"/>
    <xf numFmtId="0" fontId="16" fillId="4" borderId="2" xfId="0" applyFont="1" applyFill="1" applyBorder="1" applyAlignment="1">
      <alignment horizontal="center" vertical="center" wrapText="1" readingOrder="1"/>
    </xf>
    <xf numFmtId="0" fontId="7" fillId="0" borderId="2" xfId="0" applyFont="1" applyBorder="1" applyAlignment="1">
      <alignment horizontal="center" vertical="center" wrapText="1"/>
    </xf>
    <xf numFmtId="0" fontId="20" fillId="0" borderId="0" xfId="0" applyFont="1"/>
    <xf numFmtId="3" fontId="5" fillId="0" borderId="1" xfId="0" applyNumberFormat="1" applyFont="1" applyBorder="1"/>
    <xf numFmtId="0" fontId="1" fillId="0" borderId="34" xfId="0" applyFont="1" applyBorder="1" applyAlignment="1">
      <alignment horizontal="left" vertical="center" wrapText="1" readingOrder="1"/>
    </xf>
    <xf numFmtId="9" fontId="1" fillId="0" borderId="34" xfId="0" applyNumberFormat="1" applyFont="1" applyBorder="1" applyAlignment="1">
      <alignment horizontal="center" vertical="center" wrapText="1" readingOrder="1"/>
    </xf>
    <xf numFmtId="0" fontId="23" fillId="0" borderId="34" xfId="0" applyFont="1" applyBorder="1" applyAlignment="1">
      <alignment horizontal="left" wrapText="1" readingOrder="1"/>
    </xf>
    <xf numFmtId="9" fontId="23" fillId="0" borderId="34" xfId="0" applyNumberFormat="1" applyFont="1" applyBorder="1" applyAlignment="1">
      <alignment horizontal="left" wrapText="1" readingOrder="1"/>
    </xf>
    <xf numFmtId="14" fontId="0" fillId="0" borderId="0" xfId="0" applyNumberFormat="1"/>
    <xf numFmtId="15" fontId="1" fillId="0" borderId="1" xfId="0" applyNumberFormat="1" applyFont="1" applyBorder="1" applyAlignment="1">
      <alignment horizontal="left" vertical="center" wrapText="1" readingOrder="1"/>
    </xf>
    <xf numFmtId="0" fontId="7" fillId="0" borderId="1" xfId="0" applyFont="1" applyBorder="1" applyAlignment="1">
      <alignment horizontal="left" vertical="center" wrapText="1"/>
    </xf>
    <xf numFmtId="9" fontId="1" fillId="0" borderId="1" xfId="2" applyFont="1" applyBorder="1" applyAlignment="1">
      <alignment horizontal="left" vertical="center" wrapText="1" readingOrder="1"/>
    </xf>
    <xf numFmtId="41" fontId="7" fillId="0" borderId="0" xfId="0" applyNumberFormat="1" applyFont="1"/>
    <xf numFmtId="41" fontId="0" fillId="0" borderId="0" xfId="0" applyNumberFormat="1"/>
    <xf numFmtId="41" fontId="23" fillId="0" borderId="0" xfId="0" applyNumberFormat="1" applyFont="1" applyAlignment="1">
      <alignment horizontal="left" readingOrder="1"/>
    </xf>
    <xf numFmtId="41" fontId="24" fillId="0" borderId="0" xfId="0" applyNumberFormat="1" applyFont="1" applyAlignment="1">
      <alignment horizontal="left" readingOrder="1"/>
    </xf>
    <xf numFmtId="0" fontId="1" fillId="0" borderId="34" xfId="0" applyFont="1" applyBorder="1" applyAlignment="1">
      <alignment horizontal="center" vertical="center" wrapText="1" readingOrder="1"/>
    </xf>
    <xf numFmtId="0" fontId="1" fillId="0" borderId="34" xfId="0" applyFont="1" applyBorder="1" applyAlignment="1">
      <alignment horizontal="right" vertical="center" wrapText="1" indent="1" readingOrder="1"/>
    </xf>
    <xf numFmtId="41" fontId="26" fillId="0" borderId="29" xfId="0" applyNumberFormat="1" applyFont="1" applyBorder="1" applyAlignment="1">
      <alignment horizontal="left" readingOrder="1"/>
    </xf>
    <xf numFmtId="41" fontId="7" fillId="0" borderId="30" xfId="0" applyNumberFormat="1" applyFont="1" applyBorder="1"/>
    <xf numFmtId="41" fontId="23" fillId="0" borderId="29" xfId="0" applyNumberFormat="1" applyFont="1" applyBorder="1" applyAlignment="1">
      <alignment horizontal="left" readingOrder="1"/>
    </xf>
    <xf numFmtId="41" fontId="7" fillId="0" borderId="29" xfId="0" applyNumberFormat="1" applyFont="1" applyBorder="1"/>
    <xf numFmtId="41" fontId="23" fillId="0" borderId="0" xfId="0" applyNumberFormat="1" applyFont="1" applyAlignment="1">
      <alignment readingOrder="1"/>
    </xf>
    <xf numFmtId="0" fontId="27" fillId="0" borderId="0" xfId="0" applyFont="1"/>
    <xf numFmtId="0" fontId="16" fillId="5" borderId="34" xfId="0" applyFont="1" applyFill="1" applyBorder="1" applyAlignment="1">
      <alignment horizontal="center" vertical="center" wrapText="1" readingOrder="1"/>
    </xf>
    <xf numFmtId="41" fontId="22" fillId="5" borderId="40" xfId="0" applyNumberFormat="1" applyFont="1" applyFill="1" applyBorder="1" applyAlignment="1">
      <alignment horizontal="left" readingOrder="1"/>
    </xf>
    <xf numFmtId="41" fontId="25" fillId="5" borderId="41" xfId="0" applyNumberFormat="1" applyFont="1" applyFill="1" applyBorder="1" applyAlignment="1">
      <alignment horizontal="left" readingOrder="1"/>
    </xf>
    <xf numFmtId="41" fontId="25" fillId="5" borderId="42" xfId="0" applyNumberFormat="1" applyFont="1" applyFill="1" applyBorder="1" applyAlignment="1">
      <alignment horizontal="left" readingOrder="1"/>
    </xf>
    <xf numFmtId="41" fontId="22" fillId="5" borderId="31" xfId="0" applyNumberFormat="1" applyFont="1" applyFill="1" applyBorder="1" applyAlignment="1">
      <alignment horizontal="left" readingOrder="1"/>
    </xf>
    <xf numFmtId="41" fontId="25" fillId="5" borderId="12" xfId="0" applyNumberFormat="1" applyFont="1" applyFill="1" applyBorder="1" applyAlignment="1">
      <alignment horizontal="left" readingOrder="1"/>
    </xf>
    <xf numFmtId="41" fontId="25" fillId="5" borderId="32" xfId="0" applyNumberFormat="1" applyFont="1" applyFill="1" applyBorder="1" applyAlignment="1">
      <alignment horizontal="left" readingOrder="1"/>
    </xf>
    <xf numFmtId="41" fontId="25" fillId="5" borderId="40" xfId="0" applyNumberFormat="1" applyFont="1" applyFill="1" applyBorder="1" applyAlignment="1">
      <alignment horizontal="left" readingOrder="1"/>
    </xf>
    <xf numFmtId="164" fontId="6" fillId="0" borderId="1" xfId="2" applyNumberFormat="1" applyFont="1" applyBorder="1" applyAlignment="1">
      <alignment horizontal="left" vertical="center" wrapText="1" readingOrder="1"/>
    </xf>
    <xf numFmtId="164" fontId="7" fillId="0" borderId="1" xfId="2" applyNumberFormat="1" applyFont="1" applyBorder="1" applyAlignment="1">
      <alignment vertical="top" wrapText="1"/>
    </xf>
    <xf numFmtId="42" fontId="5" fillId="0" borderId="0" xfId="0" applyNumberFormat="1" applyFont="1"/>
    <xf numFmtId="164" fontId="5" fillId="0" borderId="0" xfId="0" applyNumberFormat="1" applyFont="1"/>
    <xf numFmtId="0" fontId="28" fillId="6" borderId="1" xfId="0" applyFont="1" applyFill="1" applyBorder="1" applyAlignment="1">
      <alignment horizontal="left" vertical="center" wrapText="1" readingOrder="1"/>
    </xf>
    <xf numFmtId="0" fontId="21" fillId="0" borderId="0" xfId="0" applyFont="1"/>
    <xf numFmtId="3" fontId="8" fillId="0" borderId="1" xfId="0" applyNumberFormat="1" applyFont="1" applyBorder="1" applyAlignment="1">
      <alignment horizontal="right" vertical="center" wrapText="1" readingOrder="1"/>
    </xf>
    <xf numFmtId="0" fontId="5" fillId="0" borderId="0" xfId="0" applyFont="1" applyAlignment="1">
      <alignment vertical="center"/>
    </xf>
    <xf numFmtId="0" fontId="6" fillId="0" borderId="1" xfId="0" applyFont="1" applyBorder="1" applyAlignment="1">
      <alignment horizontal="center" vertical="top" readingOrder="1"/>
    </xf>
    <xf numFmtId="0" fontId="6" fillId="0" borderId="1" xfId="0" applyFont="1" applyBorder="1" applyAlignment="1">
      <alignment horizontal="left" vertical="top" readingOrder="1"/>
    </xf>
    <xf numFmtId="41" fontId="6" fillId="0" borderId="1" xfId="0" applyNumberFormat="1" applyFont="1" applyBorder="1" applyAlignment="1">
      <alignment horizontal="left" vertical="top" readingOrder="1"/>
    </xf>
    <xf numFmtId="41" fontId="7" fillId="0" borderId="1" xfId="0" applyNumberFormat="1" applyFont="1" applyBorder="1" applyAlignment="1">
      <alignment vertical="top"/>
    </xf>
    <xf numFmtId="0" fontId="7" fillId="0" borderId="1" xfId="0" applyFont="1" applyBorder="1" applyAlignment="1">
      <alignment vertical="top"/>
    </xf>
    <xf numFmtId="0" fontId="12" fillId="0" borderId="1" xfId="0" applyFont="1" applyBorder="1" applyAlignment="1">
      <alignment horizontal="center" vertical="top"/>
    </xf>
    <xf numFmtId="41" fontId="12" fillId="0" borderId="1" xfId="0" applyNumberFormat="1" applyFont="1" applyBorder="1" applyAlignment="1">
      <alignment vertical="top"/>
    </xf>
    <xf numFmtId="0" fontId="12" fillId="0" borderId="1" xfId="0" applyFont="1" applyBorder="1" applyAlignment="1">
      <alignment vertical="top"/>
    </xf>
    <xf numFmtId="0" fontId="29" fillId="0" borderId="1" xfId="0" applyFont="1" applyBorder="1" applyAlignment="1">
      <alignment horizontal="left" vertical="top" readingOrder="1"/>
    </xf>
    <xf numFmtId="41" fontId="6" fillId="0" borderId="1" xfId="0" applyNumberFormat="1" applyFont="1" applyBorder="1" applyAlignment="1">
      <alignment vertical="top" readingOrder="1"/>
    </xf>
    <xf numFmtId="0" fontId="29" fillId="0" borderId="1" xfId="0" applyFont="1" applyBorder="1" applyAlignment="1">
      <alignment vertical="top" readingOrder="1"/>
    </xf>
    <xf numFmtId="0" fontId="6" fillId="0" borderId="1" xfId="0" applyFont="1" applyBorder="1" applyAlignment="1">
      <alignment vertical="top" readingOrder="1"/>
    </xf>
    <xf numFmtId="41" fontId="0" fillId="0" borderId="1" xfId="0" applyNumberFormat="1" applyBorder="1" applyAlignment="1">
      <alignment vertical="top"/>
    </xf>
    <xf numFmtId="0" fontId="6" fillId="0" borderId="1" xfId="0" applyFont="1" applyBorder="1" applyAlignment="1">
      <alignment horizontal="left" vertical="top" wrapText="1" readingOrder="1"/>
    </xf>
    <xf numFmtId="0" fontId="7" fillId="0" borderId="1" xfId="0" applyFont="1" applyBorder="1" applyAlignment="1">
      <alignment horizontal="center" vertical="top" wrapText="1"/>
    </xf>
    <xf numFmtId="41" fontId="6" fillId="0" borderId="1" xfId="0" applyNumberFormat="1" applyFont="1" applyBorder="1" applyAlignment="1">
      <alignment horizontal="right" vertical="top" wrapText="1" readingOrder="1"/>
    </xf>
    <xf numFmtId="41" fontId="7" fillId="0" borderId="1" xfId="0" applyNumberFormat="1" applyFont="1" applyBorder="1" applyAlignment="1">
      <alignment horizontal="right" vertical="top" wrapText="1"/>
    </xf>
    <xf numFmtId="0" fontId="6" fillId="0" borderId="1" xfId="0" applyFont="1" applyBorder="1" applyAlignment="1">
      <alignment vertical="top" wrapText="1" readingOrder="1"/>
    </xf>
    <xf numFmtId="0" fontId="12" fillId="0" borderId="1" xfId="0" applyFont="1" applyBorder="1" applyAlignment="1">
      <alignment horizontal="center" vertical="top" wrapText="1"/>
    </xf>
    <xf numFmtId="41" fontId="6" fillId="0" borderId="1" xfId="0" applyNumberFormat="1" applyFont="1" applyBorder="1" applyAlignment="1">
      <alignment horizontal="right" vertical="center" wrapText="1" readingOrder="1"/>
    </xf>
    <xf numFmtId="41" fontId="12" fillId="0" borderId="1" xfId="0" applyNumberFormat="1" applyFont="1" applyBorder="1" applyAlignment="1">
      <alignment vertical="top" wrapText="1"/>
    </xf>
    <xf numFmtId="0" fontId="12" fillId="0" borderId="1" xfId="0" applyFont="1" applyBorder="1" applyAlignment="1">
      <alignment vertical="top" wrapText="1"/>
    </xf>
    <xf numFmtId="0" fontId="6" fillId="0" borderId="1" xfId="0" applyFont="1" applyBorder="1" applyAlignment="1">
      <alignment vertical="center" wrapText="1" readingOrder="1"/>
    </xf>
    <xf numFmtId="41" fontId="5" fillId="0" borderId="1" xfId="0" applyNumberFormat="1" applyFont="1" applyBorder="1"/>
    <xf numFmtId="0" fontId="0" fillId="0" borderId="0" xfId="0" applyAlignment="1">
      <alignment vertical="center"/>
    </xf>
    <xf numFmtId="0" fontId="1" fillId="0" borderId="35" xfId="0" applyFont="1" applyBorder="1" applyAlignment="1">
      <alignment horizontal="left" vertical="center" wrapText="1" readingOrder="1"/>
    </xf>
    <xf numFmtId="0" fontId="1" fillId="0" borderId="39" xfId="0" applyFont="1" applyBorder="1" applyAlignment="1">
      <alignment horizontal="left" vertical="center" wrapText="1" readingOrder="1"/>
    </xf>
    <xf numFmtId="0" fontId="5" fillId="0" borderId="0" xfId="0" applyFont="1" applyAlignment="1">
      <alignment horizontal="left" vertical="center"/>
    </xf>
    <xf numFmtId="0" fontId="5" fillId="0" borderId="0" xfId="0" applyFont="1" applyAlignment="1">
      <alignment horizontal="center" vertical="center"/>
    </xf>
    <xf numFmtId="0" fontId="1" fillId="0" borderId="34" xfId="0" applyFont="1" applyBorder="1" applyAlignment="1">
      <alignment horizontal="justify" vertical="center" wrapText="1" readingOrder="1"/>
    </xf>
    <xf numFmtId="0" fontId="6" fillId="0" borderId="34" xfId="0" applyFont="1" applyBorder="1" applyAlignment="1">
      <alignment horizontal="justify" vertical="center" wrapText="1" readingOrder="1"/>
    </xf>
    <xf numFmtId="0" fontId="6" fillId="0" borderId="34" xfId="0" applyFont="1" applyBorder="1" applyAlignment="1">
      <alignment horizontal="left" vertical="center" wrapText="1" readingOrder="1"/>
    </xf>
    <xf numFmtId="166" fontId="1" fillId="0" borderId="34" xfId="0" applyNumberFormat="1" applyFont="1" applyBorder="1" applyAlignment="1">
      <alignment horizontal="center" vertical="center" wrapText="1" readingOrder="1"/>
    </xf>
    <xf numFmtId="0" fontId="33" fillId="0" borderId="0" xfId="0" applyFont="1"/>
    <xf numFmtId="9" fontId="0" fillId="0" borderId="0" xfId="2" applyFont="1" applyAlignment="1">
      <alignment vertical="center"/>
    </xf>
    <xf numFmtId="0" fontId="16" fillId="6" borderId="34" xfId="0" applyFont="1" applyFill="1" applyBorder="1" applyAlignment="1">
      <alignment horizontal="left" vertical="center" wrapText="1" readingOrder="1"/>
    </xf>
    <xf numFmtId="0" fontId="16" fillId="6" borderId="34" xfId="0" applyFont="1" applyFill="1" applyBorder="1" applyAlignment="1">
      <alignment horizontal="center" vertical="center" wrapText="1" readingOrder="1"/>
    </xf>
    <xf numFmtId="0" fontId="1" fillId="0" borderId="0" xfId="0" applyFont="1" applyAlignment="1">
      <alignment horizontal="left" vertical="center" wrapText="1" readingOrder="1"/>
    </xf>
    <xf numFmtId="166" fontId="1" fillId="0" borderId="0" xfId="0" applyNumberFormat="1" applyFont="1" applyAlignment="1">
      <alignment horizontal="center" vertical="center" wrapText="1" readingOrder="1"/>
    </xf>
    <xf numFmtId="0" fontId="6" fillId="0" borderId="0" xfId="0" applyFont="1" applyAlignment="1">
      <alignment horizontal="justify" vertical="center" wrapText="1" readingOrder="1"/>
    </xf>
    <xf numFmtId="3" fontId="34" fillId="0" borderId="2" xfId="0" applyNumberFormat="1" applyFont="1" applyBorder="1" applyAlignment="1">
      <alignment horizontal="right" vertical="center" wrapText="1" readingOrder="1"/>
    </xf>
    <xf numFmtId="0" fontId="34" fillId="3" borderId="1" xfId="0" applyFont="1" applyFill="1" applyBorder="1" applyAlignment="1">
      <alignment horizontal="left" wrapText="1" readingOrder="1"/>
    </xf>
    <xf numFmtId="0" fontId="9" fillId="0" borderId="0" xfId="0" applyFont="1" applyAlignment="1">
      <alignment horizontal="left" vertical="center"/>
    </xf>
    <xf numFmtId="0" fontId="0" fillId="0" borderId="0" xfId="0" applyAlignment="1">
      <alignment horizontal="center" vertical="center"/>
    </xf>
    <xf numFmtId="0" fontId="35" fillId="0" borderId="0" xfId="0" applyFont="1"/>
    <xf numFmtId="3" fontId="1" fillId="0" borderId="17" xfId="0" applyNumberFormat="1" applyFont="1" applyBorder="1" applyAlignment="1">
      <alignment horizontal="right" vertical="center" wrapText="1" indent="1" readingOrder="1"/>
    </xf>
    <xf numFmtId="9" fontId="13" fillId="0" borderId="17" xfId="0" applyNumberFormat="1" applyFont="1" applyBorder="1" applyAlignment="1">
      <alignment horizontal="right" vertical="center" wrapText="1" indent="1" readingOrder="1"/>
    </xf>
    <xf numFmtId="41" fontId="23" fillId="0" borderId="34" xfId="1" applyNumberFormat="1" applyFont="1" applyBorder="1" applyAlignment="1">
      <alignment horizontal="left" wrapText="1" readingOrder="1"/>
    </xf>
    <xf numFmtId="41" fontId="23" fillId="0" borderId="34" xfId="0" applyNumberFormat="1" applyFont="1" applyBorder="1" applyAlignment="1">
      <alignment horizontal="left" wrapText="1" readingOrder="1"/>
    </xf>
    <xf numFmtId="9" fontId="0" fillId="0" borderId="0" xfId="2" applyFont="1"/>
    <xf numFmtId="9" fontId="5" fillId="0" borderId="1" xfId="2" applyFont="1" applyBorder="1"/>
    <xf numFmtId="0" fontId="31" fillId="4" borderId="1" xfId="0" applyFont="1" applyFill="1" applyBorder="1"/>
    <xf numFmtId="41" fontId="5" fillId="4" borderId="1" xfId="0" applyNumberFormat="1" applyFont="1" applyFill="1" applyBorder="1"/>
    <xf numFmtId="41" fontId="31" fillId="4" borderId="1" xfId="0" applyNumberFormat="1" applyFont="1" applyFill="1" applyBorder="1"/>
    <xf numFmtId="9" fontId="31" fillId="4" borderId="1" xfId="2" applyFont="1" applyFill="1" applyBorder="1"/>
    <xf numFmtId="9" fontId="5" fillId="0" borderId="1" xfId="2" applyFont="1" applyFill="1" applyBorder="1"/>
    <xf numFmtId="0" fontId="31" fillId="4" borderId="0" xfId="0" applyFont="1" applyFill="1"/>
    <xf numFmtId="0" fontId="39" fillId="0" borderId="0" xfId="0" applyFont="1"/>
    <xf numFmtId="0" fontId="31" fillId="0" borderId="0" xfId="0" applyFont="1"/>
    <xf numFmtId="41" fontId="31" fillId="0" borderId="0" xfId="0" applyNumberFormat="1" applyFont="1"/>
    <xf numFmtId="9" fontId="31" fillId="0" borderId="0" xfId="2" applyFont="1" applyFill="1" applyBorder="1"/>
    <xf numFmtId="0" fontId="31" fillId="4" borderId="13" xfId="0" applyFont="1" applyFill="1" applyBorder="1"/>
    <xf numFmtId="0" fontId="31" fillId="4" borderId="15" xfId="0" applyFont="1" applyFill="1" applyBorder="1"/>
    <xf numFmtId="41" fontId="0" fillId="0" borderId="1" xfId="0" applyNumberFormat="1" applyBorder="1"/>
    <xf numFmtId="0" fontId="21" fillId="4" borderId="1" xfId="0" applyFont="1" applyFill="1" applyBorder="1"/>
    <xf numFmtId="0" fontId="21" fillId="4" borderId="0" xfId="0" applyFont="1" applyFill="1"/>
    <xf numFmtId="0" fontId="21" fillId="4" borderId="40" xfId="0" applyFont="1" applyFill="1" applyBorder="1"/>
    <xf numFmtId="0" fontId="21" fillId="4" borderId="40" xfId="0" applyFont="1" applyFill="1" applyBorder="1" applyAlignment="1">
      <alignment vertical="top" wrapText="1"/>
    </xf>
    <xf numFmtId="41" fontId="0" fillId="7" borderId="0" xfId="0" applyNumberFormat="1" applyFill="1"/>
    <xf numFmtId="9" fontId="0" fillId="7" borderId="0" xfId="0" applyNumberFormat="1" applyFill="1"/>
    <xf numFmtId="6" fontId="0" fillId="7" borderId="0" xfId="0" applyNumberFormat="1" applyFill="1"/>
    <xf numFmtId="0" fontId="0" fillId="7" borderId="0" xfId="0" applyFill="1"/>
    <xf numFmtId="10" fontId="0" fillId="0" borderId="0" xfId="0" applyNumberFormat="1"/>
    <xf numFmtId="0" fontId="21" fillId="4" borderId="27" xfId="0" applyFont="1" applyFill="1" applyBorder="1"/>
    <xf numFmtId="43" fontId="0" fillId="0" borderId="1" xfId="0" applyNumberFormat="1" applyBorder="1"/>
    <xf numFmtId="0" fontId="0" fillId="8" borderId="0" xfId="0" applyFill="1"/>
    <xf numFmtId="167" fontId="0" fillId="7" borderId="0" xfId="0" applyNumberFormat="1" applyFill="1"/>
    <xf numFmtId="168" fontId="0" fillId="7" borderId="0" xfId="0" applyNumberFormat="1" applyFill="1"/>
    <xf numFmtId="43" fontId="5" fillId="7" borderId="0" xfId="0" applyNumberFormat="1" applyFont="1" applyFill="1" applyAlignment="1">
      <alignment vertical="center"/>
    </xf>
    <xf numFmtId="0" fontId="31" fillId="4" borderId="0" xfId="0" applyFont="1" applyFill="1" applyAlignment="1">
      <alignment wrapText="1"/>
    </xf>
    <xf numFmtId="10" fontId="5" fillId="0" borderId="1" xfId="0" applyNumberFormat="1" applyFont="1" applyBorder="1"/>
    <xf numFmtId="169" fontId="0" fillId="7" borderId="0" xfId="0" applyNumberFormat="1" applyFill="1"/>
    <xf numFmtId="9" fontId="0" fillId="7" borderId="0" xfId="2" applyFont="1" applyFill="1"/>
    <xf numFmtId="0" fontId="0" fillId="0" borderId="1" xfId="0" applyBorder="1"/>
    <xf numFmtId="14" fontId="0" fillId="0" borderId="1" xfId="0" applyNumberFormat="1" applyBorder="1"/>
    <xf numFmtId="0" fontId="21" fillId="5" borderId="1" xfId="0" applyFont="1" applyFill="1" applyBorder="1"/>
    <xf numFmtId="14" fontId="0" fillId="0" borderId="15" xfId="0" applyNumberFormat="1" applyBorder="1" applyAlignment="1">
      <alignment horizontal="center" vertical="center"/>
    </xf>
    <xf numFmtId="0" fontId="40" fillId="0" borderId="1" xfId="0" applyFont="1" applyBorder="1"/>
    <xf numFmtId="0" fontId="21" fillId="5" borderId="1" xfId="0" applyFont="1" applyFill="1" applyBorder="1" applyAlignment="1">
      <alignment horizontal="center"/>
    </xf>
    <xf numFmtId="0" fontId="21" fillId="5" borderId="0" xfId="0" applyFont="1" applyFill="1"/>
    <xf numFmtId="170" fontId="0" fillId="7" borderId="0" xfId="0" applyNumberFormat="1" applyFill="1"/>
    <xf numFmtId="6" fontId="0" fillId="0" borderId="0" xfId="0" applyNumberFormat="1"/>
    <xf numFmtId="0" fontId="5" fillId="7" borderId="0" xfId="0" applyFont="1" applyFill="1"/>
    <xf numFmtId="170" fontId="5" fillId="7" borderId="0" xfId="0" applyNumberFormat="1" applyFont="1" applyFill="1"/>
    <xf numFmtId="0" fontId="41" fillId="4" borderId="0" xfId="0" applyFont="1" applyFill="1" applyAlignment="1">
      <alignment wrapText="1"/>
    </xf>
    <xf numFmtId="0" fontId="28" fillId="4" borderId="1" xfId="0" applyFont="1" applyFill="1" applyBorder="1" applyAlignment="1">
      <alignment horizontal="center" vertical="top" wrapText="1" readingOrder="1"/>
    </xf>
    <xf numFmtId="0" fontId="7" fillId="0" borderId="1" xfId="0" applyFont="1" applyBorder="1" applyAlignment="1">
      <alignment horizontal="left" vertical="top" wrapText="1"/>
    </xf>
    <xf numFmtId="0" fontId="41" fillId="4" borderId="0" xfId="0" applyFont="1" applyFill="1"/>
    <xf numFmtId="171" fontId="5" fillId="7" borderId="0" xfId="0" applyNumberFormat="1" applyFont="1" applyFill="1"/>
    <xf numFmtId="43" fontId="6" fillId="0" borderId="1" xfId="0" applyNumberFormat="1" applyFont="1" applyBorder="1" applyAlignment="1">
      <alignment horizontal="right" vertical="top" wrapText="1" readingOrder="1"/>
    </xf>
    <xf numFmtId="43" fontId="7" fillId="0" borderId="1" xfId="0" applyNumberFormat="1" applyFont="1" applyBorder="1" applyAlignment="1">
      <alignment horizontal="right" vertical="top" wrapText="1"/>
    </xf>
    <xf numFmtId="0" fontId="31" fillId="4" borderId="0" xfId="0" applyFont="1" applyFill="1" applyAlignment="1">
      <alignment vertical="center" wrapText="1"/>
    </xf>
    <xf numFmtId="172" fontId="0" fillId="7" borderId="0" xfId="0" applyNumberFormat="1" applyFill="1"/>
    <xf numFmtId="0" fontId="31" fillId="4" borderId="0" xfId="0" applyFont="1" applyFill="1" applyAlignment="1">
      <alignment vertical="top" wrapText="1"/>
    </xf>
    <xf numFmtId="0" fontId="41" fillId="4" borderId="0" xfId="0" applyFont="1" applyFill="1" applyAlignment="1">
      <alignment horizontal="left" vertical="center" wrapText="1"/>
    </xf>
    <xf numFmtId="170" fontId="0" fillId="7" borderId="0" xfId="0" applyNumberFormat="1" applyFill="1" applyAlignment="1">
      <alignment horizontal="right" vertical="center"/>
    </xf>
    <xf numFmtId="0" fontId="41" fillId="4" borderId="0" xfId="0" applyFont="1" applyFill="1" applyAlignment="1">
      <alignment horizontal="left" wrapText="1"/>
    </xf>
    <xf numFmtId="41" fontId="6" fillId="0" borderId="1" xfId="0" applyNumberFormat="1" applyFont="1" applyBorder="1" applyAlignment="1">
      <alignment horizontal="left" vertical="top" wrapText="1" readingOrder="1"/>
    </xf>
    <xf numFmtId="0" fontId="38" fillId="4" borderId="1" xfId="0" applyFont="1" applyFill="1" applyBorder="1" applyAlignment="1">
      <alignment horizontal="center" vertical="top" wrapText="1" readingOrder="1"/>
    </xf>
    <xf numFmtId="0" fontId="12" fillId="0" borderId="1" xfId="0" applyFont="1" applyBorder="1" applyAlignment="1">
      <alignment vertical="center" wrapText="1"/>
    </xf>
    <xf numFmtId="41" fontId="6" fillId="0" borderId="1" xfId="0" applyNumberFormat="1" applyFont="1" applyBorder="1" applyAlignment="1">
      <alignment horizontal="left" vertical="center" wrapText="1" readingOrder="1"/>
    </xf>
    <xf numFmtId="0" fontId="42" fillId="4" borderId="1" xfId="0" applyFont="1" applyFill="1" applyBorder="1" applyAlignment="1">
      <alignment horizontal="left" vertical="center" wrapText="1" readingOrder="1"/>
    </xf>
    <xf numFmtId="0" fontId="43" fillId="4" borderId="0" xfId="0" applyFont="1" applyFill="1"/>
    <xf numFmtId="41" fontId="5" fillId="7" borderId="0" xfId="0" applyNumberFormat="1" applyFont="1" applyFill="1"/>
    <xf numFmtId="173" fontId="5" fillId="7" borderId="0" xfId="0" applyNumberFormat="1" applyFont="1" applyFill="1"/>
    <xf numFmtId="14" fontId="0" fillId="7" borderId="0" xfId="0" applyNumberFormat="1" applyFill="1"/>
    <xf numFmtId="14" fontId="5" fillId="7" borderId="0" xfId="0" applyNumberFormat="1" applyFont="1" applyFill="1"/>
    <xf numFmtId="174" fontId="5" fillId="7" borderId="0" xfId="0" applyNumberFormat="1" applyFont="1" applyFill="1"/>
    <xf numFmtId="176" fontId="5" fillId="7" borderId="0" xfId="0" applyNumberFormat="1" applyFont="1" applyFill="1"/>
    <xf numFmtId="177" fontId="5" fillId="7" borderId="0" xfId="0" applyNumberFormat="1" applyFont="1" applyFill="1"/>
    <xf numFmtId="175" fontId="5" fillId="7" borderId="0" xfId="0" applyNumberFormat="1" applyFont="1" applyFill="1"/>
    <xf numFmtId="177" fontId="5" fillId="0" borderId="0" xfId="0" applyNumberFormat="1" applyFont="1"/>
    <xf numFmtId="2" fontId="0" fillId="0" borderId="0" xfId="0" applyNumberFormat="1"/>
    <xf numFmtId="178" fontId="5" fillId="7" borderId="0" xfId="0" applyNumberFormat="1" applyFont="1" applyFill="1"/>
    <xf numFmtId="0" fontId="42" fillId="4" borderId="1" xfId="0" applyFont="1" applyFill="1" applyBorder="1" applyAlignment="1">
      <alignment horizontal="left" vertical="top" wrapText="1" readingOrder="1"/>
    </xf>
    <xf numFmtId="41" fontId="7" fillId="0" borderId="1" xfId="0" applyNumberFormat="1" applyFont="1" applyBorder="1" applyAlignment="1">
      <alignment vertical="center" wrapText="1"/>
    </xf>
    <xf numFmtId="0" fontId="45" fillId="0" borderId="1" xfId="0" applyFont="1" applyBorder="1"/>
    <xf numFmtId="172" fontId="45" fillId="0" borderId="1" xfId="0" applyNumberFormat="1" applyFont="1" applyBorder="1"/>
    <xf numFmtId="14" fontId="5" fillId="0" borderId="0" xfId="0" applyNumberFormat="1" applyFont="1"/>
    <xf numFmtId="172" fontId="5" fillId="7" borderId="0" xfId="0" applyNumberFormat="1" applyFont="1" applyFill="1"/>
    <xf numFmtId="9" fontId="5" fillId="7" borderId="0" xfId="2" applyFont="1" applyFill="1"/>
    <xf numFmtId="0" fontId="43" fillId="9" borderId="0" xfId="0" applyFont="1" applyFill="1" applyAlignment="1">
      <alignment wrapText="1"/>
    </xf>
    <xf numFmtId="0" fontId="43" fillId="9" borderId="0" xfId="0" applyFont="1" applyFill="1"/>
    <xf numFmtId="170" fontId="5" fillId="7" borderId="0" xfId="0" applyNumberFormat="1" applyFont="1" applyFill="1" applyAlignment="1">
      <alignment horizontal="right" vertical="center"/>
    </xf>
    <xf numFmtId="41" fontId="0" fillId="2" borderId="0" xfId="0" applyNumberFormat="1" applyFill="1"/>
    <xf numFmtId="0" fontId="5" fillId="0" borderId="0" xfId="0" applyFont="1" applyAlignment="1">
      <alignment vertical="top"/>
    </xf>
    <xf numFmtId="0" fontId="1" fillId="0" borderId="1" xfId="0" applyFont="1" applyBorder="1" applyAlignment="1">
      <alignment horizontal="left" vertical="top" wrapText="1" readingOrder="1"/>
    </xf>
    <xf numFmtId="3" fontId="1" fillId="0" borderId="1" xfId="0" applyNumberFormat="1" applyFont="1" applyBorder="1" applyAlignment="1">
      <alignment horizontal="right" vertical="top" wrapText="1" readingOrder="1"/>
    </xf>
    <xf numFmtId="0" fontId="7" fillId="0" borderId="1" xfId="0" applyFont="1" applyBorder="1" applyAlignment="1">
      <alignment horizontal="right" vertical="top" wrapText="1"/>
    </xf>
    <xf numFmtId="0" fontId="1" fillId="0" borderId="1" xfId="0" applyFont="1" applyBorder="1" applyAlignment="1">
      <alignment horizontal="right" vertical="top" wrapText="1" readingOrder="1"/>
    </xf>
    <xf numFmtId="0" fontId="8" fillId="0" borderId="1" xfId="0" applyFont="1" applyBorder="1" applyAlignment="1">
      <alignment horizontal="left" vertical="top" wrapText="1" readingOrder="1"/>
    </xf>
    <xf numFmtId="0" fontId="45" fillId="0" borderId="0" xfId="0" applyFont="1"/>
    <xf numFmtId="41" fontId="45" fillId="0" borderId="0" xfId="0" applyNumberFormat="1" applyFont="1"/>
    <xf numFmtId="41" fontId="46" fillId="4" borderId="1" xfId="0" applyNumberFormat="1" applyFont="1" applyFill="1" applyBorder="1"/>
    <xf numFmtId="41" fontId="45" fillId="0" borderId="1" xfId="0" applyNumberFormat="1" applyFont="1" applyBorder="1"/>
    <xf numFmtId="0" fontId="45" fillId="0" borderId="0" xfId="0" applyFont="1" applyAlignment="1">
      <alignment vertical="center"/>
    </xf>
    <xf numFmtId="0" fontId="46" fillId="4" borderId="1" xfId="0" applyFont="1" applyFill="1" applyBorder="1"/>
    <xf numFmtId="0" fontId="7" fillId="4" borderId="1" xfId="0" applyFont="1" applyFill="1" applyBorder="1" applyAlignment="1">
      <alignment vertical="top" wrapText="1"/>
    </xf>
    <xf numFmtId="0" fontId="16" fillId="4" borderId="1" xfId="0" applyFont="1" applyFill="1" applyBorder="1" applyAlignment="1">
      <alignment horizontal="center" vertical="top" wrapText="1" readingOrder="1"/>
    </xf>
    <xf numFmtId="0" fontId="38" fillId="6" borderId="1" xfId="0" applyFont="1" applyFill="1" applyBorder="1" applyAlignment="1">
      <alignment horizontal="center" vertical="top" wrapText="1" readingOrder="1"/>
    </xf>
    <xf numFmtId="41" fontId="6" fillId="0" borderId="1" xfId="0" applyNumberFormat="1" applyFont="1" applyBorder="1" applyAlignment="1">
      <alignment vertical="top" wrapText="1" readingOrder="1"/>
    </xf>
    <xf numFmtId="41" fontId="48" fillId="0" borderId="1" xfId="0" applyNumberFormat="1" applyFont="1" applyBorder="1" applyAlignment="1">
      <alignment horizontal="right" vertical="top" wrapText="1"/>
    </xf>
    <xf numFmtId="0" fontId="16" fillId="6" borderId="1" xfId="0" applyFont="1" applyFill="1" applyBorder="1" applyAlignment="1">
      <alignment horizontal="center" vertical="top" wrapText="1" readingOrder="1"/>
    </xf>
    <xf numFmtId="41" fontId="7" fillId="0" borderId="1" xfId="0" applyNumberFormat="1" applyFont="1" applyBorder="1" applyAlignment="1">
      <alignment vertical="top" wrapText="1"/>
    </xf>
    <xf numFmtId="41" fontId="45" fillId="0" borderId="1" xfId="0" applyNumberFormat="1" applyFont="1" applyBorder="1" applyAlignment="1">
      <alignment horizontal="right" vertical="top" wrapText="1"/>
    </xf>
    <xf numFmtId="0" fontId="31" fillId="6" borderId="0" xfId="0" applyFont="1" applyFill="1"/>
    <xf numFmtId="179" fontId="5" fillId="0" borderId="1" xfId="0" applyNumberFormat="1" applyFont="1" applyBorder="1"/>
    <xf numFmtId="180" fontId="5" fillId="0" borderId="1" xfId="0" applyNumberFormat="1" applyFont="1" applyBorder="1"/>
    <xf numFmtId="10" fontId="5" fillId="0" borderId="1" xfId="2" applyNumberFormat="1" applyFont="1" applyBorder="1"/>
    <xf numFmtId="41" fontId="38" fillId="4" borderId="33" xfId="0" applyNumberFormat="1" applyFont="1" applyFill="1" applyBorder="1" applyAlignment="1">
      <alignment horizontal="center" vertical="center" wrapText="1" readingOrder="1"/>
    </xf>
    <xf numFmtId="0" fontId="49" fillId="4" borderId="0" xfId="0" applyFont="1" applyFill="1"/>
    <xf numFmtId="0" fontId="49" fillId="6" borderId="0" xfId="0" applyFont="1" applyFill="1"/>
    <xf numFmtId="0" fontId="38" fillId="4" borderId="51" xfId="0" applyFont="1" applyFill="1" applyBorder="1" applyAlignment="1">
      <alignment horizontal="center" vertical="center" wrapText="1" readingOrder="1"/>
    </xf>
    <xf numFmtId="0" fontId="6" fillId="0" borderId="1" xfId="0" applyFont="1" applyBorder="1" applyAlignment="1">
      <alignment horizontal="right" vertical="center" wrapText="1" readingOrder="1"/>
    </xf>
    <xf numFmtId="0" fontId="51" fillId="0" borderId="1" xfId="0" applyFont="1" applyBorder="1" applyAlignment="1">
      <alignment horizontal="left" vertical="center" wrapText="1" readingOrder="1"/>
    </xf>
    <xf numFmtId="0" fontId="16" fillId="4" borderId="51" xfId="0" applyFont="1" applyFill="1" applyBorder="1" applyAlignment="1">
      <alignment horizontal="center" vertical="center" wrapText="1" readingOrder="1"/>
    </xf>
    <xf numFmtId="0" fontId="38" fillId="4" borderId="52" xfId="0" applyFont="1" applyFill="1" applyBorder="1" applyAlignment="1">
      <alignment vertical="center" wrapText="1" readingOrder="1"/>
    </xf>
    <xf numFmtId="0" fontId="38" fillId="4" borderId="53" xfId="0" applyFont="1" applyFill="1" applyBorder="1" applyAlignment="1">
      <alignment vertical="center" wrapText="1" readingOrder="1"/>
    </xf>
    <xf numFmtId="0" fontId="38" fillId="4" borderId="54" xfId="0" applyFont="1" applyFill="1" applyBorder="1" applyAlignment="1">
      <alignment vertical="center" wrapText="1" readingOrder="1"/>
    </xf>
    <xf numFmtId="0" fontId="46" fillId="4" borderId="51" xfId="0" applyFont="1" applyFill="1" applyBorder="1" applyAlignment="1">
      <alignment vertical="center"/>
    </xf>
    <xf numFmtId="0" fontId="46" fillId="4" borderId="55" xfId="0" applyFont="1" applyFill="1" applyBorder="1" applyAlignment="1">
      <alignment vertical="center"/>
    </xf>
    <xf numFmtId="0" fontId="1" fillId="0" borderId="1" xfId="0" applyFont="1" applyBorder="1" applyAlignment="1">
      <alignment horizontal="right" vertical="center" wrapText="1" indent="1" readingOrder="1"/>
    </xf>
    <xf numFmtId="3" fontId="8" fillId="0" borderId="1" xfId="0" applyNumberFormat="1" applyFont="1" applyBorder="1" applyAlignment="1">
      <alignment horizontal="right" vertical="center" wrapText="1" indent="1" readingOrder="1"/>
    </xf>
    <xf numFmtId="3" fontId="1" fillId="0" borderId="1" xfId="0" applyNumberFormat="1" applyFont="1" applyBorder="1" applyAlignment="1">
      <alignment horizontal="right" vertical="center" wrapText="1" indent="1" readingOrder="1"/>
    </xf>
    <xf numFmtId="0" fontId="38" fillId="4" borderId="43" xfId="0" applyFont="1" applyFill="1" applyBorder="1" applyAlignment="1">
      <alignment vertical="center" wrapText="1" readingOrder="1"/>
    </xf>
    <xf numFmtId="0" fontId="38" fillId="4" borderId="44" xfId="0" applyFont="1" applyFill="1" applyBorder="1" applyAlignment="1">
      <alignment vertical="center" wrapText="1" readingOrder="1"/>
    </xf>
    <xf numFmtId="41" fontId="1" fillId="0" borderId="1" xfId="0" applyNumberFormat="1" applyFont="1" applyBorder="1" applyAlignment="1">
      <alignment horizontal="right" vertical="center" wrapText="1" indent="1" readingOrder="1"/>
    </xf>
    <xf numFmtId="0" fontId="38" fillId="4" borderId="1" xfId="0" applyFont="1" applyFill="1" applyBorder="1" applyAlignment="1">
      <alignment horizontal="center" vertical="center" wrapText="1" readingOrder="1"/>
    </xf>
    <xf numFmtId="0" fontId="51" fillId="0" borderId="1" xfId="0" applyFont="1" applyBorder="1" applyAlignment="1">
      <alignment horizontal="left" vertical="center" readingOrder="1"/>
    </xf>
    <xf numFmtId="43" fontId="1" fillId="0" borderId="1" xfId="0" applyNumberFormat="1" applyFont="1" applyBorder="1" applyAlignment="1">
      <alignment horizontal="left" vertical="center" wrapText="1" readingOrder="1"/>
    </xf>
    <xf numFmtId="43" fontId="1" fillId="0" borderId="1" xfId="0" applyNumberFormat="1" applyFont="1" applyBorder="1" applyAlignment="1">
      <alignment horizontal="right" vertical="center" wrapText="1" readingOrder="1"/>
    </xf>
    <xf numFmtId="43" fontId="8" fillId="0" borderId="1" xfId="0" applyNumberFormat="1" applyFont="1" applyBorder="1" applyAlignment="1">
      <alignment horizontal="left" vertical="center" wrapText="1" readingOrder="1"/>
    </xf>
    <xf numFmtId="41" fontId="1" fillId="0" borderId="1" xfId="0" applyNumberFormat="1" applyFont="1" applyBorder="1" applyAlignment="1">
      <alignment horizontal="right" vertical="center" wrapText="1" readingOrder="1"/>
    </xf>
    <xf numFmtId="41" fontId="7" fillId="0" borderId="1" xfId="0" applyNumberFormat="1" applyFont="1" applyBorder="1" applyAlignment="1">
      <alignment horizontal="center" vertical="center" wrapText="1"/>
    </xf>
    <xf numFmtId="41" fontId="7" fillId="0" borderId="1" xfId="0" applyNumberFormat="1" applyFont="1" applyBorder="1" applyAlignment="1">
      <alignment horizontal="right" vertical="center" wrapText="1"/>
    </xf>
    <xf numFmtId="172" fontId="5" fillId="0" borderId="1" xfId="0" applyNumberFormat="1" applyFont="1" applyBorder="1"/>
    <xf numFmtId="0" fontId="16" fillId="6" borderId="1" xfId="0" applyFont="1" applyFill="1" applyBorder="1" applyAlignment="1">
      <alignment horizontal="center" vertical="center" wrapText="1" readingOrder="1"/>
    </xf>
    <xf numFmtId="0" fontId="7" fillId="6" borderId="1" xfId="0" applyFont="1" applyFill="1" applyBorder="1" applyAlignment="1">
      <alignment horizontal="left" vertical="center" wrapText="1" indent="1"/>
    </xf>
    <xf numFmtId="0" fontId="19" fillId="6" borderId="1" xfId="0" applyFont="1" applyFill="1" applyBorder="1" applyAlignment="1">
      <alignment horizontal="center" vertical="center" wrapText="1" readingOrder="1"/>
    </xf>
    <xf numFmtId="41" fontId="1" fillId="0" borderId="0" xfId="0" applyNumberFormat="1" applyFont="1" applyAlignment="1">
      <alignment horizontal="right" vertical="center" wrapText="1" indent="1" readingOrder="1"/>
    </xf>
    <xf numFmtId="0" fontId="19" fillId="4" borderId="23" xfId="0" applyFont="1" applyFill="1" applyBorder="1" applyAlignment="1">
      <alignment horizontal="center" vertical="top" wrapText="1" readingOrder="1"/>
    </xf>
    <xf numFmtId="0" fontId="8" fillId="0" borderId="0" xfId="0" applyFont="1" applyAlignment="1">
      <alignment horizontal="left" vertical="center" wrapText="1" readingOrder="1"/>
    </xf>
    <xf numFmtId="3" fontId="1" fillId="0" borderId="0" xfId="0" applyNumberFormat="1" applyFont="1" applyAlignment="1">
      <alignment horizontal="right" vertical="center" wrapText="1" indent="1" readingOrder="1"/>
    </xf>
    <xf numFmtId="0" fontId="19" fillId="4" borderId="1" xfId="0" applyFont="1" applyFill="1" applyBorder="1" applyAlignment="1">
      <alignment horizontal="left" vertical="center" wrapText="1" readingOrder="1"/>
    </xf>
    <xf numFmtId="4" fontId="1" fillId="0" borderId="1" xfId="0" applyNumberFormat="1" applyFont="1" applyBorder="1" applyAlignment="1">
      <alignment horizontal="right" vertical="center" wrapText="1" indent="1" readingOrder="1"/>
    </xf>
    <xf numFmtId="3" fontId="6" fillId="0" borderId="40" xfId="0" applyNumberFormat="1" applyFont="1" applyBorder="1" applyAlignment="1">
      <alignment horizontal="right" vertical="center" wrapText="1" readingOrder="1"/>
    </xf>
    <xf numFmtId="0" fontId="6" fillId="0" borderId="40" xfId="0" applyFont="1" applyBorder="1" applyAlignment="1">
      <alignment horizontal="right" vertical="center" wrapText="1" readingOrder="1"/>
    </xf>
    <xf numFmtId="0" fontId="38" fillId="4" borderId="46" xfId="0" applyFont="1" applyFill="1" applyBorder="1" applyAlignment="1">
      <alignment vertical="center" readingOrder="1"/>
    </xf>
    <xf numFmtId="41" fontId="6" fillId="0" borderId="40" xfId="0" applyNumberFormat="1" applyFont="1" applyBorder="1" applyAlignment="1">
      <alignment horizontal="right" vertical="center" wrapText="1" readingOrder="1"/>
    </xf>
    <xf numFmtId="0" fontId="49" fillId="4" borderId="43" xfId="0" applyFont="1" applyFill="1" applyBorder="1" applyAlignment="1">
      <alignment vertical="center" readingOrder="1"/>
    </xf>
    <xf numFmtId="3" fontId="38" fillId="4" borderId="44" xfId="0" applyNumberFormat="1" applyFont="1" applyFill="1" applyBorder="1" applyAlignment="1">
      <alignment vertical="center" wrapText="1" readingOrder="1"/>
    </xf>
    <xf numFmtId="0" fontId="16" fillId="4" borderId="1" xfId="0" applyFont="1" applyFill="1" applyBorder="1" applyAlignment="1">
      <alignment horizontal="center" vertical="center" wrapText="1" readingOrder="1"/>
    </xf>
    <xf numFmtId="43" fontId="6" fillId="0" borderId="1" xfId="0" applyNumberFormat="1" applyFont="1" applyBorder="1" applyAlignment="1">
      <alignment horizontal="right" vertical="center" wrapText="1" readingOrder="1"/>
    </xf>
    <xf numFmtId="0" fontId="39" fillId="7" borderId="0" xfId="0" applyFont="1" applyFill="1"/>
    <xf numFmtId="0" fontId="33" fillId="7" borderId="0" xfId="0" applyFont="1" applyFill="1"/>
    <xf numFmtId="0" fontId="19" fillId="4" borderId="57" xfId="0" applyFont="1" applyFill="1" applyBorder="1" applyAlignment="1">
      <alignment horizontal="center" vertical="top" wrapText="1" readingOrder="1"/>
    </xf>
    <xf numFmtId="0" fontId="1" fillId="0" borderId="1" xfId="0" applyFont="1" applyBorder="1" applyAlignment="1">
      <alignment horizontal="center" vertical="top" wrapText="1" readingOrder="1"/>
    </xf>
    <xf numFmtId="41" fontId="1" fillId="0" borderId="1" xfId="0" applyNumberFormat="1" applyFont="1" applyBorder="1" applyAlignment="1">
      <alignment horizontal="right" vertical="top" wrapText="1" readingOrder="1"/>
    </xf>
    <xf numFmtId="41" fontId="1" fillId="0" borderId="1" xfId="0" applyNumberFormat="1" applyFont="1" applyBorder="1" applyAlignment="1">
      <alignment horizontal="left" vertical="top" wrapText="1" readingOrder="1"/>
    </xf>
    <xf numFmtId="0" fontId="28" fillId="4" borderId="56" xfId="0" applyFont="1" applyFill="1" applyBorder="1" applyAlignment="1">
      <alignment horizontal="left" vertical="top" readingOrder="1"/>
    </xf>
    <xf numFmtId="0" fontId="46" fillId="4" borderId="1" xfId="0" applyFont="1" applyFill="1" applyBorder="1" applyAlignment="1">
      <alignment vertical="top" wrapText="1" readingOrder="1"/>
    </xf>
    <xf numFmtId="0" fontId="3" fillId="10" borderId="1" xfId="0" applyFont="1" applyFill="1" applyBorder="1" applyAlignment="1">
      <alignment horizontal="center" vertical="top" wrapText="1" readingOrder="1"/>
    </xf>
    <xf numFmtId="0" fontId="0" fillId="10" borderId="0" xfId="0" applyFill="1"/>
    <xf numFmtId="0" fontId="3" fillId="10" borderId="1" xfId="0" applyFont="1" applyFill="1" applyBorder="1" applyAlignment="1">
      <alignment horizontal="left" vertical="center" wrapText="1" readingOrder="1"/>
    </xf>
    <xf numFmtId="0" fontId="7" fillId="4" borderId="17" xfId="0" applyFont="1" applyFill="1" applyBorder="1" applyAlignment="1">
      <alignment vertical="top" wrapText="1"/>
    </xf>
    <xf numFmtId="0" fontId="16" fillId="4" borderId="17" xfId="0" applyFont="1" applyFill="1" applyBorder="1" applyAlignment="1">
      <alignment horizontal="left" vertical="center" wrapText="1" readingOrder="1"/>
    </xf>
    <xf numFmtId="0" fontId="16" fillId="4" borderId="17" xfId="0" applyFont="1" applyFill="1" applyBorder="1" applyAlignment="1">
      <alignment horizontal="center" vertical="center" wrapText="1" readingOrder="1"/>
    </xf>
    <xf numFmtId="0" fontId="12" fillId="4" borderId="17" xfId="0" applyFont="1" applyFill="1" applyBorder="1" applyAlignment="1">
      <alignment vertical="top" wrapText="1"/>
    </xf>
    <xf numFmtId="0" fontId="37" fillId="4" borderId="17" xfId="0" applyFont="1" applyFill="1" applyBorder="1" applyAlignment="1">
      <alignment horizontal="left" vertical="center" wrapText="1" readingOrder="1"/>
    </xf>
    <xf numFmtId="0" fontId="36" fillId="4" borderId="17" xfId="0" applyFont="1" applyFill="1" applyBorder="1" applyAlignment="1">
      <alignment horizontal="center" vertical="center" wrapText="1" readingOrder="1"/>
    </xf>
    <xf numFmtId="0" fontId="19" fillId="6" borderId="2" xfId="0" applyFont="1" applyFill="1" applyBorder="1" applyAlignment="1">
      <alignment horizontal="center" vertical="center" wrapText="1" readingOrder="1"/>
    </xf>
    <xf numFmtId="0" fontId="52" fillId="6" borderId="33" xfId="0" applyFont="1" applyFill="1" applyBorder="1" applyAlignment="1">
      <alignment horizontal="center" vertical="top" wrapText="1"/>
    </xf>
    <xf numFmtId="0" fontId="19" fillId="6" borderId="33" xfId="0" applyFont="1" applyFill="1" applyBorder="1" applyAlignment="1">
      <alignment horizontal="center" vertical="center" wrapText="1" readingOrder="1"/>
    </xf>
    <xf numFmtId="0" fontId="16" fillId="4" borderId="34" xfId="0" applyFont="1" applyFill="1" applyBorder="1" applyAlignment="1">
      <alignment horizontal="center" vertical="center" wrapText="1" readingOrder="1"/>
    </xf>
    <xf numFmtId="0" fontId="22" fillId="4" borderId="35" xfId="0" applyFont="1" applyFill="1" applyBorder="1" applyAlignment="1">
      <alignment horizontal="left" wrapText="1" readingOrder="1"/>
    </xf>
    <xf numFmtId="0" fontId="22" fillId="4" borderId="36" xfId="0" applyFont="1" applyFill="1" applyBorder="1" applyAlignment="1">
      <alignment horizontal="left" wrapText="1" readingOrder="1"/>
    </xf>
    <xf numFmtId="0" fontId="22" fillId="4" borderId="37" xfId="0" applyFont="1" applyFill="1" applyBorder="1" applyAlignment="1">
      <alignment horizontal="left" wrapText="1" readingOrder="1"/>
    </xf>
    <xf numFmtId="0" fontId="22" fillId="4" borderId="38" xfId="0" applyFont="1" applyFill="1" applyBorder="1" applyAlignment="1">
      <alignment horizontal="left" wrapText="1" readingOrder="1"/>
    </xf>
    <xf numFmtId="0" fontId="22" fillId="4" borderId="39" xfId="0" applyFont="1" applyFill="1" applyBorder="1" applyAlignment="1">
      <alignment horizontal="left" wrapText="1" readingOrder="1"/>
    </xf>
    <xf numFmtId="0" fontId="22" fillId="4" borderId="34" xfId="0" applyFont="1" applyFill="1" applyBorder="1" applyAlignment="1">
      <alignment horizontal="left" wrapText="1" readingOrder="1"/>
    </xf>
    <xf numFmtId="165" fontId="22" fillId="4" borderId="34" xfId="0" applyNumberFormat="1" applyFont="1" applyFill="1" applyBorder="1" applyAlignment="1">
      <alignment horizontal="left" wrapText="1" readingOrder="1"/>
    </xf>
    <xf numFmtId="0" fontId="38" fillId="4" borderId="1" xfId="0" applyFont="1" applyFill="1" applyBorder="1" applyAlignment="1">
      <alignment horizontal="left" vertical="center" wrapText="1" readingOrder="1"/>
    </xf>
    <xf numFmtId="0" fontId="16" fillId="4" borderId="43" xfId="0" applyFont="1" applyFill="1" applyBorder="1" applyAlignment="1">
      <alignment horizontal="center" vertical="top" wrapText="1" readingOrder="1"/>
    </xf>
    <xf numFmtId="0" fontId="16" fillId="4" borderId="44" xfId="0" applyFont="1" applyFill="1" applyBorder="1" applyAlignment="1">
      <alignment horizontal="center" vertical="top" wrapText="1" readingOrder="1"/>
    </xf>
    <xf numFmtId="0" fontId="16" fillId="4" borderId="45" xfId="0" applyFont="1" applyFill="1" applyBorder="1" applyAlignment="1">
      <alignment horizontal="center" vertical="top" wrapText="1" readingOrder="1"/>
    </xf>
    <xf numFmtId="9" fontId="1" fillId="0" borderId="1" xfId="0" applyNumberFormat="1" applyFont="1" applyBorder="1" applyAlignment="1">
      <alignment horizontal="right" vertical="top" wrapText="1" readingOrder="1"/>
    </xf>
    <xf numFmtId="3" fontId="1" fillId="0" borderId="1" xfId="0" applyNumberFormat="1" applyFont="1" applyBorder="1" applyAlignment="1">
      <alignment horizontal="right" vertical="top" readingOrder="1"/>
    </xf>
    <xf numFmtId="0" fontId="0" fillId="0" borderId="0" xfId="0" applyAlignment="1">
      <alignment vertical="top"/>
    </xf>
    <xf numFmtId="0" fontId="34" fillId="4" borderId="0" xfId="0" applyFont="1" applyFill="1" applyAlignment="1">
      <alignment vertical="top" wrapText="1" readingOrder="1"/>
    </xf>
    <xf numFmtId="0" fontId="34" fillId="4" borderId="0" xfId="0" applyFont="1" applyFill="1" applyAlignment="1">
      <alignment horizontal="left" vertical="top" wrapText="1" readingOrder="1"/>
    </xf>
    <xf numFmtId="0" fontId="19" fillId="4" borderId="0" xfId="0" applyFont="1" applyFill="1" applyAlignment="1">
      <alignment vertical="top" wrapText="1" readingOrder="1"/>
    </xf>
    <xf numFmtId="3" fontId="0" fillId="0" borderId="0" xfId="0" applyNumberFormat="1" applyAlignment="1">
      <alignment vertical="top"/>
    </xf>
    <xf numFmtId="0" fontId="1" fillId="0" borderId="1" xfId="0" applyFont="1" applyBorder="1" applyAlignment="1">
      <alignment horizontal="left" vertical="top" readingOrder="1"/>
    </xf>
    <xf numFmtId="0" fontId="1" fillId="0" borderId="1" xfId="0" applyFont="1" applyBorder="1" applyAlignment="1">
      <alignment horizontal="right" vertical="top" readingOrder="1"/>
    </xf>
    <xf numFmtId="0" fontId="53" fillId="11" borderId="0" xfId="0" applyFont="1" applyFill="1" applyAlignment="1">
      <alignment vertical="top" wrapText="1" readingOrder="1"/>
    </xf>
    <xf numFmtId="3" fontId="53" fillId="11" borderId="0" xfId="0" applyNumberFormat="1" applyFont="1" applyFill="1" applyAlignment="1">
      <alignment horizontal="left" vertical="top" wrapText="1" readingOrder="1"/>
    </xf>
    <xf numFmtId="0" fontId="53" fillId="11" borderId="0" xfId="0" applyFont="1" applyFill="1" applyAlignment="1">
      <alignment horizontal="left" vertical="top" wrapText="1" readingOrder="1"/>
    </xf>
    <xf numFmtId="0" fontId="3" fillId="11" borderId="0" xfId="0" applyFont="1" applyFill="1" applyAlignment="1">
      <alignment vertical="top" wrapText="1" readingOrder="1"/>
    </xf>
    <xf numFmtId="3" fontId="53" fillId="11" borderId="0" xfId="0" applyNumberFormat="1" applyFont="1" applyFill="1" applyAlignment="1">
      <alignment horizontal="right" vertical="top" readingOrder="1"/>
    </xf>
    <xf numFmtId="0" fontId="53" fillId="11" borderId="0" xfId="0" applyFont="1" applyFill="1" applyAlignment="1">
      <alignment horizontal="right" vertical="top" readingOrder="1"/>
    </xf>
    <xf numFmtId="3" fontId="3" fillId="11" borderId="0" xfId="0" applyNumberFormat="1" applyFont="1" applyFill="1" applyAlignment="1">
      <alignment horizontal="right" vertical="top" readingOrder="1"/>
    </xf>
    <xf numFmtId="3" fontId="34" fillId="4" borderId="0" xfId="0" applyNumberFormat="1" applyFont="1" applyFill="1" applyAlignment="1">
      <alignment horizontal="left" vertical="top" wrapText="1" readingOrder="1"/>
    </xf>
    <xf numFmtId="0" fontId="54" fillId="6" borderId="33" xfId="0" applyFont="1" applyFill="1" applyBorder="1" applyAlignment="1">
      <alignment horizontal="center" vertical="top" readingOrder="1"/>
    </xf>
    <xf numFmtId="41" fontId="0" fillId="0" borderId="0" xfId="0" applyNumberFormat="1" applyAlignment="1">
      <alignment vertical="top"/>
    </xf>
    <xf numFmtId="0" fontId="31" fillId="6" borderId="0" xfId="0" applyFont="1" applyFill="1" applyAlignment="1">
      <alignment vertical="top"/>
    </xf>
    <xf numFmtId="41" fontId="5" fillId="11" borderId="0" xfId="0" applyNumberFormat="1" applyFont="1" applyFill="1" applyAlignment="1">
      <alignment horizontal="right" vertical="top"/>
    </xf>
    <xf numFmtId="181" fontId="5" fillId="11" borderId="0" xfId="0" applyNumberFormat="1" applyFont="1" applyFill="1" applyAlignment="1">
      <alignment horizontal="right" vertical="top"/>
    </xf>
    <xf numFmtId="41" fontId="6" fillId="0" borderId="1" xfId="0" applyNumberFormat="1" applyFont="1" applyBorder="1" applyAlignment="1">
      <alignment horizontal="right" vertical="center" readingOrder="1"/>
    </xf>
    <xf numFmtId="41" fontId="1" fillId="0" borderId="1" xfId="0" applyNumberFormat="1" applyFont="1" applyBorder="1" applyAlignment="1">
      <alignment horizontal="right" vertical="center" readingOrder="1"/>
    </xf>
    <xf numFmtId="41" fontId="5" fillId="11" borderId="0" xfId="0" applyNumberFormat="1" applyFont="1" applyFill="1" applyAlignment="1">
      <alignment vertical="top"/>
    </xf>
    <xf numFmtId="0" fontId="51" fillId="0" borderId="1" xfId="0" applyFont="1" applyBorder="1" applyAlignment="1">
      <alignment horizontal="left" vertical="top" wrapText="1" readingOrder="1"/>
    </xf>
    <xf numFmtId="0" fontId="6" fillId="0" borderId="0" xfId="0" applyFont="1" applyAlignment="1">
      <alignment horizontal="left" vertical="top" wrapText="1" readingOrder="1"/>
    </xf>
    <xf numFmtId="0" fontId="46" fillId="4" borderId="0" xfId="0" applyFont="1" applyFill="1" applyAlignment="1">
      <alignment horizontal="left" vertical="center" wrapText="1" readingOrder="1"/>
    </xf>
    <xf numFmtId="0" fontId="16" fillId="4" borderId="33" xfId="0" applyFont="1" applyFill="1" applyBorder="1" applyAlignment="1">
      <alignment horizontal="center" vertical="top" wrapText="1" readingOrder="1"/>
    </xf>
    <xf numFmtId="0" fontId="19" fillId="4" borderId="1" xfId="0" applyFont="1" applyFill="1" applyBorder="1" applyAlignment="1">
      <alignment horizontal="center" vertical="center" wrapText="1" readingOrder="1"/>
    </xf>
    <xf numFmtId="181" fontId="5" fillId="0" borderId="0" xfId="0" applyNumberFormat="1" applyFont="1" applyAlignment="1">
      <alignment horizontal="right" vertical="top"/>
    </xf>
    <xf numFmtId="182" fontId="1" fillId="0" borderId="1" xfId="0" applyNumberFormat="1" applyFont="1" applyBorder="1" applyAlignment="1">
      <alignment horizontal="right" vertical="top" wrapText="1" readingOrder="1"/>
    </xf>
    <xf numFmtId="182" fontId="1" fillId="11" borderId="0" xfId="0" applyNumberFormat="1" applyFont="1" applyFill="1" applyAlignment="1">
      <alignment horizontal="right" vertical="top" wrapText="1" readingOrder="1"/>
    </xf>
    <xf numFmtId="9" fontId="5" fillId="11" borderId="0" xfId="0" applyNumberFormat="1" applyFont="1" applyFill="1" applyAlignment="1">
      <alignment vertical="center"/>
    </xf>
    <xf numFmtId="41" fontId="5" fillId="11" borderId="0" xfId="0" applyNumberFormat="1" applyFont="1" applyFill="1" applyAlignment="1">
      <alignment vertical="center"/>
    </xf>
    <xf numFmtId="9" fontId="5" fillId="11" borderId="0" xfId="2" applyFont="1" applyFill="1" applyBorder="1" applyAlignment="1">
      <alignment vertical="center"/>
    </xf>
    <xf numFmtId="41" fontId="6" fillId="0" borderId="1" xfId="0" applyNumberFormat="1" applyFont="1" applyBorder="1" applyAlignment="1">
      <alignment horizontal="right" wrapText="1" readingOrder="1"/>
    </xf>
    <xf numFmtId="182" fontId="55" fillId="11" borderId="0" xfId="0" applyNumberFormat="1" applyFont="1" applyFill="1" applyAlignment="1">
      <alignment horizontal="right" vertical="top" wrapText="1" readingOrder="1"/>
    </xf>
    <xf numFmtId="0" fontId="5" fillId="0" borderId="1" xfId="0" applyFont="1" applyBorder="1" applyAlignment="1">
      <alignment horizontal="left" vertical="top" wrapText="1"/>
    </xf>
    <xf numFmtId="41" fontId="5" fillId="0" borderId="1" xfId="0" applyNumberFormat="1" applyFont="1" applyBorder="1" applyAlignment="1">
      <alignment vertical="center"/>
    </xf>
    <xf numFmtId="0" fontId="5" fillId="0" borderId="1" xfId="0" applyFont="1" applyBorder="1" applyAlignment="1">
      <alignment horizontal="left" vertical="center"/>
    </xf>
    <xf numFmtId="41" fontId="5" fillId="0" borderId="1" xfId="0" applyNumberFormat="1" applyFont="1" applyBorder="1" applyAlignment="1">
      <alignment horizontal="center" vertical="center"/>
    </xf>
    <xf numFmtId="183" fontId="1" fillId="0" borderId="34" xfId="0" applyNumberFormat="1" applyFont="1" applyBorder="1" applyAlignment="1">
      <alignment horizontal="center" vertical="center" wrapText="1" readingOrder="1"/>
    </xf>
    <xf numFmtId="10" fontId="1" fillId="0" borderId="34" xfId="0" applyNumberFormat="1" applyFont="1" applyBorder="1" applyAlignment="1">
      <alignment horizontal="center" vertical="center" wrapText="1" readingOrder="1"/>
    </xf>
    <xf numFmtId="0" fontId="9" fillId="2" borderId="0" xfId="0" applyFont="1" applyFill="1" applyAlignment="1">
      <alignment horizontal="center"/>
    </xf>
    <xf numFmtId="0" fontId="20" fillId="0" borderId="12" xfId="0" applyFont="1" applyBorder="1" applyAlignment="1">
      <alignment horizontal="center"/>
    </xf>
    <xf numFmtId="0" fontId="19" fillId="6" borderId="6" xfId="0" applyFont="1" applyFill="1" applyBorder="1" applyAlignment="1">
      <alignment horizontal="center" vertical="center" wrapText="1" readingOrder="1"/>
    </xf>
    <xf numFmtId="0" fontId="19" fillId="6" borderId="7" xfId="0" applyFont="1" applyFill="1" applyBorder="1" applyAlignment="1">
      <alignment horizontal="center" vertical="center" wrapText="1" readingOrder="1"/>
    </xf>
    <xf numFmtId="0" fontId="19" fillId="6" borderId="8" xfId="0" applyFont="1" applyFill="1" applyBorder="1" applyAlignment="1">
      <alignment horizontal="center" vertical="center" wrapText="1" readingOrder="1"/>
    </xf>
    <xf numFmtId="0" fontId="19" fillId="6" borderId="9" xfId="0" applyFont="1" applyFill="1" applyBorder="1" applyAlignment="1">
      <alignment horizontal="center" vertical="center" wrapText="1" readingOrder="1"/>
    </xf>
    <xf numFmtId="0" fontId="19" fillId="6" borderId="0" xfId="0" applyFont="1" applyFill="1" applyAlignment="1">
      <alignment horizontal="center" vertical="center" wrapText="1" readingOrder="1"/>
    </xf>
    <xf numFmtId="0" fontId="19" fillId="6" borderId="10" xfId="0" applyFont="1" applyFill="1" applyBorder="1" applyAlignment="1">
      <alignment horizontal="center" vertical="center" wrapText="1" readingOrder="1"/>
    </xf>
    <xf numFmtId="0" fontId="20" fillId="0" borderId="11" xfId="0" applyFont="1" applyBorder="1" applyAlignment="1">
      <alignment horizontal="center"/>
    </xf>
    <xf numFmtId="0" fontId="8" fillId="0" borderId="3" xfId="0" applyFont="1" applyBorder="1" applyAlignment="1">
      <alignment horizontal="left" vertical="center" wrapText="1" readingOrder="1"/>
    </xf>
    <xf numFmtId="0" fontId="8" fillId="0" borderId="4" xfId="0" applyFont="1" applyBorder="1" applyAlignment="1">
      <alignment horizontal="left" vertical="center" wrapText="1" readingOrder="1"/>
    </xf>
    <xf numFmtId="0" fontId="8" fillId="0" borderId="5" xfId="0" applyFont="1" applyBorder="1" applyAlignment="1">
      <alignment horizontal="left" vertical="center" wrapText="1" readingOrder="1"/>
    </xf>
    <xf numFmtId="16" fontId="1" fillId="0" borderId="24" xfId="0" applyNumberFormat="1" applyFont="1" applyBorder="1" applyAlignment="1">
      <alignment horizontal="left" vertical="center" wrapText="1" readingOrder="1"/>
    </xf>
    <xf numFmtId="16" fontId="1" fillId="0" borderId="25" xfId="0" applyNumberFormat="1" applyFont="1" applyBorder="1" applyAlignment="1">
      <alignment horizontal="left" vertical="center" wrapText="1" readingOrder="1"/>
    </xf>
    <xf numFmtId="16" fontId="1" fillId="0" borderId="26" xfId="0" applyNumberFormat="1" applyFont="1" applyBorder="1" applyAlignment="1">
      <alignment horizontal="left" vertical="center" wrapText="1" readingOrder="1"/>
    </xf>
    <xf numFmtId="0" fontId="14" fillId="0" borderId="18" xfId="0" applyFont="1" applyBorder="1" applyAlignment="1">
      <alignment horizontal="left" vertical="center" wrapText="1" readingOrder="1"/>
    </xf>
    <xf numFmtId="0" fontId="14" fillId="0" borderId="19" xfId="0" applyFont="1" applyBorder="1" applyAlignment="1">
      <alignment horizontal="left" vertical="center" wrapText="1" readingOrder="1"/>
    </xf>
    <xf numFmtId="0" fontId="14" fillId="0" borderId="20" xfId="0" applyFont="1" applyBorder="1" applyAlignment="1">
      <alignment horizontal="left" vertical="center" wrapText="1" readingOrder="1"/>
    </xf>
    <xf numFmtId="0" fontId="19" fillId="6" borderId="1" xfId="0" applyFont="1" applyFill="1" applyBorder="1" applyAlignment="1">
      <alignment horizontal="center" vertical="center" wrapText="1" readingOrder="1"/>
    </xf>
    <xf numFmtId="0" fontId="13" fillId="3" borderId="1" xfId="0" applyFont="1" applyFill="1" applyBorder="1" applyAlignment="1">
      <alignment horizontal="left" vertical="center" wrapText="1" readingOrder="1"/>
    </xf>
    <xf numFmtId="0" fontId="14" fillId="0" borderId="58" xfId="0" applyFont="1" applyBorder="1" applyAlignment="1">
      <alignment horizontal="left" vertical="center" wrapText="1" readingOrder="1"/>
    </xf>
    <xf numFmtId="0" fontId="14" fillId="0" borderId="59" xfId="0" applyFont="1" applyBorder="1" applyAlignment="1">
      <alignment horizontal="left" vertical="center" wrapText="1" readingOrder="1"/>
    </xf>
    <xf numFmtId="0" fontId="14" fillId="0" borderId="60" xfId="0" applyFont="1" applyBorder="1" applyAlignment="1">
      <alignment horizontal="left" vertical="center" wrapText="1" readingOrder="1"/>
    </xf>
    <xf numFmtId="0" fontId="8" fillId="0" borderId="18" xfId="0" applyFont="1" applyBorder="1" applyAlignment="1">
      <alignment horizontal="left" vertical="center" wrapText="1" readingOrder="1"/>
    </xf>
    <xf numFmtId="0" fontId="8" fillId="0" borderId="19" xfId="0" applyFont="1" applyBorder="1" applyAlignment="1">
      <alignment horizontal="left" vertical="center" wrapText="1" readingOrder="1"/>
    </xf>
    <xf numFmtId="0" fontId="8" fillId="0" borderId="20" xfId="0" applyFont="1" applyBorder="1" applyAlignment="1">
      <alignment horizontal="left" vertical="center" wrapText="1" readingOrder="1"/>
    </xf>
    <xf numFmtId="0" fontId="1" fillId="0" borderId="13" xfId="0" applyFont="1" applyBorder="1" applyAlignment="1">
      <alignment horizontal="center" wrapText="1" readingOrder="1"/>
    </xf>
    <xf numFmtId="0" fontId="1" fillId="0" borderId="14" xfId="0" applyFont="1" applyBorder="1" applyAlignment="1">
      <alignment horizontal="center" wrapText="1" readingOrder="1"/>
    </xf>
    <xf numFmtId="0" fontId="1" fillId="0" borderId="15" xfId="0" applyFont="1" applyBorder="1" applyAlignment="1">
      <alignment horizontal="center" wrapText="1" readingOrder="1"/>
    </xf>
    <xf numFmtId="0" fontId="8" fillId="0" borderId="1" xfId="0" applyFont="1" applyBorder="1" applyAlignment="1">
      <alignment horizontal="left" vertical="center" wrapText="1" readingOrder="1"/>
    </xf>
    <xf numFmtId="0" fontId="1" fillId="0" borderId="13" xfId="0" applyFont="1" applyBorder="1" applyAlignment="1">
      <alignment horizontal="left" vertical="center" wrapText="1" readingOrder="1"/>
    </xf>
    <xf numFmtId="0" fontId="1" fillId="0" borderId="14" xfId="0" applyFont="1" applyBorder="1" applyAlignment="1">
      <alignment horizontal="left" vertical="center" wrapText="1" readingOrder="1"/>
    </xf>
    <xf numFmtId="0" fontId="1" fillId="0" borderId="15" xfId="0" applyFont="1" applyBorder="1" applyAlignment="1">
      <alignment horizontal="left" vertical="center" wrapText="1" readingOrder="1"/>
    </xf>
    <xf numFmtId="0" fontId="16" fillId="4" borderId="6" xfId="0" applyFont="1" applyFill="1" applyBorder="1" applyAlignment="1">
      <alignment horizontal="center" vertical="center" wrapText="1" readingOrder="1"/>
    </xf>
    <xf numFmtId="0" fontId="16" fillId="4" borderId="7" xfId="0" applyFont="1" applyFill="1" applyBorder="1" applyAlignment="1">
      <alignment horizontal="center" vertical="center" wrapText="1" readingOrder="1"/>
    </xf>
    <xf numFmtId="0" fontId="16" fillId="4" borderId="8" xfId="0" applyFont="1" applyFill="1" applyBorder="1" applyAlignment="1">
      <alignment horizontal="center" vertical="center" wrapText="1" readingOrder="1"/>
    </xf>
    <xf numFmtId="0" fontId="16" fillId="4" borderId="9" xfId="0" applyFont="1" applyFill="1" applyBorder="1" applyAlignment="1">
      <alignment horizontal="center" vertical="center" wrapText="1" readingOrder="1"/>
    </xf>
    <xf numFmtId="0" fontId="16" fillId="4" borderId="0" xfId="0" applyFont="1" applyFill="1" applyAlignment="1">
      <alignment horizontal="center" vertical="center" wrapText="1" readingOrder="1"/>
    </xf>
    <xf numFmtId="0" fontId="16" fillId="4" borderId="10" xfId="0" applyFont="1" applyFill="1" applyBorder="1" applyAlignment="1">
      <alignment horizontal="center" vertical="center" wrapText="1" readingOrder="1"/>
    </xf>
    <xf numFmtId="0" fontId="2" fillId="0" borderId="27" xfId="0" applyFont="1" applyBorder="1" applyAlignment="1">
      <alignment horizontal="center" vertical="center" wrapText="1" readingOrder="1"/>
    </xf>
    <xf numFmtId="0" fontId="2" fillId="0" borderId="28" xfId="0" applyFont="1" applyBorder="1" applyAlignment="1">
      <alignment horizontal="center" vertical="center" wrapText="1" readingOrder="1"/>
    </xf>
    <xf numFmtId="0" fontId="2" fillId="0" borderId="29" xfId="0" applyFont="1" applyBorder="1" applyAlignment="1">
      <alignment horizontal="center" vertical="center" wrapText="1" readingOrder="1"/>
    </xf>
    <xf numFmtId="0" fontId="2" fillId="0" borderId="30" xfId="0" applyFont="1" applyBorder="1" applyAlignment="1">
      <alignment horizontal="center" vertical="center" wrapText="1" readingOrder="1"/>
    </xf>
    <xf numFmtId="0" fontId="2" fillId="0" borderId="31" xfId="0" applyFont="1" applyBorder="1" applyAlignment="1">
      <alignment horizontal="center" vertical="center" wrapText="1" readingOrder="1"/>
    </xf>
    <xf numFmtId="0" fontId="2" fillId="0" borderId="32" xfId="0" applyFont="1" applyBorder="1" applyAlignment="1">
      <alignment horizontal="center" vertical="center" wrapText="1" readingOrder="1"/>
    </xf>
    <xf numFmtId="0" fontId="8" fillId="0" borderId="3" xfId="0" applyFont="1" applyBorder="1" applyAlignment="1">
      <alignment horizontal="left" vertical="top" wrapText="1" readingOrder="1"/>
    </xf>
    <xf numFmtId="0" fontId="8" fillId="0" borderId="4" xfId="0" applyFont="1" applyBorder="1" applyAlignment="1">
      <alignment horizontal="left" vertical="top" wrapText="1" readingOrder="1"/>
    </xf>
    <xf numFmtId="0" fontId="8" fillId="0" borderId="5" xfId="0" applyFont="1" applyBorder="1" applyAlignment="1">
      <alignment horizontal="left" vertical="top" wrapText="1" readingOrder="1"/>
    </xf>
    <xf numFmtId="0" fontId="17" fillId="0" borderId="6" xfId="0" applyFont="1" applyBorder="1" applyAlignment="1">
      <alignment horizontal="center" vertical="center" wrapText="1" readingOrder="1"/>
    </xf>
    <xf numFmtId="0" fontId="17" fillId="0" borderId="7" xfId="0" applyFont="1" applyBorder="1" applyAlignment="1">
      <alignment horizontal="center" vertical="center" wrapText="1" readingOrder="1"/>
    </xf>
    <xf numFmtId="0" fontId="17" fillId="0" borderId="8" xfId="0" applyFont="1" applyBorder="1" applyAlignment="1">
      <alignment horizontal="center" vertical="center" wrapText="1" readingOrder="1"/>
    </xf>
    <xf numFmtId="0" fontId="17" fillId="0" borderId="9" xfId="0" applyFont="1" applyBorder="1" applyAlignment="1">
      <alignment horizontal="center" vertical="center" wrapText="1" readingOrder="1"/>
    </xf>
    <xf numFmtId="0" fontId="17" fillId="0" borderId="0" xfId="0" applyFont="1" applyAlignment="1">
      <alignment horizontal="center" vertical="center" wrapText="1" readingOrder="1"/>
    </xf>
    <xf numFmtId="0" fontId="17" fillId="0" borderId="10" xfId="0" applyFont="1" applyBorder="1" applyAlignment="1">
      <alignment horizontal="center" vertical="center" wrapText="1" readingOrder="1"/>
    </xf>
    <xf numFmtId="0" fontId="17" fillId="0" borderId="21" xfId="0" applyFont="1" applyBorder="1" applyAlignment="1">
      <alignment horizontal="center" vertical="center" wrapText="1" readingOrder="1"/>
    </xf>
    <xf numFmtId="0" fontId="17" fillId="0" borderId="11" xfId="0" applyFont="1" applyBorder="1" applyAlignment="1">
      <alignment horizontal="center" vertical="center" wrapText="1" readingOrder="1"/>
    </xf>
    <xf numFmtId="0" fontId="17" fillId="0" borderId="22" xfId="0" applyFont="1" applyBorder="1" applyAlignment="1">
      <alignment horizontal="center" vertical="center" wrapText="1" readingOrder="1"/>
    </xf>
    <xf numFmtId="0" fontId="19" fillId="4" borderId="23" xfId="0" applyFont="1" applyFill="1" applyBorder="1" applyAlignment="1">
      <alignment horizontal="center" vertical="top" wrapText="1" readingOrder="1"/>
    </xf>
    <xf numFmtId="0" fontId="19" fillId="4" borderId="57" xfId="0" applyFont="1" applyFill="1" applyBorder="1" applyAlignment="1">
      <alignment horizontal="center" vertical="top" wrapText="1" readingOrder="1"/>
    </xf>
    <xf numFmtId="0" fontId="19" fillId="4" borderId="18" xfId="0" applyFont="1" applyFill="1" applyBorder="1" applyAlignment="1">
      <alignment horizontal="center" vertical="top" wrapText="1" readingOrder="1"/>
    </xf>
    <xf numFmtId="0" fontId="19" fillId="4" borderId="20" xfId="0" applyFont="1" applyFill="1" applyBorder="1" applyAlignment="1">
      <alignment horizontal="center" vertical="top" wrapText="1" readingOrder="1"/>
    </xf>
    <xf numFmtId="0" fontId="8" fillId="0" borderId="6" xfId="0" applyFont="1" applyBorder="1" applyAlignment="1">
      <alignment horizontal="center" vertical="center" wrapText="1" readingOrder="1"/>
    </xf>
    <xf numFmtId="0" fontId="8" fillId="0" borderId="7" xfId="0" applyFont="1" applyBorder="1" applyAlignment="1">
      <alignment horizontal="center" vertical="center" wrapText="1" readingOrder="1"/>
    </xf>
    <xf numFmtId="0" fontId="8" fillId="0" borderId="8" xfId="0" applyFont="1" applyBorder="1" applyAlignment="1">
      <alignment horizontal="center" vertical="center" wrapText="1" readingOrder="1"/>
    </xf>
    <xf numFmtId="0" fontId="8" fillId="0" borderId="9" xfId="0" applyFont="1" applyBorder="1" applyAlignment="1">
      <alignment horizontal="center" vertical="center" wrapText="1" readingOrder="1"/>
    </xf>
    <xf numFmtId="0" fontId="8" fillId="0" borderId="0" xfId="0" applyFont="1" applyAlignment="1">
      <alignment horizontal="center" vertical="center" wrapText="1" readingOrder="1"/>
    </xf>
    <xf numFmtId="0" fontId="8" fillId="0" borderId="10" xfId="0" applyFont="1" applyBorder="1" applyAlignment="1">
      <alignment horizontal="center" vertical="center" wrapText="1" readingOrder="1"/>
    </xf>
    <xf numFmtId="0" fontId="47" fillId="0" borderId="1" xfId="0" applyFont="1" applyBorder="1" applyAlignment="1">
      <alignment horizontal="center"/>
    </xf>
    <xf numFmtId="0" fontId="35" fillId="0" borderId="0" xfId="0" applyFont="1" applyAlignment="1">
      <alignment horizontal="left" vertical="center" wrapText="1"/>
    </xf>
    <xf numFmtId="0" fontId="6" fillId="0" borderId="1" xfId="0" applyFont="1" applyBorder="1" applyAlignment="1">
      <alignment horizontal="center" vertical="top" readingOrder="1"/>
    </xf>
    <xf numFmtId="0" fontId="41" fillId="4" borderId="1" xfId="0" applyFont="1" applyFill="1" applyBorder="1" applyAlignment="1">
      <alignment horizontal="center" vertical="center"/>
    </xf>
    <xf numFmtId="0" fontId="6" fillId="0" borderId="1" xfId="0" applyFont="1" applyBorder="1" applyAlignment="1">
      <alignment horizontal="center" vertical="top" wrapText="1" readingOrder="1"/>
    </xf>
    <xf numFmtId="0" fontId="41" fillId="4" borderId="1" xfId="0" applyFont="1" applyFill="1" applyBorder="1" applyAlignment="1">
      <alignment horizontal="center"/>
    </xf>
    <xf numFmtId="0" fontId="31" fillId="6" borderId="40" xfId="0" applyFont="1" applyFill="1" applyBorder="1" applyAlignment="1">
      <alignment horizontal="center"/>
    </xf>
    <xf numFmtId="0" fontId="31" fillId="6" borderId="41" xfId="0" applyFont="1" applyFill="1" applyBorder="1" applyAlignment="1">
      <alignment horizontal="center"/>
    </xf>
    <xf numFmtId="0" fontId="31" fillId="6" borderId="42" xfId="0" applyFont="1" applyFill="1" applyBorder="1" applyAlignment="1">
      <alignment horizontal="center"/>
    </xf>
    <xf numFmtId="0" fontId="1" fillId="0" borderId="35" xfId="0" applyFont="1" applyBorder="1" applyAlignment="1">
      <alignment horizontal="left" vertical="center" wrapText="1" readingOrder="1"/>
    </xf>
    <xf numFmtId="0" fontId="1" fillId="0" borderId="39" xfId="0" applyFont="1" applyBorder="1" applyAlignment="1">
      <alignment horizontal="left" vertical="center" wrapText="1" readingOrder="1"/>
    </xf>
    <xf numFmtId="10" fontId="1" fillId="0" borderId="35" xfId="2" applyNumberFormat="1" applyFont="1" applyBorder="1" applyAlignment="1">
      <alignment horizontal="center" vertical="center" wrapText="1" readingOrder="1"/>
    </xf>
    <xf numFmtId="10" fontId="1" fillId="0" borderId="39" xfId="2" applyNumberFormat="1" applyFont="1" applyBorder="1" applyAlignment="1">
      <alignment horizontal="center" vertical="center" wrapText="1" readingOrder="1"/>
    </xf>
    <xf numFmtId="14" fontId="0" fillId="0" borderId="13" xfId="0" applyNumberFormat="1" applyBorder="1" applyAlignment="1">
      <alignment horizontal="center" vertical="center"/>
    </xf>
    <xf numFmtId="14" fontId="0" fillId="0" borderId="14" xfId="0" applyNumberFormat="1" applyBorder="1" applyAlignment="1">
      <alignment horizontal="center" vertical="center"/>
    </xf>
    <xf numFmtId="14" fontId="0" fillId="0" borderId="15" xfId="0" applyNumberFormat="1" applyBorder="1" applyAlignment="1">
      <alignment horizontal="center" vertical="center"/>
    </xf>
    <xf numFmtId="0" fontId="0" fillId="0" borderId="13" xfId="0" applyBorder="1" applyAlignment="1">
      <alignment horizontal="center" vertical="center"/>
    </xf>
    <xf numFmtId="0" fontId="0" fillId="0" borderId="14" xfId="0" applyBorder="1" applyAlignment="1">
      <alignment horizontal="center" vertical="center"/>
    </xf>
    <xf numFmtId="0" fontId="0" fillId="0" borderId="15" xfId="0" applyBorder="1" applyAlignment="1">
      <alignment horizontal="center" vertical="center"/>
    </xf>
    <xf numFmtId="0" fontId="44" fillId="4" borderId="0" xfId="0" applyFont="1" applyFill="1" applyAlignment="1">
      <alignment horizontal="center"/>
    </xf>
    <xf numFmtId="0" fontId="30" fillId="0" borderId="1" xfId="0" applyFont="1" applyBorder="1" applyAlignment="1">
      <alignment horizontal="center"/>
    </xf>
    <xf numFmtId="0" fontId="43" fillId="4" borderId="0" xfId="0" applyFont="1" applyFill="1" applyAlignment="1">
      <alignment horizontal="center" vertical="center" wrapText="1"/>
    </xf>
    <xf numFmtId="0" fontId="43" fillId="4" borderId="29" xfId="0" applyFont="1" applyFill="1" applyBorder="1" applyAlignment="1">
      <alignment horizontal="center" vertical="center" wrapText="1"/>
    </xf>
    <xf numFmtId="0" fontId="0" fillId="0" borderId="0" xfId="0"/>
    <xf numFmtId="0" fontId="30" fillId="0" borderId="1" xfId="0" applyFont="1" applyBorder="1" applyAlignment="1">
      <alignment horizontal="center" vertical="top"/>
    </xf>
    <xf numFmtId="0" fontId="31" fillId="4" borderId="0" xfId="0" applyFont="1" applyFill="1" applyAlignment="1">
      <alignment horizontal="center" vertical="center" wrapText="1"/>
    </xf>
    <xf numFmtId="0" fontId="31" fillId="4" borderId="0" xfId="0" applyFont="1" applyFill="1" applyAlignment="1">
      <alignment horizontal="center" vertical="center"/>
    </xf>
    <xf numFmtId="0" fontId="30" fillId="0" borderId="12" xfId="0" applyFont="1" applyBorder="1" applyAlignment="1">
      <alignment horizontal="center"/>
    </xf>
    <xf numFmtId="0" fontId="30" fillId="0" borderId="41" xfId="0" applyFont="1" applyBorder="1" applyAlignment="1">
      <alignment horizontal="center"/>
    </xf>
    <xf numFmtId="0" fontId="16" fillId="4" borderId="1" xfId="0" applyFont="1" applyFill="1" applyBorder="1" applyAlignment="1">
      <alignment horizontal="center" vertical="top" wrapText="1" readingOrder="1"/>
    </xf>
    <xf numFmtId="0" fontId="47" fillId="0" borderId="1" xfId="0" applyFont="1" applyBorder="1" applyAlignment="1">
      <alignment horizontal="left"/>
    </xf>
    <xf numFmtId="0" fontId="47" fillId="0" borderId="1" xfId="0" applyFont="1" applyBorder="1" applyAlignment="1">
      <alignment horizontal="left" vertical="center"/>
    </xf>
    <xf numFmtId="0" fontId="47" fillId="0" borderId="12" xfId="0" applyFont="1" applyBorder="1" applyAlignment="1">
      <alignment horizontal="left"/>
    </xf>
    <xf numFmtId="0" fontId="38" fillId="6" borderId="1" xfId="0" applyFont="1" applyFill="1" applyBorder="1" applyAlignment="1">
      <alignment horizontal="center" vertical="top" wrapText="1" readingOrder="1"/>
    </xf>
    <xf numFmtId="0" fontId="5" fillId="0" borderId="1" xfId="0" applyFont="1" applyBorder="1" applyAlignment="1">
      <alignment horizontal="left"/>
    </xf>
    <xf numFmtId="0" fontId="5" fillId="0" borderId="40" xfId="0" applyFont="1" applyBorder="1" applyAlignment="1">
      <alignment horizontal="left"/>
    </xf>
    <xf numFmtId="0" fontId="5" fillId="0" borderId="41" xfId="0" applyFont="1" applyBorder="1" applyAlignment="1">
      <alignment horizontal="left"/>
    </xf>
    <xf numFmtId="0" fontId="5" fillId="0" borderId="42" xfId="0" applyFont="1" applyBorder="1" applyAlignment="1">
      <alignment horizontal="left"/>
    </xf>
    <xf numFmtId="0" fontId="16" fillId="4" borderId="43" xfId="0" applyFont="1" applyFill="1" applyBorder="1" applyAlignment="1">
      <alignment horizontal="center" vertical="center" wrapText="1" readingOrder="1"/>
    </xf>
    <xf numFmtId="0" fontId="16" fillId="4" borderId="44" xfId="0" applyFont="1" applyFill="1" applyBorder="1" applyAlignment="1">
      <alignment horizontal="center" vertical="center" wrapText="1" readingOrder="1"/>
    </xf>
    <xf numFmtId="0" fontId="16" fillId="4" borderId="48" xfId="0" applyFont="1" applyFill="1" applyBorder="1" applyAlignment="1">
      <alignment horizontal="center" vertical="center" wrapText="1" readingOrder="1"/>
    </xf>
    <xf numFmtId="0" fontId="16" fillId="4" borderId="49" xfId="0" applyFont="1" applyFill="1" applyBorder="1" applyAlignment="1">
      <alignment horizontal="center" vertical="center" wrapText="1" readingOrder="1"/>
    </xf>
    <xf numFmtId="0" fontId="38" fillId="4" borderId="51" xfId="0" applyFont="1" applyFill="1" applyBorder="1" applyAlignment="1">
      <alignment horizontal="left" vertical="center" wrapText="1" indent="1" readingOrder="1"/>
    </xf>
    <xf numFmtId="0" fontId="38" fillId="4" borderId="55" xfId="0" applyFont="1" applyFill="1" applyBorder="1" applyAlignment="1">
      <alignment horizontal="left" vertical="center" wrapText="1" indent="1" readingOrder="1"/>
    </xf>
    <xf numFmtId="0" fontId="16" fillId="4" borderId="52" xfId="0" applyFont="1" applyFill="1" applyBorder="1" applyAlignment="1">
      <alignment horizontal="center" vertical="center" wrapText="1" readingOrder="1"/>
    </xf>
    <xf numFmtId="0" fontId="16" fillId="4" borderId="53" xfId="0" applyFont="1" applyFill="1" applyBorder="1" applyAlignment="1">
      <alignment horizontal="center" vertical="center" wrapText="1" readingOrder="1"/>
    </xf>
    <xf numFmtId="0" fontId="16" fillId="4" borderId="54" xfId="0" applyFont="1" applyFill="1" applyBorder="1" applyAlignment="1">
      <alignment horizontal="center" vertical="center" wrapText="1" readingOrder="1"/>
    </xf>
    <xf numFmtId="0" fontId="16" fillId="4" borderId="46" xfId="0" applyFont="1" applyFill="1" applyBorder="1" applyAlignment="1">
      <alignment horizontal="center" vertical="center" wrapText="1" readingOrder="1"/>
    </xf>
    <xf numFmtId="0" fontId="16" fillId="4" borderId="1" xfId="0" applyFont="1" applyFill="1" applyBorder="1" applyAlignment="1">
      <alignment horizontal="center" vertical="center" wrapText="1" readingOrder="1"/>
    </xf>
    <xf numFmtId="0" fontId="7" fillId="4" borderId="1" xfId="0" applyFont="1" applyFill="1" applyBorder="1" applyAlignment="1">
      <alignment horizontal="left" vertical="center" wrapText="1" indent="1"/>
    </xf>
    <xf numFmtId="43" fontId="8" fillId="0" borderId="1" xfId="0" applyNumberFormat="1" applyFont="1" applyBorder="1" applyAlignment="1">
      <alignment horizontal="left" vertical="center" wrapText="1" readingOrder="1"/>
    </xf>
    <xf numFmtId="0" fontId="38" fillId="4" borderId="1" xfId="0" applyFont="1" applyFill="1" applyBorder="1" applyAlignment="1">
      <alignment horizontal="center" vertical="center" wrapText="1" readingOrder="1"/>
    </xf>
    <xf numFmtId="0" fontId="38" fillId="4" borderId="40" xfId="0" applyFont="1" applyFill="1" applyBorder="1" applyAlignment="1">
      <alignment horizontal="center" vertical="center" wrapText="1" readingOrder="1"/>
    </xf>
    <xf numFmtId="43" fontId="16" fillId="4" borderId="1" xfId="0" applyNumberFormat="1" applyFont="1" applyFill="1" applyBorder="1" applyAlignment="1">
      <alignment horizontal="center" vertical="center" wrapText="1" readingOrder="1"/>
    </xf>
    <xf numFmtId="43" fontId="16" fillId="4" borderId="1" xfId="0" applyNumberFormat="1" applyFont="1" applyFill="1" applyBorder="1" applyAlignment="1">
      <alignment horizontal="left" vertical="center" wrapText="1" indent="1" readingOrder="1"/>
    </xf>
    <xf numFmtId="0" fontId="16" fillId="4" borderId="45" xfId="0" applyFont="1" applyFill="1" applyBorder="1" applyAlignment="1">
      <alignment horizontal="center" vertical="center" wrapText="1" readingOrder="1"/>
    </xf>
    <xf numFmtId="0" fontId="16" fillId="4" borderId="50" xfId="0" applyFont="1" applyFill="1" applyBorder="1" applyAlignment="1">
      <alignment horizontal="center" vertical="center" wrapText="1" readingOrder="1"/>
    </xf>
    <xf numFmtId="0" fontId="38" fillId="4" borderId="43" xfId="0" applyFont="1" applyFill="1" applyBorder="1" applyAlignment="1">
      <alignment horizontal="center" vertical="center" wrapText="1" readingOrder="1"/>
    </xf>
    <xf numFmtId="0" fontId="38" fillId="4" borderId="44" xfId="0" applyFont="1" applyFill="1" applyBorder="1" applyAlignment="1">
      <alignment horizontal="center" vertical="center" wrapText="1" readingOrder="1"/>
    </xf>
    <xf numFmtId="0" fontId="38" fillId="4" borderId="45" xfId="0" applyFont="1" applyFill="1" applyBorder="1" applyAlignment="1">
      <alignment horizontal="center" vertical="center" wrapText="1" readingOrder="1"/>
    </xf>
    <xf numFmtId="0" fontId="38" fillId="4" borderId="46" xfId="0" applyFont="1" applyFill="1" applyBorder="1" applyAlignment="1">
      <alignment horizontal="center" vertical="center" wrapText="1" readingOrder="1"/>
    </xf>
    <xf numFmtId="0" fontId="38" fillId="4" borderId="0" xfId="0" applyFont="1" applyFill="1" applyAlignment="1">
      <alignment horizontal="center" vertical="center" wrapText="1" readingOrder="1"/>
    </xf>
    <xf numFmtId="0" fontId="38" fillId="4" borderId="47" xfId="0" applyFont="1" applyFill="1" applyBorder="1" applyAlignment="1">
      <alignment horizontal="center" vertical="center" wrapText="1" readingOrder="1"/>
    </xf>
    <xf numFmtId="0" fontId="49" fillId="4" borderId="48" xfId="0" applyFont="1" applyFill="1" applyBorder="1" applyAlignment="1">
      <alignment horizontal="center" vertical="center" wrapText="1" readingOrder="1"/>
    </xf>
    <xf numFmtId="0" fontId="49" fillId="4" borderId="49" xfId="0" applyFont="1" applyFill="1" applyBorder="1" applyAlignment="1">
      <alignment horizontal="center" vertical="center" wrapText="1" readingOrder="1"/>
    </xf>
    <xf numFmtId="0" fontId="49" fillId="4" borderId="50" xfId="0" applyFont="1" applyFill="1" applyBorder="1" applyAlignment="1">
      <alignment horizontal="center" vertical="center" wrapText="1" readingOrder="1"/>
    </xf>
    <xf numFmtId="0" fontId="38" fillId="4" borderId="48" xfId="0" applyFont="1" applyFill="1" applyBorder="1" applyAlignment="1">
      <alignment horizontal="center" vertical="center" wrapText="1" readingOrder="1"/>
    </xf>
    <xf numFmtId="0" fontId="38" fillId="4" borderId="49" xfId="0" applyFont="1" applyFill="1" applyBorder="1" applyAlignment="1">
      <alignment horizontal="center" vertical="center" wrapText="1" readingOrder="1"/>
    </xf>
    <xf numFmtId="0" fontId="38" fillId="4" borderId="50" xfId="0" applyFont="1" applyFill="1" applyBorder="1" applyAlignment="1">
      <alignment horizontal="center" vertical="center" wrapText="1" readingOrder="1"/>
    </xf>
    <xf numFmtId="0" fontId="7" fillId="4" borderId="51" xfId="0" applyFont="1" applyFill="1" applyBorder="1" applyAlignment="1">
      <alignment horizontal="left" vertical="center" wrapText="1" indent="1"/>
    </xf>
    <xf numFmtId="0" fontId="7" fillId="4" borderId="55" xfId="0" applyFont="1" applyFill="1" applyBorder="1" applyAlignment="1">
      <alignment horizontal="left" vertical="center" wrapText="1" indent="1"/>
    </xf>
    <xf numFmtId="0" fontId="38" fillId="4" borderId="52" xfId="0" applyFont="1" applyFill="1" applyBorder="1" applyAlignment="1">
      <alignment horizontal="center" vertical="center" wrapText="1" readingOrder="1"/>
    </xf>
    <xf numFmtId="0" fontId="38" fillId="4" borderId="53" xfId="0" applyFont="1" applyFill="1" applyBorder="1" applyAlignment="1">
      <alignment horizontal="center" vertical="center" wrapText="1" readingOrder="1"/>
    </xf>
    <xf numFmtId="0" fontId="38" fillId="4" borderId="54" xfId="0" applyFont="1" applyFill="1" applyBorder="1" applyAlignment="1">
      <alignment horizontal="center" vertical="center" wrapText="1" readingOrder="1"/>
    </xf>
    <xf numFmtId="0" fontId="16" fillId="6" borderId="1" xfId="0" applyFont="1" applyFill="1" applyBorder="1" applyAlignment="1">
      <alignment horizontal="center" vertical="center" wrapText="1" readingOrder="1"/>
    </xf>
  </cellXfs>
  <cellStyles count="3">
    <cellStyle name="Currency" xfId="1" builtinId="4"/>
    <cellStyle name="Normal" xfId="0" builtinId="0"/>
    <cellStyle name="Percent" xfId="2" builtinId="5"/>
  </cellStyles>
  <dxfs count="0"/>
  <tableStyles count="0" defaultTableStyle="TableStyleMedium2" defaultPivotStyle="PivotStyleLight16"/>
  <colors>
    <mruColors>
      <color rgb="FF006666"/>
      <color rgb="FF00808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sheetMetadata" Target="metadata.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0" Type="http://schemas.openxmlformats.org/officeDocument/2006/relationships/worksheet" Target="worksheets/sheet20.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s>
</file>

<file path=xl/drawings/_rels/drawing6.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3" Type="http://schemas.openxmlformats.org/officeDocument/2006/relationships/image" Target="../media/image6.png"/><Relationship Id="rId2" Type="http://schemas.openxmlformats.org/officeDocument/2006/relationships/image" Target="../media/image5.png"/><Relationship Id="rId1" Type="http://schemas.openxmlformats.org/officeDocument/2006/relationships/image" Target="../media/image4.png"/></Relationships>
</file>

<file path=xl/drawings/_rels/drawing8.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5.png"/><Relationship Id="rId1" Type="http://schemas.openxmlformats.org/officeDocument/2006/relationships/image" Target="../media/image4.png"/></Relationships>
</file>

<file path=xl/drawings/_rels/drawing9.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8.png"/><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oneCellAnchor>
    <xdr:from>
      <xdr:col>0</xdr:col>
      <xdr:colOff>9525</xdr:colOff>
      <xdr:row>3</xdr:row>
      <xdr:rowOff>47625</xdr:rowOff>
    </xdr:from>
    <xdr:ext cx="7649915" cy="760208"/>
    <xdr:sp macro="" textlink="">
      <xdr:nvSpPr>
        <xdr:cNvPr id="2" name="TextBox 1">
          <a:extLst>
            <a:ext uri="{FF2B5EF4-FFF2-40B4-BE49-F238E27FC236}">
              <a16:creationId xmlns:a16="http://schemas.microsoft.com/office/drawing/2014/main" id="{69EF55C1-A7E3-0CF9-E624-A7634F641E9C}"/>
            </a:ext>
          </a:extLst>
        </xdr:cNvPr>
        <xdr:cNvSpPr txBox="1"/>
      </xdr:nvSpPr>
      <xdr:spPr>
        <a:xfrm>
          <a:off x="9525" y="47625"/>
          <a:ext cx="7649915" cy="760208"/>
        </a:xfrm>
        <a:prstGeom prst="rect">
          <a:avLst/>
        </a:prstGeom>
        <a:solidFill>
          <a:schemeClr val="bg2"/>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marL="0" marR="0" lvl="0" indent="0" algn="l" defTabSz="914400" rtl="0" eaLnBrk="1" fontAlgn="auto" latinLnBrk="0" hangingPunct="1">
            <a:lnSpc>
              <a:spcPct val="115000"/>
            </a:lnSpc>
            <a:spcBef>
              <a:spcPts val="0"/>
            </a:spcBef>
            <a:spcAft>
              <a:spcPts val="0"/>
            </a:spcAft>
            <a:buClr>
              <a:srgbClr val="000000"/>
            </a:buClr>
            <a:buSzPts val="1100"/>
            <a:buFont typeface="Arial"/>
            <a:buNone/>
            <a:tabLst/>
            <a:defRPr/>
          </a:pPr>
          <a:r>
            <a:rPr kumimoji="0" lang="en-ID" sz="1400" b="0" i="0" u="none" strike="noStrike" kern="0" cap="none" spc="0" normalizeH="0" baseline="0" noProof="0" dirty="0">
              <a:ln>
                <a:noFill/>
              </a:ln>
              <a:solidFill>
                <a:srgbClr val="000000"/>
              </a:solidFill>
              <a:effectLst/>
              <a:uLnTx/>
              <a:uFillTx/>
              <a:latin typeface="Roboto"/>
              <a:ea typeface="Roboto"/>
              <a:cs typeface="Roboto"/>
              <a:sym typeface="Roboto"/>
            </a:rPr>
            <a:t>Saldo piutang PT Taman Sari pada tanggal 31 Desember 2023 adalah sebesar Rp 25.500.000 </a:t>
          </a:r>
        </a:p>
        <a:p>
          <a:pPr marL="0" marR="0" lvl="0" indent="0" algn="l" defTabSz="914400" rtl="0" eaLnBrk="1" fontAlgn="auto" latinLnBrk="0" hangingPunct="1">
            <a:lnSpc>
              <a:spcPct val="115000"/>
            </a:lnSpc>
            <a:spcBef>
              <a:spcPts val="0"/>
            </a:spcBef>
            <a:spcAft>
              <a:spcPts val="0"/>
            </a:spcAft>
            <a:buClr>
              <a:srgbClr val="000000"/>
            </a:buClr>
            <a:buSzPts val="1100"/>
            <a:buFont typeface="Arial"/>
            <a:buNone/>
            <a:tabLst/>
            <a:defRPr/>
          </a:pPr>
          <a:r>
            <a:rPr kumimoji="0" lang="en-ID" sz="1400" b="0" i="0" u="none" strike="noStrike" kern="0" cap="none" spc="0" normalizeH="0" baseline="0" noProof="0" dirty="0">
              <a:ln>
                <a:noFill/>
              </a:ln>
              <a:solidFill>
                <a:srgbClr val="000000"/>
              </a:solidFill>
              <a:effectLst/>
              <a:uLnTx/>
              <a:uFillTx/>
              <a:latin typeface="Roboto"/>
              <a:ea typeface="Roboto"/>
              <a:cs typeface="Roboto"/>
              <a:sym typeface="Roboto"/>
            </a:rPr>
            <a:t>adapun rincian saldo piutang masing-masing debitur adalah sebagai berikut:</a:t>
          </a:r>
        </a:p>
        <a:p>
          <a:endParaRPr lang="en-ID" sz="1100"/>
        </a:p>
      </xdr:txBody>
    </xdr:sp>
    <xdr:clientData/>
  </xdr:oneCellAnchor>
  <xdr:oneCellAnchor>
    <xdr:from>
      <xdr:col>0</xdr:col>
      <xdr:colOff>0</xdr:colOff>
      <xdr:row>28</xdr:row>
      <xdr:rowOff>0</xdr:rowOff>
    </xdr:from>
    <xdr:ext cx="184731" cy="264560"/>
    <xdr:sp macro="" textlink="">
      <xdr:nvSpPr>
        <xdr:cNvPr id="4" name="TextBox 3">
          <a:extLst>
            <a:ext uri="{FF2B5EF4-FFF2-40B4-BE49-F238E27FC236}">
              <a16:creationId xmlns:a16="http://schemas.microsoft.com/office/drawing/2014/main" id="{2F3AD259-5EC2-4173-85BD-58911579F3B8}"/>
            </a:ext>
          </a:extLst>
        </xdr:cNvPr>
        <xdr:cNvSpPr txBox="1"/>
      </xdr:nvSpPr>
      <xdr:spPr>
        <a:xfrm>
          <a:off x="0" y="5324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D" sz="1100"/>
        </a:p>
      </xdr:txBody>
    </xdr:sp>
    <xdr:clientData/>
  </xdr:oneCellAnchor>
  <xdr:oneCellAnchor>
    <xdr:from>
      <xdr:col>0</xdr:col>
      <xdr:colOff>152400</xdr:colOff>
      <xdr:row>27</xdr:row>
      <xdr:rowOff>152400</xdr:rowOff>
    </xdr:from>
    <xdr:ext cx="184731" cy="264560"/>
    <xdr:sp macro="" textlink="">
      <xdr:nvSpPr>
        <xdr:cNvPr id="6" name="TextBox 5">
          <a:extLst>
            <a:ext uri="{FF2B5EF4-FFF2-40B4-BE49-F238E27FC236}">
              <a16:creationId xmlns:a16="http://schemas.microsoft.com/office/drawing/2014/main" id="{B47426D4-E4AE-47C2-A0F6-D17B8A7A9497}"/>
            </a:ext>
          </a:extLst>
        </xdr:cNvPr>
        <xdr:cNvSpPr txBox="1"/>
      </xdr:nvSpPr>
      <xdr:spPr>
        <a:xfrm>
          <a:off x="152400" y="52863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D" sz="1100"/>
        </a:p>
      </xdr:txBody>
    </xdr:sp>
    <xdr:clientData/>
  </xdr:oneCellAnchor>
  <xdr:twoCellAnchor>
    <xdr:from>
      <xdr:col>0</xdr:col>
      <xdr:colOff>0</xdr:colOff>
      <xdr:row>27</xdr:row>
      <xdr:rowOff>161925</xdr:rowOff>
    </xdr:from>
    <xdr:to>
      <xdr:col>5</xdr:col>
      <xdr:colOff>0</xdr:colOff>
      <xdr:row>30</xdr:row>
      <xdr:rowOff>132225</xdr:rowOff>
    </xdr:to>
    <xdr:sp macro="" textlink="">
      <xdr:nvSpPr>
        <xdr:cNvPr id="8" name="Google Shape;111;p16">
          <a:extLst>
            <a:ext uri="{FF2B5EF4-FFF2-40B4-BE49-F238E27FC236}">
              <a16:creationId xmlns:a16="http://schemas.microsoft.com/office/drawing/2014/main" id="{67C5C285-FCF5-AE9F-4F26-FD82C1638769}"/>
            </a:ext>
          </a:extLst>
        </xdr:cNvPr>
        <xdr:cNvSpPr txBox="1"/>
      </xdr:nvSpPr>
      <xdr:spPr>
        <a:xfrm>
          <a:off x="0" y="5915025"/>
          <a:ext cx="9210675" cy="541800"/>
        </a:xfrm>
        <a:prstGeom prst="rect">
          <a:avLst/>
        </a:prstGeom>
        <a:solidFill>
          <a:schemeClr val="bg2"/>
        </a:solidFill>
        <a:ln>
          <a:noFill/>
        </a:ln>
      </xdr:spPr>
      <xdr:txBody>
        <a:bodyPr spcFirstLastPara="1" wrap="square" lIns="91425" tIns="91425" rIns="91425" bIns="91425" anchor="t" anchorCtr="0">
          <a:no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lvl="0" indent="0" algn="l" rtl="0">
            <a:lnSpc>
              <a:spcPct val="115000"/>
            </a:lnSpc>
            <a:spcBef>
              <a:spcPts val="0"/>
            </a:spcBef>
            <a:spcAft>
              <a:spcPts val="0"/>
            </a:spcAft>
            <a:buClr>
              <a:schemeClr val="dk1"/>
            </a:buClr>
            <a:buSzPts val="1100"/>
            <a:buFont typeface="Arial"/>
            <a:buNone/>
          </a:pPr>
          <a:r>
            <a:rPr lang="id" sz="1300">
              <a:solidFill>
                <a:schemeClr val="dk1"/>
              </a:solidFill>
              <a:latin typeface="Roboto"/>
              <a:ea typeface="Roboto"/>
              <a:cs typeface="Roboto"/>
              <a:sym typeface="Roboto"/>
            </a:rPr>
            <a:t>Dari data piutang PT Taman Sari, sebagai seorang akuntan kamu ditugaskan untuk menentukan jumlah penyisihan piutang tak tertagih per 31 Desember 2023 dan jurnal penyesuaian atas penyisihan piutang tak tertagih.</a:t>
          </a:r>
          <a:endParaRPr sz="1300">
            <a:solidFill>
              <a:schemeClr val="dk1"/>
            </a:solidFill>
            <a:latin typeface="Roboto"/>
            <a:ea typeface="Roboto"/>
            <a:cs typeface="Roboto"/>
            <a:sym typeface="Roboto"/>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1</xdr:row>
      <xdr:rowOff>85725</xdr:rowOff>
    </xdr:from>
    <xdr:to>
      <xdr:col>13</xdr:col>
      <xdr:colOff>523200</xdr:colOff>
      <xdr:row>16</xdr:row>
      <xdr:rowOff>126675</xdr:rowOff>
    </xdr:to>
    <xdr:sp macro="" textlink="">
      <xdr:nvSpPr>
        <xdr:cNvPr id="3" name="Google Shape;131;p17">
          <a:extLst>
            <a:ext uri="{FF2B5EF4-FFF2-40B4-BE49-F238E27FC236}">
              <a16:creationId xmlns:a16="http://schemas.microsoft.com/office/drawing/2014/main" id="{90BACC8B-F56C-214B-C95A-E03984D34758}"/>
            </a:ext>
          </a:extLst>
        </xdr:cNvPr>
        <xdr:cNvSpPr txBox="1"/>
      </xdr:nvSpPr>
      <xdr:spPr>
        <a:xfrm>
          <a:off x="0" y="542925"/>
          <a:ext cx="11400750" cy="2898450"/>
        </a:xfrm>
        <a:prstGeom prst="rect">
          <a:avLst/>
        </a:prstGeom>
        <a:solidFill>
          <a:schemeClr val="bg2"/>
        </a:solidFill>
        <a:ln>
          <a:noFill/>
        </a:ln>
      </xdr:spPr>
      <xdr:txBody>
        <a:bodyPr spcFirstLastPara="1" wrap="square" lIns="91425" tIns="91425" rIns="91425" bIns="91425" anchor="t" anchorCtr="0">
          <a:no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179999" lvl="0" indent="-184150" algn="l" rtl="0">
            <a:lnSpc>
              <a:spcPct val="115000"/>
            </a:lnSpc>
            <a:spcBef>
              <a:spcPts val="0"/>
            </a:spcBef>
            <a:spcAft>
              <a:spcPts val="0"/>
            </a:spcAft>
            <a:buClr>
              <a:schemeClr val="dk1"/>
            </a:buClr>
            <a:buSzPts val="1400"/>
            <a:buFont typeface="Roboto"/>
            <a:buChar char="●"/>
          </a:pPr>
          <a:r>
            <a:rPr lang="id">
              <a:solidFill>
                <a:schemeClr val="dk1"/>
              </a:solidFill>
              <a:latin typeface="Roboto"/>
              <a:ea typeface="Roboto"/>
              <a:cs typeface="Roboto"/>
              <a:sym typeface="Roboto"/>
            </a:rPr>
            <a:t>Bank telah menerima pelunasan selembar wesel tagih Rp 19.000.000 beserta bunga Rp 2.140.000 milik PT Pelita Nusantara. Penerimaan pelunasan wesel ini belum dicatat dalam jurnal penerimaan kas PT Pelita Nusantara.</a:t>
          </a:r>
          <a:endParaRPr>
            <a:solidFill>
              <a:schemeClr val="dk1"/>
            </a:solidFill>
            <a:latin typeface="Roboto"/>
            <a:ea typeface="Roboto"/>
            <a:cs typeface="Roboto"/>
            <a:sym typeface="Roboto"/>
          </a:endParaRPr>
        </a:p>
        <a:p>
          <a:pPr marL="179999" lvl="0" indent="-184150" algn="l" rtl="0">
            <a:lnSpc>
              <a:spcPct val="115000"/>
            </a:lnSpc>
            <a:spcBef>
              <a:spcPts val="0"/>
            </a:spcBef>
            <a:spcAft>
              <a:spcPts val="0"/>
            </a:spcAft>
            <a:buClr>
              <a:schemeClr val="dk1"/>
            </a:buClr>
            <a:buSzPts val="1400"/>
            <a:buFont typeface="Roboto"/>
            <a:buChar char="●"/>
          </a:pPr>
          <a:r>
            <a:rPr lang="id">
              <a:solidFill>
                <a:schemeClr val="dk1"/>
              </a:solidFill>
              <a:latin typeface="Roboto"/>
              <a:ea typeface="Roboto"/>
              <a:cs typeface="Roboto"/>
              <a:sym typeface="Roboto"/>
            </a:rPr>
            <a:t>Laporan bank menunjukkan bahwa bank telah memberi bunga sebesar Rp. 280.100</a:t>
          </a:r>
          <a:endParaRPr>
            <a:solidFill>
              <a:schemeClr val="dk1"/>
            </a:solidFill>
            <a:latin typeface="Roboto"/>
            <a:ea typeface="Roboto"/>
            <a:cs typeface="Roboto"/>
            <a:sym typeface="Roboto"/>
          </a:endParaRPr>
        </a:p>
        <a:p>
          <a:pPr marL="179999" lvl="0" indent="-184150" algn="l" rtl="0">
            <a:lnSpc>
              <a:spcPct val="115000"/>
            </a:lnSpc>
            <a:spcBef>
              <a:spcPts val="0"/>
            </a:spcBef>
            <a:spcAft>
              <a:spcPts val="0"/>
            </a:spcAft>
            <a:buClr>
              <a:schemeClr val="dk1"/>
            </a:buClr>
            <a:buSzPts val="1400"/>
            <a:buFont typeface="Roboto"/>
            <a:buChar char="●"/>
          </a:pPr>
          <a:r>
            <a:rPr lang="id">
              <a:solidFill>
                <a:schemeClr val="dk1"/>
              </a:solidFill>
              <a:latin typeface="Roboto"/>
              <a:ea typeface="Roboto"/>
              <a:cs typeface="Roboto"/>
              <a:sym typeface="Roboto"/>
            </a:rPr>
            <a:t>Cek no. 333 sebesar Rp 1.500.000 yang dibayarkan kepada PT Garuda telah dicatat dalam jurnal pengeluaran kas PT Pelita Nusantara Rp 5.100.000 sehingga saldo kas menjadi lebih rendah Rp 3.600.000</a:t>
          </a:r>
          <a:endParaRPr>
            <a:solidFill>
              <a:schemeClr val="dk1"/>
            </a:solidFill>
            <a:latin typeface="Roboto"/>
            <a:ea typeface="Roboto"/>
            <a:cs typeface="Roboto"/>
            <a:sym typeface="Roboto"/>
          </a:endParaRPr>
        </a:p>
        <a:p>
          <a:pPr marL="179999" lvl="0" indent="-184150" algn="l" rtl="0">
            <a:lnSpc>
              <a:spcPct val="115000"/>
            </a:lnSpc>
            <a:spcBef>
              <a:spcPts val="0"/>
            </a:spcBef>
            <a:spcAft>
              <a:spcPts val="0"/>
            </a:spcAft>
            <a:buClr>
              <a:schemeClr val="dk1"/>
            </a:buClr>
            <a:buSzPts val="1400"/>
            <a:buFont typeface="Roboto"/>
            <a:buChar char="●"/>
          </a:pPr>
          <a:r>
            <a:rPr lang="id">
              <a:solidFill>
                <a:schemeClr val="dk1"/>
              </a:solidFill>
              <a:latin typeface="Roboto"/>
              <a:ea typeface="Roboto"/>
              <a:cs typeface="Roboto"/>
              <a:sym typeface="Roboto"/>
            </a:rPr>
            <a:t>Biaya administrasi bank bulan Oktober 2023 adalah Rp 142.500</a:t>
          </a:r>
          <a:endParaRPr>
            <a:solidFill>
              <a:schemeClr val="dk1"/>
            </a:solidFill>
            <a:latin typeface="Roboto"/>
            <a:ea typeface="Roboto"/>
            <a:cs typeface="Roboto"/>
            <a:sym typeface="Roboto"/>
          </a:endParaRPr>
        </a:p>
        <a:p>
          <a:pPr marL="179999" lvl="0" indent="-184150" algn="l" rtl="0">
            <a:lnSpc>
              <a:spcPct val="115000"/>
            </a:lnSpc>
            <a:spcBef>
              <a:spcPts val="0"/>
            </a:spcBef>
            <a:spcAft>
              <a:spcPts val="0"/>
            </a:spcAft>
            <a:buClr>
              <a:schemeClr val="dk1"/>
            </a:buClr>
            <a:buSzPts val="1400"/>
            <a:buFont typeface="Roboto"/>
            <a:buChar char="●"/>
          </a:pPr>
          <a:r>
            <a:rPr lang="id">
              <a:solidFill>
                <a:schemeClr val="dk1"/>
              </a:solidFill>
              <a:latin typeface="Roboto"/>
              <a:ea typeface="Roboto"/>
              <a:cs typeface="Roboto"/>
              <a:sym typeface="Roboto"/>
            </a:rPr>
            <a:t>Laporan bank menunjukkan adanya pengembalian cek yang tidak cukup dananya sebesar Rp 520.000. Cek tersebut berasal dari PT Mega Mendung.</a:t>
          </a:r>
          <a:endParaRPr>
            <a:solidFill>
              <a:schemeClr val="dk1"/>
            </a:solidFill>
            <a:latin typeface="Roboto"/>
            <a:ea typeface="Roboto"/>
            <a:cs typeface="Roboto"/>
            <a:sym typeface="Roboto"/>
          </a:endParaRPr>
        </a:p>
        <a:p>
          <a:pPr marL="179999" lvl="0" indent="-184150" algn="l" rtl="0">
            <a:lnSpc>
              <a:spcPct val="115000"/>
            </a:lnSpc>
            <a:spcBef>
              <a:spcPts val="0"/>
            </a:spcBef>
            <a:spcAft>
              <a:spcPts val="0"/>
            </a:spcAft>
            <a:buClr>
              <a:schemeClr val="dk1"/>
            </a:buClr>
            <a:buSzPts val="1400"/>
            <a:buFont typeface="Roboto"/>
            <a:buChar char="●"/>
          </a:pPr>
          <a:r>
            <a:rPr lang="id">
              <a:solidFill>
                <a:schemeClr val="dk1"/>
              </a:solidFill>
              <a:latin typeface="Roboto"/>
              <a:ea typeface="Roboto"/>
              <a:cs typeface="Roboto"/>
              <a:sym typeface="Roboto"/>
            </a:rPr>
            <a:t>Dari data tersebut, buatlah rekonsiliasi bank untuk membantu PT Pelita Nusantara mengetahui saldo yang sebenarnya.</a:t>
          </a:r>
          <a:endParaRPr>
            <a:solidFill>
              <a:schemeClr val="dk1"/>
            </a:solidFill>
            <a:latin typeface="Roboto"/>
            <a:ea typeface="Roboto"/>
            <a:cs typeface="Roboto"/>
            <a:sym typeface="Roboto"/>
          </a:endParaRPr>
        </a:p>
        <a:p>
          <a:pPr marL="0" lvl="0" indent="0" algn="l" rtl="0">
            <a:lnSpc>
              <a:spcPct val="115000"/>
            </a:lnSpc>
            <a:spcBef>
              <a:spcPts val="1000"/>
            </a:spcBef>
            <a:spcAft>
              <a:spcPts val="0"/>
            </a:spcAft>
            <a:buNone/>
          </a:pPr>
          <a:r>
            <a:rPr lang="id" b="1">
              <a:solidFill>
                <a:schemeClr val="dk1"/>
              </a:solidFill>
              <a:latin typeface="Roboto"/>
              <a:ea typeface="Roboto"/>
              <a:cs typeface="Roboto"/>
              <a:sym typeface="Roboto"/>
            </a:rPr>
            <a:t>Setelah dibuat rekonsiliasi bank, buatlah jurnal penyesuaian yang dibutuhkan.</a:t>
          </a:r>
          <a:endParaRPr b="1">
            <a:solidFill>
              <a:schemeClr val="dk1"/>
            </a:solidFill>
            <a:latin typeface="Roboto"/>
            <a:ea typeface="Roboto"/>
            <a:cs typeface="Roboto"/>
            <a:sym typeface="Roboto"/>
          </a:endParaRPr>
        </a:p>
      </xdr:txBody>
    </xdr:sp>
    <xdr:clientData/>
  </xdr:twoCellAnchor>
  <xdr:twoCellAnchor>
    <xdr:from>
      <xdr:col>0</xdr:col>
      <xdr:colOff>0</xdr:colOff>
      <xdr:row>23</xdr:row>
      <xdr:rowOff>104775</xdr:rowOff>
    </xdr:from>
    <xdr:to>
      <xdr:col>9</xdr:col>
      <xdr:colOff>342225</xdr:colOff>
      <xdr:row>41</xdr:row>
      <xdr:rowOff>126675</xdr:rowOff>
    </xdr:to>
    <xdr:sp macro="" textlink="">
      <xdr:nvSpPr>
        <xdr:cNvPr id="7" name="Google Shape;131;p17">
          <a:extLst>
            <a:ext uri="{FF2B5EF4-FFF2-40B4-BE49-F238E27FC236}">
              <a16:creationId xmlns:a16="http://schemas.microsoft.com/office/drawing/2014/main" id="{9A7D3E34-DBF2-B1E1-040E-646B882B3094}"/>
            </a:ext>
          </a:extLst>
        </xdr:cNvPr>
        <xdr:cNvSpPr txBox="1"/>
      </xdr:nvSpPr>
      <xdr:spPr>
        <a:xfrm>
          <a:off x="0" y="5915025"/>
          <a:ext cx="8781375" cy="3450900"/>
        </a:xfrm>
        <a:prstGeom prst="rect">
          <a:avLst/>
        </a:prstGeom>
        <a:solidFill>
          <a:schemeClr val="bg2"/>
        </a:solidFill>
        <a:ln>
          <a:noFill/>
        </a:ln>
      </xdr:spPr>
      <xdr:txBody>
        <a:bodyPr spcFirstLastPara="1" wrap="square" lIns="91425" tIns="91425" rIns="91425" bIns="91425" anchor="t" anchorCtr="0">
          <a:no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179999" lvl="0" indent="-184150" algn="l" rtl="0">
            <a:lnSpc>
              <a:spcPct val="115000"/>
            </a:lnSpc>
            <a:spcBef>
              <a:spcPts val="0"/>
            </a:spcBef>
            <a:spcAft>
              <a:spcPts val="0"/>
            </a:spcAft>
            <a:buClr>
              <a:schemeClr val="dk1"/>
            </a:buClr>
            <a:buSzPts val="1400"/>
            <a:buFont typeface="Roboto"/>
            <a:buChar char="●"/>
          </a:pPr>
          <a:r>
            <a:rPr lang="id">
              <a:solidFill>
                <a:schemeClr val="dk1"/>
              </a:solidFill>
              <a:latin typeface="Roboto"/>
              <a:ea typeface="Roboto"/>
              <a:cs typeface="Roboto"/>
              <a:sym typeface="Roboto"/>
            </a:rPr>
            <a:t>Bank telah menerima pelunasan selembar wesel tagih Rp 19.000.000 beserta bunga Rp 2.140.000 milik PT Pelita Nusantara. Penerimaan pelunasan wesel ini belum dicatat dalam jurnal penerimaan kas PT Pelita Nusantara.</a:t>
          </a:r>
          <a:endParaRPr>
            <a:solidFill>
              <a:schemeClr val="dk1"/>
            </a:solidFill>
            <a:latin typeface="Roboto"/>
            <a:ea typeface="Roboto"/>
            <a:cs typeface="Roboto"/>
            <a:sym typeface="Roboto"/>
          </a:endParaRPr>
        </a:p>
        <a:p>
          <a:pPr marL="179999" lvl="0" indent="-184150" algn="l" rtl="0">
            <a:lnSpc>
              <a:spcPct val="115000"/>
            </a:lnSpc>
            <a:spcBef>
              <a:spcPts val="0"/>
            </a:spcBef>
            <a:spcAft>
              <a:spcPts val="0"/>
            </a:spcAft>
            <a:buClr>
              <a:schemeClr val="dk1"/>
            </a:buClr>
            <a:buSzPts val="1400"/>
            <a:buFont typeface="Roboto"/>
            <a:buChar char="●"/>
          </a:pPr>
          <a:r>
            <a:rPr lang="id">
              <a:solidFill>
                <a:schemeClr val="dk1"/>
              </a:solidFill>
              <a:latin typeface="Roboto"/>
              <a:ea typeface="Roboto"/>
              <a:cs typeface="Roboto"/>
              <a:sym typeface="Roboto"/>
            </a:rPr>
            <a:t>Laporan bank menunjukkan bahwa bank telah memberi bunga sebesar Rp. 280.100</a:t>
          </a:r>
          <a:endParaRPr>
            <a:solidFill>
              <a:schemeClr val="dk1"/>
            </a:solidFill>
            <a:latin typeface="Roboto"/>
            <a:ea typeface="Roboto"/>
            <a:cs typeface="Roboto"/>
            <a:sym typeface="Roboto"/>
          </a:endParaRPr>
        </a:p>
        <a:p>
          <a:pPr marL="179999" lvl="0" indent="-184150" algn="l" rtl="0">
            <a:lnSpc>
              <a:spcPct val="115000"/>
            </a:lnSpc>
            <a:spcBef>
              <a:spcPts val="0"/>
            </a:spcBef>
            <a:spcAft>
              <a:spcPts val="0"/>
            </a:spcAft>
            <a:buClr>
              <a:schemeClr val="dk1"/>
            </a:buClr>
            <a:buSzPts val="1400"/>
            <a:buFont typeface="Roboto"/>
            <a:buChar char="●"/>
          </a:pPr>
          <a:r>
            <a:rPr lang="id">
              <a:solidFill>
                <a:schemeClr val="dk1"/>
              </a:solidFill>
              <a:latin typeface="Roboto"/>
              <a:ea typeface="Roboto"/>
              <a:cs typeface="Roboto"/>
              <a:sym typeface="Roboto"/>
            </a:rPr>
            <a:t>Cek no. 333 sebesar Rp 1.500.000 yang dibayarkan kepada PT Garuda telah dicatat dalam jurnal pengeluaran kas PT Pelita Nusantara Rp 5.100.000 sehingga saldo kas menjadi lebih rendah Rp 3.600.000</a:t>
          </a:r>
          <a:endParaRPr>
            <a:solidFill>
              <a:schemeClr val="dk1"/>
            </a:solidFill>
            <a:latin typeface="Roboto"/>
            <a:ea typeface="Roboto"/>
            <a:cs typeface="Roboto"/>
            <a:sym typeface="Roboto"/>
          </a:endParaRPr>
        </a:p>
        <a:p>
          <a:pPr marL="179999" lvl="0" indent="-184150" algn="l" rtl="0">
            <a:lnSpc>
              <a:spcPct val="115000"/>
            </a:lnSpc>
            <a:spcBef>
              <a:spcPts val="0"/>
            </a:spcBef>
            <a:spcAft>
              <a:spcPts val="0"/>
            </a:spcAft>
            <a:buClr>
              <a:schemeClr val="dk1"/>
            </a:buClr>
            <a:buSzPts val="1400"/>
            <a:buFont typeface="Roboto"/>
            <a:buChar char="●"/>
          </a:pPr>
          <a:r>
            <a:rPr lang="id">
              <a:solidFill>
                <a:schemeClr val="dk1"/>
              </a:solidFill>
              <a:latin typeface="Roboto"/>
              <a:ea typeface="Roboto"/>
              <a:cs typeface="Roboto"/>
              <a:sym typeface="Roboto"/>
            </a:rPr>
            <a:t>Biaya administrasi bank bulan Oktober 2023 adalah Rp 142.500</a:t>
          </a:r>
          <a:endParaRPr>
            <a:solidFill>
              <a:schemeClr val="dk1"/>
            </a:solidFill>
            <a:latin typeface="Roboto"/>
            <a:ea typeface="Roboto"/>
            <a:cs typeface="Roboto"/>
            <a:sym typeface="Roboto"/>
          </a:endParaRPr>
        </a:p>
        <a:p>
          <a:pPr marL="179999" lvl="0" indent="-184150" algn="l" rtl="0">
            <a:lnSpc>
              <a:spcPct val="115000"/>
            </a:lnSpc>
            <a:spcBef>
              <a:spcPts val="0"/>
            </a:spcBef>
            <a:spcAft>
              <a:spcPts val="0"/>
            </a:spcAft>
            <a:buClr>
              <a:schemeClr val="dk1"/>
            </a:buClr>
            <a:buSzPts val="1400"/>
            <a:buFont typeface="Roboto"/>
            <a:buChar char="●"/>
          </a:pPr>
          <a:r>
            <a:rPr lang="id">
              <a:solidFill>
                <a:schemeClr val="dk1"/>
              </a:solidFill>
              <a:latin typeface="Roboto"/>
              <a:ea typeface="Roboto"/>
              <a:cs typeface="Roboto"/>
              <a:sym typeface="Roboto"/>
            </a:rPr>
            <a:t>Laporan bank menunjukkan adanya pengembalian cek yang tidak cukup dananya sebesar Rp 520.000. Cek tersebut berasal dari PT Mega Mendung.</a:t>
          </a:r>
          <a:endParaRPr>
            <a:solidFill>
              <a:schemeClr val="dk1"/>
            </a:solidFill>
            <a:latin typeface="Roboto"/>
            <a:ea typeface="Roboto"/>
            <a:cs typeface="Roboto"/>
            <a:sym typeface="Roboto"/>
          </a:endParaRPr>
        </a:p>
        <a:p>
          <a:pPr marL="179999" lvl="0" indent="-184150" algn="l" rtl="0">
            <a:lnSpc>
              <a:spcPct val="115000"/>
            </a:lnSpc>
            <a:spcBef>
              <a:spcPts val="0"/>
            </a:spcBef>
            <a:spcAft>
              <a:spcPts val="0"/>
            </a:spcAft>
            <a:buClr>
              <a:schemeClr val="dk1"/>
            </a:buClr>
            <a:buSzPts val="1400"/>
            <a:buFont typeface="Roboto"/>
            <a:buChar char="●"/>
          </a:pPr>
          <a:r>
            <a:rPr lang="id">
              <a:solidFill>
                <a:schemeClr val="dk1"/>
              </a:solidFill>
              <a:latin typeface="Roboto"/>
              <a:ea typeface="Roboto"/>
              <a:cs typeface="Roboto"/>
              <a:sym typeface="Roboto"/>
            </a:rPr>
            <a:t>Dari data tersebut, buatlah rekonsiliasi bank untuk membantu PT Pelita Nusantara mengetahui saldo yang sebenarnya.</a:t>
          </a:r>
          <a:endParaRPr>
            <a:solidFill>
              <a:schemeClr val="dk1"/>
            </a:solidFill>
            <a:latin typeface="Roboto"/>
            <a:ea typeface="Roboto"/>
            <a:cs typeface="Roboto"/>
            <a:sym typeface="Roboto"/>
          </a:endParaRPr>
        </a:p>
        <a:p>
          <a:pPr marL="0" lvl="0" indent="0" algn="l" rtl="0">
            <a:lnSpc>
              <a:spcPct val="115000"/>
            </a:lnSpc>
            <a:spcBef>
              <a:spcPts val="1000"/>
            </a:spcBef>
            <a:spcAft>
              <a:spcPts val="0"/>
            </a:spcAft>
            <a:buNone/>
          </a:pPr>
          <a:r>
            <a:rPr lang="id" b="1">
              <a:solidFill>
                <a:schemeClr val="dk1"/>
              </a:solidFill>
              <a:latin typeface="Roboto"/>
              <a:ea typeface="Roboto"/>
              <a:cs typeface="Roboto"/>
              <a:sym typeface="Roboto"/>
            </a:rPr>
            <a:t>Setelah dibuat rekonsiliasi bank, buatlah jurnal penyesuaian yang dibutuhkan.</a:t>
          </a:r>
          <a:endParaRPr b="1">
            <a:solidFill>
              <a:schemeClr val="dk1"/>
            </a:solidFill>
            <a:latin typeface="Roboto"/>
            <a:ea typeface="Roboto"/>
            <a:cs typeface="Roboto"/>
            <a:sym typeface="Roboto"/>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9525</xdr:colOff>
      <xdr:row>1</xdr:row>
      <xdr:rowOff>114299</xdr:rowOff>
    </xdr:from>
    <xdr:to>
      <xdr:col>14</xdr:col>
      <xdr:colOff>156525</xdr:colOff>
      <xdr:row>18</xdr:row>
      <xdr:rowOff>138374</xdr:rowOff>
    </xdr:to>
    <xdr:sp macro="" textlink="">
      <xdr:nvSpPr>
        <xdr:cNvPr id="3" name="Google Shape;86;p15">
          <a:extLst>
            <a:ext uri="{FF2B5EF4-FFF2-40B4-BE49-F238E27FC236}">
              <a16:creationId xmlns:a16="http://schemas.microsoft.com/office/drawing/2014/main" id="{BF332FB0-A138-28C5-464F-40E0D3BBC791}"/>
            </a:ext>
          </a:extLst>
        </xdr:cNvPr>
        <xdr:cNvSpPr txBox="1"/>
      </xdr:nvSpPr>
      <xdr:spPr>
        <a:xfrm>
          <a:off x="9525" y="447674"/>
          <a:ext cx="8681400" cy="3262575"/>
        </a:xfrm>
        <a:prstGeom prst="rect">
          <a:avLst/>
        </a:prstGeom>
        <a:solidFill>
          <a:schemeClr val="bg2"/>
        </a:solidFill>
        <a:ln>
          <a:noFill/>
        </a:ln>
      </xdr:spPr>
      <xdr:txBody>
        <a:bodyPr spcFirstLastPara="1" wrap="square" lIns="91425" tIns="91425" rIns="91425" bIns="91425" anchor="ctr" anchorCtr="0">
          <a:no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lvl="0" indent="0" algn="l" rtl="0">
            <a:lnSpc>
              <a:spcPct val="115000"/>
            </a:lnSpc>
            <a:spcBef>
              <a:spcPts val="1000"/>
            </a:spcBef>
            <a:spcAft>
              <a:spcPts val="0"/>
            </a:spcAft>
            <a:buClr>
              <a:schemeClr val="dk1"/>
            </a:buClr>
            <a:buSzPts val="1100"/>
            <a:buFont typeface="Arial"/>
            <a:buNone/>
          </a:pPr>
          <a:r>
            <a:rPr lang="id" sz="1200">
              <a:solidFill>
                <a:schemeClr val="dk1"/>
              </a:solidFill>
              <a:latin typeface="Roboto"/>
              <a:ea typeface="Roboto"/>
              <a:cs typeface="Roboto"/>
              <a:sym typeface="Roboto"/>
            </a:rPr>
            <a:t>PT Pesona Boga yang menyediakan dana kas kecil terdapat transaksi-transaksi pada bulan Desember 2023 sebagai berikut:</a:t>
          </a:r>
          <a:endParaRPr sz="1200">
            <a:solidFill>
              <a:schemeClr val="dk1"/>
            </a:solidFill>
            <a:latin typeface="Roboto"/>
            <a:ea typeface="Roboto"/>
            <a:cs typeface="Roboto"/>
            <a:sym typeface="Roboto"/>
          </a:endParaRPr>
        </a:p>
        <a:p>
          <a:pPr marL="179999" lvl="0" indent="-171450" algn="l" rtl="0">
            <a:lnSpc>
              <a:spcPct val="115000"/>
            </a:lnSpc>
            <a:spcBef>
              <a:spcPts val="1000"/>
            </a:spcBef>
            <a:spcAft>
              <a:spcPts val="0"/>
            </a:spcAft>
            <a:buClr>
              <a:schemeClr val="dk1"/>
            </a:buClr>
            <a:buSzPts val="1200"/>
            <a:buFont typeface="Roboto"/>
            <a:buChar char="●"/>
          </a:pPr>
          <a:r>
            <a:rPr lang="id" sz="1200">
              <a:solidFill>
                <a:schemeClr val="dk1"/>
              </a:solidFill>
              <a:latin typeface="Roboto"/>
              <a:ea typeface="Roboto"/>
              <a:cs typeface="Roboto"/>
              <a:sym typeface="Roboto"/>
            </a:rPr>
            <a:t>3 Desember 2023, diserahkan selembar cek sebesar Rp 2.000.000 untuk membentuk kas kecil PT Pesona Boga</a:t>
          </a:r>
          <a:endParaRPr sz="1200">
            <a:solidFill>
              <a:schemeClr val="dk1"/>
            </a:solidFill>
            <a:latin typeface="Roboto"/>
            <a:ea typeface="Roboto"/>
            <a:cs typeface="Roboto"/>
            <a:sym typeface="Roboto"/>
          </a:endParaRPr>
        </a:p>
        <a:p>
          <a:pPr marL="179999" lvl="0" indent="-171450" algn="l" rtl="0">
            <a:lnSpc>
              <a:spcPct val="115000"/>
            </a:lnSpc>
            <a:spcBef>
              <a:spcPts val="0"/>
            </a:spcBef>
            <a:spcAft>
              <a:spcPts val="0"/>
            </a:spcAft>
            <a:buClr>
              <a:schemeClr val="dk1"/>
            </a:buClr>
            <a:buSzPts val="1200"/>
            <a:buFont typeface="Roboto"/>
            <a:buChar char="●"/>
          </a:pPr>
          <a:r>
            <a:rPr lang="id" sz="1200">
              <a:solidFill>
                <a:schemeClr val="dk1"/>
              </a:solidFill>
              <a:latin typeface="Roboto"/>
              <a:ea typeface="Roboto"/>
              <a:cs typeface="Roboto"/>
              <a:sym typeface="Roboto"/>
            </a:rPr>
            <a:t>7 Desember 2023, dibeli tunai alat-alat tulis untuk kantor PT. Pesona Boga sebesar Rp 96.000</a:t>
          </a:r>
          <a:endParaRPr sz="1200">
            <a:solidFill>
              <a:schemeClr val="dk1"/>
            </a:solidFill>
            <a:latin typeface="Roboto"/>
            <a:ea typeface="Roboto"/>
            <a:cs typeface="Roboto"/>
            <a:sym typeface="Roboto"/>
          </a:endParaRPr>
        </a:p>
        <a:p>
          <a:pPr marL="179999" lvl="0" indent="-171450" algn="l" rtl="0">
            <a:lnSpc>
              <a:spcPct val="115000"/>
            </a:lnSpc>
            <a:spcBef>
              <a:spcPts val="0"/>
            </a:spcBef>
            <a:spcAft>
              <a:spcPts val="0"/>
            </a:spcAft>
            <a:buClr>
              <a:schemeClr val="dk1"/>
            </a:buClr>
            <a:buSzPts val="1200"/>
            <a:buFont typeface="Roboto"/>
            <a:buChar char="●"/>
          </a:pPr>
          <a:r>
            <a:rPr lang="id" sz="1200">
              <a:solidFill>
                <a:schemeClr val="dk1"/>
              </a:solidFill>
              <a:latin typeface="Roboto"/>
              <a:ea typeface="Roboto"/>
              <a:cs typeface="Roboto"/>
              <a:sym typeface="Roboto"/>
            </a:rPr>
            <a:t>17 Desember 2023 dibayarkan biaya angkut sebesar Rp 275.000</a:t>
          </a:r>
          <a:endParaRPr sz="1200">
            <a:solidFill>
              <a:schemeClr val="dk1"/>
            </a:solidFill>
            <a:latin typeface="Roboto"/>
            <a:ea typeface="Roboto"/>
            <a:cs typeface="Roboto"/>
            <a:sym typeface="Roboto"/>
          </a:endParaRPr>
        </a:p>
        <a:p>
          <a:pPr marL="179999" lvl="0" indent="-171450" algn="l" rtl="0">
            <a:lnSpc>
              <a:spcPct val="115000"/>
            </a:lnSpc>
            <a:spcBef>
              <a:spcPts val="0"/>
            </a:spcBef>
            <a:spcAft>
              <a:spcPts val="0"/>
            </a:spcAft>
            <a:buClr>
              <a:schemeClr val="dk1"/>
            </a:buClr>
            <a:buSzPts val="1200"/>
            <a:buFont typeface="Roboto"/>
            <a:buChar char="●"/>
          </a:pPr>
          <a:r>
            <a:rPr lang="id" sz="1200">
              <a:solidFill>
                <a:schemeClr val="dk1"/>
              </a:solidFill>
              <a:latin typeface="Roboto"/>
              <a:ea typeface="Roboto"/>
              <a:cs typeface="Roboto"/>
              <a:sym typeface="Roboto"/>
            </a:rPr>
            <a:t>18 Desember 2023 dibayarkan untuk uang makan para karyawan yang lembur sebesar Rp 150.000</a:t>
          </a:r>
          <a:endParaRPr sz="1200">
            <a:solidFill>
              <a:schemeClr val="dk1"/>
            </a:solidFill>
            <a:latin typeface="Roboto"/>
            <a:ea typeface="Roboto"/>
            <a:cs typeface="Roboto"/>
            <a:sym typeface="Roboto"/>
          </a:endParaRPr>
        </a:p>
        <a:p>
          <a:pPr marL="179999" lvl="0" indent="-171450" algn="l" rtl="0">
            <a:lnSpc>
              <a:spcPct val="115000"/>
            </a:lnSpc>
            <a:spcBef>
              <a:spcPts val="0"/>
            </a:spcBef>
            <a:spcAft>
              <a:spcPts val="0"/>
            </a:spcAft>
            <a:buClr>
              <a:schemeClr val="dk1"/>
            </a:buClr>
            <a:buSzPts val="1200"/>
            <a:buFont typeface="Roboto"/>
            <a:buChar char="●"/>
          </a:pPr>
          <a:r>
            <a:rPr lang="id" sz="1200">
              <a:solidFill>
                <a:schemeClr val="dk1"/>
              </a:solidFill>
              <a:latin typeface="Roboto"/>
              <a:ea typeface="Roboto"/>
              <a:cs typeface="Roboto"/>
              <a:sym typeface="Roboto"/>
            </a:rPr>
            <a:t>22 Desember  2023 dibeli lagi alat-alat tulis kantor sejumlah Rp.70.000</a:t>
          </a:r>
          <a:endParaRPr sz="1200">
            <a:solidFill>
              <a:schemeClr val="dk1"/>
            </a:solidFill>
            <a:latin typeface="Roboto"/>
            <a:ea typeface="Roboto"/>
            <a:cs typeface="Roboto"/>
            <a:sym typeface="Roboto"/>
          </a:endParaRPr>
        </a:p>
        <a:p>
          <a:pPr marL="0" lvl="0" indent="0" algn="l" rtl="0">
            <a:lnSpc>
              <a:spcPct val="115000"/>
            </a:lnSpc>
            <a:spcBef>
              <a:spcPts val="1000"/>
            </a:spcBef>
            <a:spcAft>
              <a:spcPts val="0"/>
            </a:spcAft>
            <a:buClr>
              <a:schemeClr val="dk1"/>
            </a:buClr>
            <a:buSzPts val="1100"/>
            <a:buFont typeface="Arial"/>
            <a:buNone/>
          </a:pPr>
          <a:r>
            <a:rPr lang="id" sz="1200">
              <a:solidFill>
                <a:schemeClr val="dk1"/>
              </a:solidFill>
              <a:latin typeface="Roboto"/>
              <a:ea typeface="Roboto"/>
              <a:cs typeface="Roboto"/>
              <a:sym typeface="Roboto"/>
            </a:rPr>
            <a:t>Pada tanggal 27 Desember 2023, bendahara kecil melakukan pengisian kembali kas kecil dan pada awal bulan Januari 2024, bendahara kecil memutuskan untuk mengurangi dana kas kecil yang dipegangnya sehingga kas kecil yang akan dipegang hanya sebesar Rp 1.500.000.</a:t>
          </a:r>
          <a:endParaRPr sz="1200">
            <a:solidFill>
              <a:schemeClr val="dk1"/>
            </a:solidFill>
            <a:latin typeface="Roboto"/>
            <a:ea typeface="Roboto"/>
            <a:cs typeface="Roboto"/>
            <a:sym typeface="Roboto"/>
          </a:endParaRPr>
        </a:p>
        <a:p>
          <a:pPr marL="0" lvl="0" indent="0" algn="l" rtl="0">
            <a:lnSpc>
              <a:spcPct val="115000"/>
            </a:lnSpc>
            <a:spcBef>
              <a:spcPts val="1000"/>
            </a:spcBef>
            <a:spcAft>
              <a:spcPts val="0"/>
            </a:spcAft>
            <a:buClr>
              <a:schemeClr val="dk1"/>
            </a:buClr>
            <a:buSzPts val="1100"/>
            <a:buFont typeface="Arial"/>
            <a:buNone/>
          </a:pPr>
          <a:endParaRPr sz="1200">
            <a:solidFill>
              <a:schemeClr val="dk1"/>
            </a:solidFill>
            <a:latin typeface="Roboto"/>
            <a:ea typeface="Roboto"/>
            <a:cs typeface="Roboto"/>
            <a:sym typeface="Roboto"/>
          </a:endParaRPr>
        </a:p>
        <a:p>
          <a:pPr marL="0" lvl="0" indent="0" algn="l" rtl="0">
            <a:lnSpc>
              <a:spcPct val="115000"/>
            </a:lnSpc>
            <a:spcBef>
              <a:spcPts val="0"/>
            </a:spcBef>
            <a:spcAft>
              <a:spcPts val="0"/>
            </a:spcAft>
            <a:buClr>
              <a:schemeClr val="dk1"/>
            </a:buClr>
            <a:buSzPts val="1100"/>
            <a:buFont typeface="Arial"/>
            <a:buNone/>
          </a:pPr>
          <a:r>
            <a:rPr lang="id" sz="1200">
              <a:solidFill>
                <a:schemeClr val="dk1"/>
              </a:solidFill>
              <a:latin typeface="Roboto"/>
              <a:ea typeface="Roboto"/>
              <a:cs typeface="Roboto"/>
              <a:sym typeface="Roboto"/>
            </a:rPr>
            <a:t>Berdasarkan data tersebut, sebagai seorang akuntan kamu ditugaskan untuk membuat jurnal untuk setiap transaksi kas kecil PT Pesona Boga dengan menggunakan metode sistem dana tetap dan sistem dana tidak tetap</a:t>
          </a:r>
          <a:endParaRPr sz="1200">
            <a:solidFill>
              <a:schemeClr val="dk1"/>
            </a:solidFill>
            <a:latin typeface="Roboto"/>
            <a:ea typeface="Roboto"/>
            <a:cs typeface="Roboto"/>
            <a:sym typeface="Roboto"/>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2</xdr:row>
      <xdr:rowOff>19050</xdr:rowOff>
    </xdr:from>
    <xdr:to>
      <xdr:col>3</xdr:col>
      <xdr:colOff>57150</xdr:colOff>
      <xdr:row>5</xdr:row>
      <xdr:rowOff>19050</xdr:rowOff>
    </xdr:to>
    <xdr:sp macro="" textlink="">
      <xdr:nvSpPr>
        <xdr:cNvPr id="5" name="Text Placeholder 2">
          <a:extLst>
            <a:ext uri="{FF2B5EF4-FFF2-40B4-BE49-F238E27FC236}">
              <a16:creationId xmlns:a16="http://schemas.microsoft.com/office/drawing/2014/main" id="{7FF98FB6-12AC-D5C7-D6E3-B0AE56D7EAB9}"/>
            </a:ext>
          </a:extLst>
        </xdr:cNvPr>
        <xdr:cNvSpPr>
          <a:spLocks noGrp="1"/>
        </xdr:cNvSpPr>
      </xdr:nvSpPr>
      <xdr:spPr>
        <a:xfrm>
          <a:off x="0" y="571500"/>
          <a:ext cx="4953000" cy="571500"/>
        </a:xfrm>
        <a:prstGeom prst="rect">
          <a:avLst/>
        </a:prstGeom>
        <a:solidFill>
          <a:schemeClr val="bg2"/>
        </a:solidFill>
        <a:ln>
          <a:noFill/>
        </a:ln>
      </xdr:spPr>
      <xdr:txBody>
        <a:bodyPr spcFirstLastPara="1" wrap="square" lIns="91425" tIns="91425" rIns="91425" bIns="91425" anchor="t" anchorCtr="0">
          <a:normAutofit/>
        </a:bodyPr>
        <a:lstStyle>
          <a:defPPr marR="0" lvl="0" algn="l" rtl="0">
            <a:lnSpc>
              <a:spcPct val="100000"/>
            </a:lnSpc>
            <a:spcBef>
              <a:spcPts val="0"/>
            </a:spcBef>
            <a:spcAft>
              <a:spcPts val="0"/>
            </a:spcAft>
          </a:defPPr>
          <a:lvl1pPr marL="457200" marR="0" lvl="0" indent="-342900" algn="l" rtl="0">
            <a:lnSpc>
              <a:spcPct val="115000"/>
            </a:lnSpc>
            <a:spcBef>
              <a:spcPts val="0"/>
            </a:spcBef>
            <a:spcAft>
              <a:spcPts val="0"/>
            </a:spcAft>
            <a:buClr>
              <a:schemeClr val="dk2"/>
            </a:buClr>
            <a:buSzPts val="1800"/>
            <a:buFont typeface="Arial"/>
            <a:buChar char="●"/>
            <a:defRPr sz="1800" b="0" i="0" u="none" strike="noStrike" cap="none">
              <a:solidFill>
                <a:schemeClr val="dk2"/>
              </a:solidFill>
              <a:latin typeface="Arial"/>
              <a:ea typeface="Arial"/>
              <a:cs typeface="Arial"/>
              <a:sym typeface="Arial"/>
            </a:defRPr>
          </a:lvl1pPr>
          <a:lvl2pPr marL="914400" marR="0" lvl="1" indent="-317500" algn="l" rtl="0">
            <a:lnSpc>
              <a:spcPct val="115000"/>
            </a:lnSpc>
            <a:spcBef>
              <a:spcPts val="0"/>
            </a:spcBef>
            <a:spcAft>
              <a:spcPts val="0"/>
            </a:spcAft>
            <a:buClr>
              <a:schemeClr val="dk2"/>
            </a:buClr>
            <a:buSzPts val="1400"/>
            <a:buFont typeface="Arial"/>
            <a:buChar char="○"/>
            <a:defRPr sz="1400" b="0" i="0" u="none" strike="noStrike" cap="none">
              <a:solidFill>
                <a:schemeClr val="dk2"/>
              </a:solidFill>
              <a:latin typeface="Arial"/>
              <a:ea typeface="Arial"/>
              <a:cs typeface="Arial"/>
              <a:sym typeface="Arial"/>
            </a:defRPr>
          </a:lvl2pPr>
          <a:lvl3pPr marL="1371600" marR="0" lvl="2" indent="-317500" algn="l" rtl="0">
            <a:lnSpc>
              <a:spcPct val="115000"/>
            </a:lnSpc>
            <a:spcBef>
              <a:spcPts val="0"/>
            </a:spcBef>
            <a:spcAft>
              <a:spcPts val="0"/>
            </a:spcAft>
            <a:buClr>
              <a:schemeClr val="dk2"/>
            </a:buClr>
            <a:buSzPts val="1400"/>
            <a:buFont typeface="Arial"/>
            <a:buChar char="■"/>
            <a:defRPr sz="1400" b="0" i="0" u="none" strike="noStrike" cap="none">
              <a:solidFill>
                <a:schemeClr val="dk2"/>
              </a:solidFill>
              <a:latin typeface="Arial"/>
              <a:ea typeface="Arial"/>
              <a:cs typeface="Arial"/>
              <a:sym typeface="Arial"/>
            </a:defRPr>
          </a:lvl3pPr>
          <a:lvl4pPr marL="1828800" marR="0" lvl="3" indent="-317500" algn="l" rtl="0">
            <a:lnSpc>
              <a:spcPct val="115000"/>
            </a:lnSpc>
            <a:spcBef>
              <a:spcPts val="0"/>
            </a:spcBef>
            <a:spcAft>
              <a:spcPts val="0"/>
            </a:spcAft>
            <a:buClr>
              <a:schemeClr val="dk2"/>
            </a:buClr>
            <a:buSzPts val="1400"/>
            <a:buFont typeface="Arial"/>
            <a:buChar char="●"/>
            <a:defRPr sz="1400" b="0" i="0" u="none" strike="noStrike" cap="none">
              <a:solidFill>
                <a:schemeClr val="dk2"/>
              </a:solidFill>
              <a:latin typeface="Arial"/>
              <a:ea typeface="Arial"/>
              <a:cs typeface="Arial"/>
              <a:sym typeface="Arial"/>
            </a:defRPr>
          </a:lvl4pPr>
          <a:lvl5pPr marL="2286000" marR="0" lvl="4" indent="-317500" algn="l" rtl="0">
            <a:lnSpc>
              <a:spcPct val="115000"/>
            </a:lnSpc>
            <a:spcBef>
              <a:spcPts val="0"/>
            </a:spcBef>
            <a:spcAft>
              <a:spcPts val="0"/>
            </a:spcAft>
            <a:buClr>
              <a:schemeClr val="dk2"/>
            </a:buClr>
            <a:buSzPts val="1400"/>
            <a:buFont typeface="Arial"/>
            <a:buChar char="○"/>
            <a:defRPr sz="1400" b="0" i="0" u="none" strike="noStrike" cap="none">
              <a:solidFill>
                <a:schemeClr val="dk2"/>
              </a:solidFill>
              <a:latin typeface="Arial"/>
              <a:ea typeface="Arial"/>
              <a:cs typeface="Arial"/>
              <a:sym typeface="Arial"/>
            </a:defRPr>
          </a:lvl5pPr>
          <a:lvl6pPr marL="2743200" marR="0" lvl="5" indent="-317500" algn="l" rtl="0">
            <a:lnSpc>
              <a:spcPct val="115000"/>
            </a:lnSpc>
            <a:spcBef>
              <a:spcPts val="0"/>
            </a:spcBef>
            <a:spcAft>
              <a:spcPts val="0"/>
            </a:spcAft>
            <a:buClr>
              <a:schemeClr val="dk2"/>
            </a:buClr>
            <a:buSzPts val="1400"/>
            <a:buFont typeface="Arial"/>
            <a:buChar char="■"/>
            <a:defRPr sz="1400" b="0" i="0" u="none" strike="noStrike" cap="none">
              <a:solidFill>
                <a:schemeClr val="dk2"/>
              </a:solidFill>
              <a:latin typeface="Arial"/>
              <a:ea typeface="Arial"/>
              <a:cs typeface="Arial"/>
              <a:sym typeface="Arial"/>
            </a:defRPr>
          </a:lvl6pPr>
          <a:lvl7pPr marL="3200400" marR="0" lvl="6" indent="-317500" algn="l" rtl="0">
            <a:lnSpc>
              <a:spcPct val="115000"/>
            </a:lnSpc>
            <a:spcBef>
              <a:spcPts val="0"/>
            </a:spcBef>
            <a:spcAft>
              <a:spcPts val="0"/>
            </a:spcAft>
            <a:buClr>
              <a:schemeClr val="dk2"/>
            </a:buClr>
            <a:buSzPts val="1400"/>
            <a:buFont typeface="Arial"/>
            <a:buChar char="●"/>
            <a:defRPr sz="1400" b="0" i="0" u="none" strike="noStrike" cap="none">
              <a:solidFill>
                <a:schemeClr val="dk2"/>
              </a:solidFill>
              <a:latin typeface="Arial"/>
              <a:ea typeface="Arial"/>
              <a:cs typeface="Arial"/>
              <a:sym typeface="Arial"/>
            </a:defRPr>
          </a:lvl7pPr>
          <a:lvl8pPr marL="3657600" marR="0" lvl="7" indent="-317500" algn="l" rtl="0">
            <a:lnSpc>
              <a:spcPct val="115000"/>
            </a:lnSpc>
            <a:spcBef>
              <a:spcPts val="0"/>
            </a:spcBef>
            <a:spcAft>
              <a:spcPts val="0"/>
            </a:spcAft>
            <a:buClr>
              <a:schemeClr val="dk2"/>
            </a:buClr>
            <a:buSzPts val="1400"/>
            <a:buFont typeface="Arial"/>
            <a:buChar char="○"/>
            <a:defRPr sz="1400" b="0" i="0" u="none" strike="noStrike" cap="none">
              <a:solidFill>
                <a:schemeClr val="dk2"/>
              </a:solidFill>
              <a:latin typeface="Arial"/>
              <a:ea typeface="Arial"/>
              <a:cs typeface="Arial"/>
              <a:sym typeface="Arial"/>
            </a:defRPr>
          </a:lvl8pPr>
          <a:lvl9pPr marL="4114800" marR="0" lvl="8" indent="-317500" algn="l" rtl="0">
            <a:lnSpc>
              <a:spcPct val="115000"/>
            </a:lnSpc>
            <a:spcBef>
              <a:spcPts val="0"/>
            </a:spcBef>
            <a:spcAft>
              <a:spcPts val="0"/>
            </a:spcAft>
            <a:buClr>
              <a:schemeClr val="dk2"/>
            </a:buClr>
            <a:buSzPts val="1400"/>
            <a:buFont typeface="Arial"/>
            <a:buChar char="■"/>
            <a:defRPr sz="1400" b="0" i="0" u="none" strike="noStrike" cap="none">
              <a:solidFill>
                <a:schemeClr val="dk2"/>
              </a:solidFill>
              <a:latin typeface="Arial"/>
              <a:ea typeface="Arial"/>
              <a:cs typeface="Arial"/>
              <a:sym typeface="Arial"/>
            </a:defRPr>
          </a:lvl9pPr>
        </a:lstStyle>
        <a:p>
          <a:pPr marL="114300" indent="0">
            <a:buNone/>
          </a:pPr>
          <a:r>
            <a:rPr lang="en-US" sz="1200">
              <a:solidFill>
                <a:schemeClr val="tx1"/>
              </a:solidFill>
            </a:rPr>
            <a:t>Laporan keuangan yang digunakan adalah laporan keuangan milik PT Indosat TBK untuk masa periodenya yaitu tahun 2024.</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2</xdr:row>
      <xdr:rowOff>152401</xdr:rowOff>
    </xdr:from>
    <xdr:to>
      <xdr:col>8</xdr:col>
      <xdr:colOff>371474</xdr:colOff>
      <xdr:row>8</xdr:row>
      <xdr:rowOff>0</xdr:rowOff>
    </xdr:to>
    <xdr:sp macro="" textlink="">
      <xdr:nvSpPr>
        <xdr:cNvPr id="3" name="Google Shape;86;g274a64ae36d_1_0">
          <a:extLst>
            <a:ext uri="{FF2B5EF4-FFF2-40B4-BE49-F238E27FC236}">
              <a16:creationId xmlns:a16="http://schemas.microsoft.com/office/drawing/2014/main" id="{DDAABAE8-0773-E488-C56E-AC76FD9207C9}"/>
            </a:ext>
          </a:extLst>
        </xdr:cNvPr>
        <xdr:cNvSpPr txBox="1"/>
      </xdr:nvSpPr>
      <xdr:spPr>
        <a:xfrm>
          <a:off x="0" y="800101"/>
          <a:ext cx="9477374" cy="990599"/>
        </a:xfrm>
        <a:prstGeom prst="rect">
          <a:avLst/>
        </a:prstGeom>
        <a:solidFill>
          <a:schemeClr val="bg2"/>
        </a:solidFill>
        <a:ln>
          <a:noFill/>
        </a:ln>
      </xdr:spPr>
      <xdr:txBody>
        <a:bodyPr spcFirstLastPara="1" wrap="square" lIns="91425" tIns="91425" rIns="91425" bIns="91425" anchor="t" anchorCtr="0">
          <a:no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lvl="0" indent="0" algn="l" rtl="0">
            <a:lnSpc>
              <a:spcPct val="115000"/>
            </a:lnSpc>
            <a:spcBef>
              <a:spcPts val="0"/>
            </a:spcBef>
            <a:spcAft>
              <a:spcPts val="0"/>
            </a:spcAft>
            <a:buClr>
              <a:schemeClr val="dk1"/>
            </a:buClr>
            <a:buSzPts val="1100"/>
            <a:buFont typeface="Arial"/>
            <a:buNone/>
          </a:pPr>
          <a:r>
            <a:rPr lang="id" sz="1200">
              <a:solidFill>
                <a:schemeClr val="dk1"/>
              </a:solidFill>
            </a:rPr>
            <a:t>PT DEAL dan PT DUEL adalah perusahaan yang sama-sama bergerak dibidang manufaktur. Kedua perusahaan ini dikenal bersaing ketat dalam industrinya.Di akhir periode 2023, management PT DEAL ingin mengevaluasi kinerja keuangannya dan membandingkan dengan kondisi keuangan pesaing utamanya yaitu PT DUEL.PT DEAL mengkomparasikan beberapa pos dalam laporan keuangan sebagai beriku</a:t>
          </a:r>
          <a:r>
            <a:rPr lang="en-US" sz="1200">
              <a:solidFill>
                <a:schemeClr val="dk1"/>
              </a:solidFill>
            </a:rPr>
            <a:t>T</a:t>
          </a:r>
          <a:endParaRPr sz="1200">
            <a:solidFill>
              <a:schemeClr val="dk1"/>
            </a:solidFill>
          </a:endParaRPr>
        </a:p>
      </xdr:txBody>
    </xdr:sp>
    <xdr:clientData/>
  </xdr:twoCellAnchor>
  <xdr:twoCellAnchor>
    <xdr:from>
      <xdr:col>0</xdr:col>
      <xdr:colOff>0</xdr:colOff>
      <xdr:row>16</xdr:row>
      <xdr:rowOff>57151</xdr:rowOff>
    </xdr:from>
    <xdr:to>
      <xdr:col>12</xdr:col>
      <xdr:colOff>476250</xdr:colOff>
      <xdr:row>26</xdr:row>
      <xdr:rowOff>57150</xdr:rowOff>
    </xdr:to>
    <xdr:sp macro="" textlink="">
      <xdr:nvSpPr>
        <xdr:cNvPr id="10" name="Text Placeholder 2">
          <a:extLst>
            <a:ext uri="{FF2B5EF4-FFF2-40B4-BE49-F238E27FC236}">
              <a16:creationId xmlns:a16="http://schemas.microsoft.com/office/drawing/2014/main" id="{5EFA5BED-3AC2-EC8A-D414-78776690D11C}"/>
            </a:ext>
          </a:extLst>
        </xdr:cNvPr>
        <xdr:cNvSpPr>
          <a:spLocks noGrp="1"/>
        </xdr:cNvSpPr>
      </xdr:nvSpPr>
      <xdr:spPr>
        <a:xfrm>
          <a:off x="0" y="3419476"/>
          <a:ext cx="12020550" cy="1904999"/>
        </a:xfrm>
        <a:prstGeom prst="rect">
          <a:avLst/>
        </a:prstGeom>
        <a:solidFill>
          <a:schemeClr val="bg2"/>
        </a:solidFill>
        <a:ln>
          <a:noFill/>
        </a:ln>
      </xdr:spPr>
      <xdr:txBody>
        <a:bodyPr spcFirstLastPara="1" wrap="square" lIns="91425" tIns="91425" rIns="91425" bIns="91425" anchor="t" anchorCtr="0">
          <a:normAutofit/>
        </a:bodyPr>
        <a:lstStyle>
          <a:defPPr marR="0" lvl="0" algn="l" rtl="0">
            <a:lnSpc>
              <a:spcPct val="100000"/>
            </a:lnSpc>
            <a:spcBef>
              <a:spcPts val="0"/>
            </a:spcBef>
            <a:spcAft>
              <a:spcPts val="0"/>
            </a:spcAft>
          </a:defPPr>
          <a:lvl1pPr marL="457200" marR="0" lvl="0" indent="-342900" algn="l" rtl="0">
            <a:lnSpc>
              <a:spcPct val="115000"/>
            </a:lnSpc>
            <a:spcBef>
              <a:spcPts val="0"/>
            </a:spcBef>
            <a:spcAft>
              <a:spcPts val="0"/>
            </a:spcAft>
            <a:buClr>
              <a:schemeClr val="dk2"/>
            </a:buClr>
            <a:buSzPts val="1800"/>
            <a:buFont typeface="Arial"/>
            <a:buChar char="●"/>
            <a:defRPr sz="1800" b="0" i="0" u="none" strike="noStrike" cap="none">
              <a:solidFill>
                <a:schemeClr val="dk2"/>
              </a:solidFill>
              <a:latin typeface="Arial"/>
              <a:ea typeface="Arial"/>
              <a:cs typeface="Arial"/>
              <a:sym typeface="Arial"/>
            </a:defRPr>
          </a:lvl1pPr>
          <a:lvl2pPr marL="914400" marR="0" lvl="1" indent="-317500" algn="l" rtl="0">
            <a:lnSpc>
              <a:spcPct val="115000"/>
            </a:lnSpc>
            <a:spcBef>
              <a:spcPts val="0"/>
            </a:spcBef>
            <a:spcAft>
              <a:spcPts val="0"/>
            </a:spcAft>
            <a:buClr>
              <a:schemeClr val="dk2"/>
            </a:buClr>
            <a:buSzPts val="1400"/>
            <a:buFont typeface="Arial"/>
            <a:buChar char="○"/>
            <a:defRPr sz="1400" b="0" i="0" u="none" strike="noStrike" cap="none">
              <a:solidFill>
                <a:schemeClr val="dk2"/>
              </a:solidFill>
              <a:latin typeface="Arial"/>
              <a:ea typeface="Arial"/>
              <a:cs typeface="Arial"/>
              <a:sym typeface="Arial"/>
            </a:defRPr>
          </a:lvl2pPr>
          <a:lvl3pPr marL="1371600" marR="0" lvl="2" indent="-317500" algn="l" rtl="0">
            <a:lnSpc>
              <a:spcPct val="115000"/>
            </a:lnSpc>
            <a:spcBef>
              <a:spcPts val="0"/>
            </a:spcBef>
            <a:spcAft>
              <a:spcPts val="0"/>
            </a:spcAft>
            <a:buClr>
              <a:schemeClr val="dk2"/>
            </a:buClr>
            <a:buSzPts val="1400"/>
            <a:buFont typeface="Arial"/>
            <a:buChar char="■"/>
            <a:defRPr sz="1400" b="0" i="0" u="none" strike="noStrike" cap="none">
              <a:solidFill>
                <a:schemeClr val="dk2"/>
              </a:solidFill>
              <a:latin typeface="Arial"/>
              <a:ea typeface="Arial"/>
              <a:cs typeface="Arial"/>
              <a:sym typeface="Arial"/>
            </a:defRPr>
          </a:lvl3pPr>
          <a:lvl4pPr marL="1828800" marR="0" lvl="3" indent="-317500" algn="l" rtl="0">
            <a:lnSpc>
              <a:spcPct val="115000"/>
            </a:lnSpc>
            <a:spcBef>
              <a:spcPts val="0"/>
            </a:spcBef>
            <a:spcAft>
              <a:spcPts val="0"/>
            </a:spcAft>
            <a:buClr>
              <a:schemeClr val="dk2"/>
            </a:buClr>
            <a:buSzPts val="1400"/>
            <a:buFont typeface="Arial"/>
            <a:buChar char="●"/>
            <a:defRPr sz="1400" b="0" i="0" u="none" strike="noStrike" cap="none">
              <a:solidFill>
                <a:schemeClr val="dk2"/>
              </a:solidFill>
              <a:latin typeface="Arial"/>
              <a:ea typeface="Arial"/>
              <a:cs typeface="Arial"/>
              <a:sym typeface="Arial"/>
            </a:defRPr>
          </a:lvl4pPr>
          <a:lvl5pPr marL="2286000" marR="0" lvl="4" indent="-317500" algn="l" rtl="0">
            <a:lnSpc>
              <a:spcPct val="115000"/>
            </a:lnSpc>
            <a:spcBef>
              <a:spcPts val="0"/>
            </a:spcBef>
            <a:spcAft>
              <a:spcPts val="0"/>
            </a:spcAft>
            <a:buClr>
              <a:schemeClr val="dk2"/>
            </a:buClr>
            <a:buSzPts val="1400"/>
            <a:buFont typeface="Arial"/>
            <a:buChar char="○"/>
            <a:defRPr sz="1400" b="0" i="0" u="none" strike="noStrike" cap="none">
              <a:solidFill>
                <a:schemeClr val="dk2"/>
              </a:solidFill>
              <a:latin typeface="Arial"/>
              <a:ea typeface="Arial"/>
              <a:cs typeface="Arial"/>
              <a:sym typeface="Arial"/>
            </a:defRPr>
          </a:lvl5pPr>
          <a:lvl6pPr marL="2743200" marR="0" lvl="5" indent="-317500" algn="l" rtl="0">
            <a:lnSpc>
              <a:spcPct val="115000"/>
            </a:lnSpc>
            <a:spcBef>
              <a:spcPts val="0"/>
            </a:spcBef>
            <a:spcAft>
              <a:spcPts val="0"/>
            </a:spcAft>
            <a:buClr>
              <a:schemeClr val="dk2"/>
            </a:buClr>
            <a:buSzPts val="1400"/>
            <a:buFont typeface="Arial"/>
            <a:buChar char="■"/>
            <a:defRPr sz="1400" b="0" i="0" u="none" strike="noStrike" cap="none">
              <a:solidFill>
                <a:schemeClr val="dk2"/>
              </a:solidFill>
              <a:latin typeface="Arial"/>
              <a:ea typeface="Arial"/>
              <a:cs typeface="Arial"/>
              <a:sym typeface="Arial"/>
            </a:defRPr>
          </a:lvl6pPr>
          <a:lvl7pPr marL="3200400" marR="0" lvl="6" indent="-317500" algn="l" rtl="0">
            <a:lnSpc>
              <a:spcPct val="115000"/>
            </a:lnSpc>
            <a:spcBef>
              <a:spcPts val="0"/>
            </a:spcBef>
            <a:spcAft>
              <a:spcPts val="0"/>
            </a:spcAft>
            <a:buClr>
              <a:schemeClr val="dk2"/>
            </a:buClr>
            <a:buSzPts val="1400"/>
            <a:buFont typeface="Arial"/>
            <a:buChar char="●"/>
            <a:defRPr sz="1400" b="0" i="0" u="none" strike="noStrike" cap="none">
              <a:solidFill>
                <a:schemeClr val="dk2"/>
              </a:solidFill>
              <a:latin typeface="Arial"/>
              <a:ea typeface="Arial"/>
              <a:cs typeface="Arial"/>
              <a:sym typeface="Arial"/>
            </a:defRPr>
          </a:lvl7pPr>
          <a:lvl8pPr marL="3657600" marR="0" lvl="7" indent="-317500" algn="l" rtl="0">
            <a:lnSpc>
              <a:spcPct val="115000"/>
            </a:lnSpc>
            <a:spcBef>
              <a:spcPts val="0"/>
            </a:spcBef>
            <a:spcAft>
              <a:spcPts val="0"/>
            </a:spcAft>
            <a:buClr>
              <a:schemeClr val="dk2"/>
            </a:buClr>
            <a:buSzPts val="1400"/>
            <a:buFont typeface="Arial"/>
            <a:buChar char="○"/>
            <a:defRPr sz="1400" b="0" i="0" u="none" strike="noStrike" cap="none">
              <a:solidFill>
                <a:schemeClr val="dk2"/>
              </a:solidFill>
              <a:latin typeface="Arial"/>
              <a:ea typeface="Arial"/>
              <a:cs typeface="Arial"/>
              <a:sym typeface="Arial"/>
            </a:defRPr>
          </a:lvl8pPr>
          <a:lvl9pPr marL="4114800" marR="0" lvl="8" indent="-317500" algn="l" rtl="0">
            <a:lnSpc>
              <a:spcPct val="115000"/>
            </a:lnSpc>
            <a:spcBef>
              <a:spcPts val="0"/>
            </a:spcBef>
            <a:spcAft>
              <a:spcPts val="0"/>
            </a:spcAft>
            <a:buClr>
              <a:schemeClr val="dk2"/>
            </a:buClr>
            <a:buSzPts val="1400"/>
            <a:buFont typeface="Arial"/>
            <a:buChar char="■"/>
            <a:defRPr sz="1400" b="0" i="0" u="none" strike="noStrike" cap="none">
              <a:solidFill>
                <a:schemeClr val="dk2"/>
              </a:solidFill>
              <a:latin typeface="Arial"/>
              <a:ea typeface="Arial"/>
              <a:cs typeface="Arial"/>
              <a:sym typeface="Arial"/>
            </a:defRPr>
          </a:lvl9pPr>
        </a:lstStyle>
        <a:p>
          <a:pPr marL="114300" indent="0" algn="l">
            <a:buNone/>
          </a:pPr>
          <a:r>
            <a:rPr lang="en-US" sz="1200" b="1">
              <a:solidFill>
                <a:schemeClr val="tx1"/>
              </a:solidFill>
            </a:rPr>
            <a:t>				JAWAB</a:t>
          </a:r>
        </a:p>
        <a:p>
          <a:pPr marL="114300" indent="0" algn="just">
            <a:buNone/>
          </a:pPr>
          <a:endParaRPr lang="en-US" sz="1200">
            <a:solidFill>
              <a:schemeClr val="tx1"/>
            </a:solidFill>
          </a:endParaRPr>
        </a:p>
        <a:p>
          <a:pPr marL="114300" indent="0" algn="just">
            <a:buNone/>
          </a:pPr>
          <a:r>
            <a:rPr lang="en-US" sz="1200">
              <a:solidFill>
                <a:schemeClr val="tx1"/>
              </a:solidFill>
            </a:rPr>
            <a:t>Pendapatan perusahaan PT DEAL lebih tinggi dibandingkan dengan PT DUEL artinya PT DEAL lebih baik</a:t>
          </a:r>
          <a:r>
            <a:rPr lang="en-US" sz="1200" baseline="0">
              <a:solidFill>
                <a:schemeClr val="tx1"/>
              </a:solidFill>
            </a:rPr>
            <a:t> </a:t>
          </a:r>
          <a:r>
            <a:rPr lang="en-US" sz="1200">
              <a:solidFill>
                <a:schemeClr val="tx1"/>
              </a:solidFill>
            </a:rPr>
            <a:t>untuk urusan pendapatan.</a:t>
          </a:r>
        </a:p>
        <a:p>
          <a:pPr marL="114300" indent="0" algn="just">
            <a:buNone/>
          </a:pPr>
          <a:r>
            <a:rPr lang="en-US" sz="1200">
              <a:solidFill>
                <a:schemeClr val="tx1"/>
              </a:solidFill>
            </a:rPr>
            <a:t>Laba yang dihasilkan PT DEAL jauh lebih sedikit PT DUEL artinya PT Deal lebih baik dalam memperoleh laba</a:t>
          </a:r>
        </a:p>
        <a:p>
          <a:pPr marL="114300" indent="0" algn="just">
            <a:buNone/>
          </a:pPr>
          <a:r>
            <a:rPr lang="en-US" sz="1200">
              <a:solidFill>
                <a:schemeClr val="tx1"/>
              </a:solidFill>
            </a:rPr>
            <a:t>Aktiva Perusahaan PT DEAL jauh lebih rendah dibandingkan PT DUEL yang artinya PT</a:t>
          </a:r>
          <a:r>
            <a:rPr lang="en-US" sz="1200" baseline="0">
              <a:solidFill>
                <a:schemeClr val="tx1"/>
              </a:solidFill>
            </a:rPr>
            <a:t> DEAL</a:t>
          </a:r>
          <a:r>
            <a:rPr lang="en-US" sz="1200">
              <a:solidFill>
                <a:schemeClr val="tx1"/>
              </a:solidFill>
            </a:rPr>
            <a:t> kurang memiliki potensi untuk berkembang</a:t>
          </a:r>
          <a:r>
            <a:rPr lang="en-US" sz="1200" baseline="0">
              <a:solidFill>
                <a:schemeClr val="tx1"/>
              </a:solidFill>
            </a:rPr>
            <a:t> </a:t>
          </a:r>
          <a:r>
            <a:rPr lang="en-US" sz="1200">
              <a:solidFill>
                <a:schemeClr val="tx1"/>
              </a:solidFill>
            </a:rPr>
            <a:t>memiliki aktiva yanglebih sedikit</a:t>
          </a:r>
          <a:r>
            <a:rPr lang="id-ID" sz="1200">
              <a:solidFill>
                <a:schemeClr val="tx1"/>
              </a:solidFill>
            </a:rPr>
            <a:t>.</a:t>
          </a:r>
          <a:endParaRPr lang="en-US" sz="1200">
            <a:solidFill>
              <a:schemeClr val="tx1"/>
            </a:solidFill>
          </a:endParaRPr>
        </a:p>
        <a:p>
          <a:pPr marL="114300" indent="0" algn="just">
            <a:buNone/>
          </a:pPr>
          <a:r>
            <a:rPr lang="id-ID" sz="1200">
              <a:solidFill>
                <a:schemeClr val="tx1"/>
              </a:solidFill>
            </a:rPr>
            <a:t>Modal Perusahaan sama</a:t>
          </a:r>
          <a:r>
            <a:rPr lang="en-US" sz="1200">
              <a:solidFill>
                <a:schemeClr val="tx1"/>
              </a:solidFill>
            </a:rPr>
            <a:t> yang bearti s</a:t>
          </a:r>
          <a:r>
            <a:rPr lang="id-ID" sz="1200">
              <a:solidFill>
                <a:schemeClr val="tx1"/>
              </a:solidFill>
            </a:rPr>
            <a:t>ecara modal perusahaan memiliki potensi yang sama untuk berkembang.</a:t>
          </a:r>
        </a:p>
        <a:p>
          <a:pPr marL="342900" indent="-228600" algn="just">
            <a:buFont typeface="+mj-lt"/>
            <a:buAutoNum type="arabicPeriod"/>
          </a:pPr>
          <a:endParaRPr lang="id-ID" sz="1200">
            <a:solidFill>
              <a:schemeClr val="tx1"/>
            </a:solidFill>
          </a:endParaRPr>
        </a:p>
      </xdr:txBody>
    </xdr:sp>
    <xdr:clientData/>
  </xdr:twoCellAnchor>
  <xdr:twoCellAnchor>
    <xdr:from>
      <xdr:col>0</xdr:col>
      <xdr:colOff>0</xdr:colOff>
      <xdr:row>26</xdr:row>
      <xdr:rowOff>0</xdr:rowOff>
    </xdr:from>
    <xdr:to>
      <xdr:col>7</xdr:col>
      <xdr:colOff>34200</xdr:colOff>
      <xdr:row>28</xdr:row>
      <xdr:rowOff>8100</xdr:rowOff>
    </xdr:to>
    <xdr:sp macro="" textlink="">
      <xdr:nvSpPr>
        <xdr:cNvPr id="13" name="Google Shape;109;g274a64ae36d_1_68">
          <a:extLst>
            <a:ext uri="{FF2B5EF4-FFF2-40B4-BE49-F238E27FC236}">
              <a16:creationId xmlns:a16="http://schemas.microsoft.com/office/drawing/2014/main" id="{907CB89A-9E2D-C693-37F2-475C30EBD8E1}"/>
            </a:ext>
          </a:extLst>
        </xdr:cNvPr>
        <xdr:cNvSpPr txBox="1"/>
      </xdr:nvSpPr>
      <xdr:spPr>
        <a:xfrm>
          <a:off x="0" y="4695825"/>
          <a:ext cx="8530500" cy="389100"/>
        </a:xfrm>
        <a:prstGeom prst="rect">
          <a:avLst/>
        </a:prstGeom>
        <a:noFill/>
        <a:ln>
          <a:noFill/>
        </a:ln>
      </xdr:spPr>
      <xdr:txBody>
        <a:bodyPr spcFirstLastPara="1" wrap="square" lIns="91425" tIns="91425" rIns="91425" bIns="91425" anchor="t" anchorCtr="0">
          <a:no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lvl="0" indent="0" algn="l" rtl="0">
            <a:lnSpc>
              <a:spcPct val="115000"/>
            </a:lnSpc>
            <a:spcBef>
              <a:spcPts val="0"/>
            </a:spcBef>
            <a:spcAft>
              <a:spcPts val="0"/>
            </a:spcAft>
            <a:buClr>
              <a:srgbClr val="000000"/>
            </a:buClr>
            <a:buSzPts val="1100"/>
            <a:buFont typeface="Arial"/>
            <a:buNone/>
          </a:pPr>
          <a:r>
            <a:rPr lang="id" sz="1200">
              <a:solidFill>
                <a:srgbClr val="000000"/>
              </a:solidFill>
            </a:rPr>
            <a:t>Selain pos-pos tersebut, PT DEAL juga membandingkan data dari rasio keuangan kunci pada laporan keuangan untuk menilai kinerja, diantaranya sebagai berikut:</a:t>
          </a:r>
          <a:endParaRPr sz="1200">
            <a:solidFill>
              <a:srgbClr val="000000"/>
            </a:solidFill>
          </a:endParaRPr>
        </a:p>
        <a:p>
          <a:pPr marL="0" lvl="0" indent="0" algn="l" rtl="0">
            <a:lnSpc>
              <a:spcPct val="115000"/>
            </a:lnSpc>
            <a:spcBef>
              <a:spcPts val="0"/>
            </a:spcBef>
            <a:spcAft>
              <a:spcPts val="0"/>
            </a:spcAft>
            <a:buClr>
              <a:srgbClr val="000000"/>
            </a:buClr>
            <a:buSzPts val="1100"/>
            <a:buFont typeface="Arial"/>
            <a:buNone/>
          </a:pPr>
          <a:endParaRPr sz="1200">
            <a:solidFill>
              <a:srgbClr val="000000"/>
            </a:solidFill>
          </a:endParaRPr>
        </a:p>
      </xdr:txBody>
    </xdr:sp>
    <xdr:clientData/>
  </xdr:twoCellAnchor>
  <xdr:twoCellAnchor>
    <xdr:from>
      <xdr:col>0</xdr:col>
      <xdr:colOff>0</xdr:colOff>
      <xdr:row>36</xdr:row>
      <xdr:rowOff>0</xdr:rowOff>
    </xdr:from>
    <xdr:to>
      <xdr:col>8</xdr:col>
      <xdr:colOff>152400</xdr:colOff>
      <xdr:row>39</xdr:row>
      <xdr:rowOff>0</xdr:rowOff>
    </xdr:to>
    <xdr:sp macro="" textlink="">
      <xdr:nvSpPr>
        <xdr:cNvPr id="15" name="Google Shape;109;g274a64ae36d_1_68">
          <a:extLst>
            <a:ext uri="{FF2B5EF4-FFF2-40B4-BE49-F238E27FC236}">
              <a16:creationId xmlns:a16="http://schemas.microsoft.com/office/drawing/2014/main" id="{919765F1-88B2-BCF9-EC45-5C48D52B330F}"/>
            </a:ext>
          </a:extLst>
        </xdr:cNvPr>
        <xdr:cNvSpPr txBox="1"/>
      </xdr:nvSpPr>
      <xdr:spPr>
        <a:xfrm>
          <a:off x="0" y="7277100"/>
          <a:ext cx="9258300" cy="571500"/>
        </a:xfrm>
        <a:prstGeom prst="rect">
          <a:avLst/>
        </a:prstGeom>
        <a:solidFill>
          <a:schemeClr val="bg2"/>
        </a:solidFill>
        <a:ln>
          <a:noFill/>
        </a:ln>
      </xdr:spPr>
      <xdr:txBody>
        <a:bodyPr spcFirstLastPara="1" wrap="square" lIns="91425" tIns="91425" rIns="91425" bIns="91425" anchor="t" anchorCtr="0">
          <a:no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lvl="0" indent="0" algn="l" rtl="0">
            <a:lnSpc>
              <a:spcPct val="115000"/>
            </a:lnSpc>
            <a:spcBef>
              <a:spcPts val="0"/>
            </a:spcBef>
            <a:spcAft>
              <a:spcPts val="0"/>
            </a:spcAft>
            <a:buClr>
              <a:schemeClr val="dk1"/>
            </a:buClr>
            <a:buSzPts val="1100"/>
            <a:buFont typeface="Arial"/>
            <a:buNone/>
          </a:pPr>
          <a:r>
            <a:rPr lang="id" sz="1200">
              <a:solidFill>
                <a:schemeClr val="dk1"/>
              </a:solidFill>
            </a:rPr>
            <a:t>Dari data diatas, buatlah analisa dengan komparatif dari setiap aspek data yang ada, kemudian jelaskan dengan baik implikasi serta hasil analisis secara keseluruhan untuk menentukan perusahaan mana yang lebih unggul.</a:t>
          </a:r>
          <a:endParaRPr sz="1200">
            <a:solidFill>
              <a:schemeClr val="dk1"/>
            </a:solidFill>
          </a:endParaRPr>
        </a:p>
        <a:p>
          <a:pPr marL="0" lvl="0" indent="0" algn="l" rtl="0">
            <a:lnSpc>
              <a:spcPct val="115000"/>
            </a:lnSpc>
            <a:spcBef>
              <a:spcPts val="0"/>
            </a:spcBef>
            <a:spcAft>
              <a:spcPts val="0"/>
            </a:spcAft>
            <a:buClr>
              <a:srgbClr val="000000"/>
            </a:buClr>
            <a:buSzPts val="1100"/>
            <a:buFont typeface="Arial"/>
            <a:buNone/>
          </a:pPr>
          <a:endParaRPr sz="1200">
            <a:solidFill>
              <a:schemeClr val="dk1"/>
            </a:solidFill>
          </a:endParaRPr>
        </a:p>
      </xdr:txBody>
    </xdr:sp>
    <xdr:clientData/>
  </xdr:twoCellAnchor>
  <xdr:twoCellAnchor>
    <xdr:from>
      <xdr:col>0</xdr:col>
      <xdr:colOff>0</xdr:colOff>
      <xdr:row>40</xdr:row>
      <xdr:rowOff>0</xdr:rowOff>
    </xdr:from>
    <xdr:to>
      <xdr:col>8</xdr:col>
      <xdr:colOff>200025</xdr:colOff>
      <xdr:row>49</xdr:row>
      <xdr:rowOff>99382</xdr:rowOff>
    </xdr:to>
    <xdr:sp macro="" textlink="">
      <xdr:nvSpPr>
        <xdr:cNvPr id="17" name="Text Placeholder 2">
          <a:extLst>
            <a:ext uri="{FF2B5EF4-FFF2-40B4-BE49-F238E27FC236}">
              <a16:creationId xmlns:a16="http://schemas.microsoft.com/office/drawing/2014/main" id="{C9CD9EBD-4FCB-9FF5-F304-7B403D4C56D1}"/>
            </a:ext>
          </a:extLst>
        </xdr:cNvPr>
        <xdr:cNvSpPr>
          <a:spLocks noGrp="1"/>
        </xdr:cNvSpPr>
      </xdr:nvSpPr>
      <xdr:spPr>
        <a:xfrm>
          <a:off x="0" y="8039100"/>
          <a:ext cx="9305925" cy="1813882"/>
        </a:xfrm>
        <a:prstGeom prst="rect">
          <a:avLst/>
        </a:prstGeom>
        <a:solidFill>
          <a:schemeClr val="bg2"/>
        </a:solidFill>
        <a:ln>
          <a:noFill/>
        </a:ln>
      </xdr:spPr>
      <xdr:txBody>
        <a:bodyPr spcFirstLastPara="1" wrap="square" lIns="91425" tIns="91425" rIns="91425" bIns="91425" anchor="t" anchorCtr="0">
          <a:noAutofit/>
        </a:bodyPr>
        <a:lstStyle>
          <a:defPPr marR="0" lvl="0" algn="l" rtl="0">
            <a:lnSpc>
              <a:spcPct val="100000"/>
            </a:lnSpc>
            <a:spcBef>
              <a:spcPts val="0"/>
            </a:spcBef>
            <a:spcAft>
              <a:spcPts val="0"/>
            </a:spcAft>
          </a:defPPr>
          <a:lvl1pPr marL="457200" marR="0" lvl="0" indent="-342900" algn="l" rtl="0">
            <a:lnSpc>
              <a:spcPct val="115000"/>
            </a:lnSpc>
            <a:spcBef>
              <a:spcPts val="0"/>
            </a:spcBef>
            <a:spcAft>
              <a:spcPts val="0"/>
            </a:spcAft>
            <a:buClr>
              <a:schemeClr val="dk2"/>
            </a:buClr>
            <a:buSzPts val="1800"/>
            <a:buFont typeface="Arial"/>
            <a:buChar char="●"/>
            <a:defRPr sz="1800" b="0" i="0" u="none" strike="noStrike" cap="none">
              <a:solidFill>
                <a:schemeClr val="dk2"/>
              </a:solidFill>
              <a:latin typeface="Arial"/>
              <a:ea typeface="Arial"/>
              <a:cs typeface="Arial"/>
              <a:sym typeface="Arial"/>
            </a:defRPr>
          </a:lvl1pPr>
          <a:lvl2pPr marL="914400" marR="0" lvl="1" indent="-317500" algn="l" rtl="0">
            <a:lnSpc>
              <a:spcPct val="115000"/>
            </a:lnSpc>
            <a:spcBef>
              <a:spcPts val="0"/>
            </a:spcBef>
            <a:spcAft>
              <a:spcPts val="0"/>
            </a:spcAft>
            <a:buClr>
              <a:schemeClr val="dk2"/>
            </a:buClr>
            <a:buSzPts val="1400"/>
            <a:buFont typeface="Arial"/>
            <a:buChar char="○"/>
            <a:defRPr sz="1400" b="0" i="0" u="none" strike="noStrike" cap="none">
              <a:solidFill>
                <a:schemeClr val="dk2"/>
              </a:solidFill>
              <a:latin typeface="Arial"/>
              <a:ea typeface="Arial"/>
              <a:cs typeface="Arial"/>
              <a:sym typeface="Arial"/>
            </a:defRPr>
          </a:lvl2pPr>
          <a:lvl3pPr marL="1371600" marR="0" lvl="2" indent="-317500" algn="l" rtl="0">
            <a:lnSpc>
              <a:spcPct val="115000"/>
            </a:lnSpc>
            <a:spcBef>
              <a:spcPts val="0"/>
            </a:spcBef>
            <a:spcAft>
              <a:spcPts val="0"/>
            </a:spcAft>
            <a:buClr>
              <a:schemeClr val="dk2"/>
            </a:buClr>
            <a:buSzPts val="1400"/>
            <a:buFont typeface="Arial"/>
            <a:buChar char="■"/>
            <a:defRPr sz="1400" b="0" i="0" u="none" strike="noStrike" cap="none">
              <a:solidFill>
                <a:schemeClr val="dk2"/>
              </a:solidFill>
              <a:latin typeface="Arial"/>
              <a:ea typeface="Arial"/>
              <a:cs typeface="Arial"/>
              <a:sym typeface="Arial"/>
            </a:defRPr>
          </a:lvl3pPr>
          <a:lvl4pPr marL="1828800" marR="0" lvl="3" indent="-317500" algn="l" rtl="0">
            <a:lnSpc>
              <a:spcPct val="115000"/>
            </a:lnSpc>
            <a:spcBef>
              <a:spcPts val="0"/>
            </a:spcBef>
            <a:spcAft>
              <a:spcPts val="0"/>
            </a:spcAft>
            <a:buClr>
              <a:schemeClr val="dk2"/>
            </a:buClr>
            <a:buSzPts val="1400"/>
            <a:buFont typeface="Arial"/>
            <a:buChar char="●"/>
            <a:defRPr sz="1400" b="0" i="0" u="none" strike="noStrike" cap="none">
              <a:solidFill>
                <a:schemeClr val="dk2"/>
              </a:solidFill>
              <a:latin typeface="Arial"/>
              <a:ea typeface="Arial"/>
              <a:cs typeface="Arial"/>
              <a:sym typeface="Arial"/>
            </a:defRPr>
          </a:lvl4pPr>
          <a:lvl5pPr marL="2286000" marR="0" lvl="4" indent="-317500" algn="l" rtl="0">
            <a:lnSpc>
              <a:spcPct val="115000"/>
            </a:lnSpc>
            <a:spcBef>
              <a:spcPts val="0"/>
            </a:spcBef>
            <a:spcAft>
              <a:spcPts val="0"/>
            </a:spcAft>
            <a:buClr>
              <a:schemeClr val="dk2"/>
            </a:buClr>
            <a:buSzPts val="1400"/>
            <a:buFont typeface="Arial"/>
            <a:buChar char="○"/>
            <a:defRPr sz="1400" b="0" i="0" u="none" strike="noStrike" cap="none">
              <a:solidFill>
                <a:schemeClr val="dk2"/>
              </a:solidFill>
              <a:latin typeface="Arial"/>
              <a:ea typeface="Arial"/>
              <a:cs typeface="Arial"/>
              <a:sym typeface="Arial"/>
            </a:defRPr>
          </a:lvl5pPr>
          <a:lvl6pPr marL="2743200" marR="0" lvl="5" indent="-317500" algn="l" rtl="0">
            <a:lnSpc>
              <a:spcPct val="115000"/>
            </a:lnSpc>
            <a:spcBef>
              <a:spcPts val="0"/>
            </a:spcBef>
            <a:spcAft>
              <a:spcPts val="0"/>
            </a:spcAft>
            <a:buClr>
              <a:schemeClr val="dk2"/>
            </a:buClr>
            <a:buSzPts val="1400"/>
            <a:buFont typeface="Arial"/>
            <a:buChar char="■"/>
            <a:defRPr sz="1400" b="0" i="0" u="none" strike="noStrike" cap="none">
              <a:solidFill>
                <a:schemeClr val="dk2"/>
              </a:solidFill>
              <a:latin typeface="Arial"/>
              <a:ea typeface="Arial"/>
              <a:cs typeface="Arial"/>
              <a:sym typeface="Arial"/>
            </a:defRPr>
          </a:lvl6pPr>
          <a:lvl7pPr marL="3200400" marR="0" lvl="6" indent="-317500" algn="l" rtl="0">
            <a:lnSpc>
              <a:spcPct val="115000"/>
            </a:lnSpc>
            <a:spcBef>
              <a:spcPts val="0"/>
            </a:spcBef>
            <a:spcAft>
              <a:spcPts val="0"/>
            </a:spcAft>
            <a:buClr>
              <a:schemeClr val="dk2"/>
            </a:buClr>
            <a:buSzPts val="1400"/>
            <a:buFont typeface="Arial"/>
            <a:buChar char="●"/>
            <a:defRPr sz="1400" b="0" i="0" u="none" strike="noStrike" cap="none">
              <a:solidFill>
                <a:schemeClr val="dk2"/>
              </a:solidFill>
              <a:latin typeface="Arial"/>
              <a:ea typeface="Arial"/>
              <a:cs typeface="Arial"/>
              <a:sym typeface="Arial"/>
            </a:defRPr>
          </a:lvl7pPr>
          <a:lvl8pPr marL="3657600" marR="0" lvl="7" indent="-317500" algn="l" rtl="0">
            <a:lnSpc>
              <a:spcPct val="115000"/>
            </a:lnSpc>
            <a:spcBef>
              <a:spcPts val="0"/>
            </a:spcBef>
            <a:spcAft>
              <a:spcPts val="0"/>
            </a:spcAft>
            <a:buClr>
              <a:schemeClr val="dk2"/>
            </a:buClr>
            <a:buSzPts val="1400"/>
            <a:buFont typeface="Arial"/>
            <a:buChar char="○"/>
            <a:defRPr sz="1400" b="0" i="0" u="none" strike="noStrike" cap="none">
              <a:solidFill>
                <a:schemeClr val="dk2"/>
              </a:solidFill>
              <a:latin typeface="Arial"/>
              <a:ea typeface="Arial"/>
              <a:cs typeface="Arial"/>
              <a:sym typeface="Arial"/>
            </a:defRPr>
          </a:lvl8pPr>
          <a:lvl9pPr marL="4114800" marR="0" lvl="8" indent="-317500" algn="l" rtl="0">
            <a:lnSpc>
              <a:spcPct val="115000"/>
            </a:lnSpc>
            <a:spcBef>
              <a:spcPts val="0"/>
            </a:spcBef>
            <a:spcAft>
              <a:spcPts val="0"/>
            </a:spcAft>
            <a:buClr>
              <a:schemeClr val="dk2"/>
            </a:buClr>
            <a:buSzPts val="1400"/>
            <a:buFont typeface="Arial"/>
            <a:buChar char="■"/>
            <a:defRPr sz="1400" b="0" i="0" u="none" strike="noStrike" cap="none">
              <a:solidFill>
                <a:schemeClr val="dk2"/>
              </a:solidFill>
              <a:latin typeface="Arial"/>
              <a:ea typeface="Arial"/>
              <a:cs typeface="Arial"/>
              <a:sym typeface="Arial"/>
            </a:defRPr>
          </a:lvl9pPr>
        </a:lstStyle>
        <a:p>
          <a:pPr marL="114300" indent="0" algn="l">
            <a:buNone/>
          </a:pPr>
          <a:r>
            <a:rPr lang="en-US" sz="1200" b="1">
              <a:solidFill>
                <a:schemeClr val="tx1"/>
              </a:solidFill>
            </a:rPr>
            <a:t>				JAWAB</a:t>
          </a:r>
        </a:p>
        <a:p>
          <a:pPr marL="114300" indent="0" algn="l">
            <a:buNone/>
          </a:pPr>
          <a:r>
            <a:rPr lang="en-US" sz="1200">
              <a:solidFill>
                <a:schemeClr val="tx1"/>
              </a:solidFill>
            </a:rPr>
            <a:t> Return on investasi PT DEAL jauh lebih rendah artinya perusahaan belum bisa memanfaatkan </a:t>
          </a:r>
          <a:r>
            <a:rPr lang="id-ID" sz="1200">
              <a:solidFill>
                <a:schemeClr val="tx1"/>
              </a:solidFill>
            </a:rPr>
            <a:t>aktivanya sebaik PT Duel.</a:t>
          </a:r>
          <a:r>
            <a:rPr lang="en-US" sz="1200">
              <a:solidFill>
                <a:schemeClr val="tx1"/>
              </a:solidFill>
            </a:rPr>
            <a:t> </a:t>
          </a:r>
          <a:endParaRPr lang="id-ID" sz="1200">
            <a:solidFill>
              <a:schemeClr val="tx1"/>
            </a:solidFill>
          </a:endParaRPr>
        </a:p>
        <a:p>
          <a:pPr marL="114300" indent="0" algn="just">
            <a:buNone/>
          </a:pPr>
          <a:r>
            <a:rPr lang="en-ID" sz="1200" baseline="0">
              <a:solidFill>
                <a:schemeClr val="tx1"/>
              </a:solidFill>
            </a:rPr>
            <a:t> </a:t>
          </a:r>
          <a:r>
            <a:rPr lang="en-ID" sz="1200">
              <a:solidFill>
                <a:schemeClr val="tx1"/>
              </a:solidFill>
            </a:rPr>
            <a:t>Return On Equity lebih rendah sedikit yang artinya PT DEAL masih kurang kompetitif dalam menfaatkan modal sendiri.</a:t>
          </a:r>
        </a:p>
        <a:p>
          <a:pPr marL="114300" indent="0" algn="just">
            <a:buNone/>
          </a:pPr>
          <a:r>
            <a:rPr lang="en-ID" sz="1200">
              <a:solidFill>
                <a:schemeClr val="tx1"/>
              </a:solidFill>
            </a:rPr>
            <a:t> Net Profit Margin PT DEAL lebih kecil di bandingkan dengan PT DUEL</a:t>
          </a:r>
          <a:r>
            <a:rPr lang="id-ID" sz="1200">
              <a:solidFill>
                <a:schemeClr val="tx1"/>
              </a:solidFill>
            </a:rPr>
            <a:t> </a:t>
          </a:r>
          <a:r>
            <a:rPr lang="en-US" sz="1200">
              <a:solidFill>
                <a:schemeClr val="tx1"/>
              </a:solidFill>
            </a:rPr>
            <a:t>artinya PT Duel lebih baik dalam menghasilkan keuntungan</a:t>
          </a:r>
          <a:endParaRPr lang="en-ID" sz="1200">
            <a:solidFill>
              <a:schemeClr val="tx1"/>
            </a:solidFill>
          </a:endParaRPr>
        </a:p>
      </xdr:txBody>
    </xdr:sp>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2</xdr:row>
      <xdr:rowOff>19050</xdr:rowOff>
    </xdr:from>
    <xdr:to>
      <xdr:col>7</xdr:col>
      <xdr:colOff>123824</xdr:colOff>
      <xdr:row>22</xdr:row>
      <xdr:rowOff>76200</xdr:rowOff>
    </xdr:to>
    <xdr:pic>
      <xdr:nvPicPr>
        <xdr:cNvPr id="3" name="Google Shape;109;g274a62c5dcd_0_69">
          <a:extLst>
            <a:ext uri="{FF2B5EF4-FFF2-40B4-BE49-F238E27FC236}">
              <a16:creationId xmlns:a16="http://schemas.microsoft.com/office/drawing/2014/main" id="{C440ECA0-6ADA-EAFC-120F-5A9642AB4414}"/>
            </a:ext>
          </a:extLst>
        </xdr:cNvPr>
        <xdr:cNvPicPr preferRelativeResize="0"/>
      </xdr:nvPicPr>
      <xdr:blipFill rotWithShape="1">
        <a:blip xmlns:r="http://schemas.openxmlformats.org/officeDocument/2006/relationships" r:embed="rId1">
          <a:alphaModFix/>
        </a:blip>
        <a:srcRect/>
        <a:stretch/>
      </xdr:blipFill>
      <xdr:spPr>
        <a:xfrm>
          <a:off x="0" y="571500"/>
          <a:ext cx="4391024" cy="3867150"/>
        </a:xfrm>
        <a:prstGeom prst="rect">
          <a:avLst/>
        </a:prstGeom>
        <a:noFill/>
        <a:ln>
          <a:noFill/>
        </a:ln>
      </xdr:spPr>
    </xdr:pic>
    <xdr:clientData/>
  </xdr:twoCellAnchor>
  <xdr:twoCellAnchor>
    <xdr:from>
      <xdr:col>0</xdr:col>
      <xdr:colOff>0</xdr:colOff>
      <xdr:row>23</xdr:row>
      <xdr:rowOff>0</xdr:rowOff>
    </xdr:from>
    <xdr:to>
      <xdr:col>7</xdr:col>
      <xdr:colOff>95250</xdr:colOff>
      <xdr:row>29</xdr:row>
      <xdr:rowOff>161925</xdr:rowOff>
    </xdr:to>
    <xdr:sp macro="" textlink="">
      <xdr:nvSpPr>
        <xdr:cNvPr id="5" name="Google Shape;110;g274a62c5dcd_0_69">
          <a:extLst>
            <a:ext uri="{FF2B5EF4-FFF2-40B4-BE49-F238E27FC236}">
              <a16:creationId xmlns:a16="http://schemas.microsoft.com/office/drawing/2014/main" id="{48613601-BC01-FCE3-AC5D-057EA9176932}"/>
            </a:ext>
          </a:extLst>
        </xdr:cNvPr>
        <xdr:cNvSpPr txBox="1"/>
      </xdr:nvSpPr>
      <xdr:spPr>
        <a:xfrm>
          <a:off x="0" y="4381500"/>
          <a:ext cx="4362450" cy="1304925"/>
        </a:xfrm>
        <a:prstGeom prst="rect">
          <a:avLst/>
        </a:prstGeom>
        <a:solidFill>
          <a:schemeClr val="bg2"/>
        </a:solidFill>
        <a:ln w="9525" cap="flat" cmpd="sng">
          <a:solidFill>
            <a:srgbClr val="000000"/>
          </a:solidFill>
          <a:prstDash val="solid"/>
          <a:round/>
          <a:headEnd type="none" w="sm" len="sm"/>
          <a:tailEnd type="none" w="sm" len="sm"/>
        </a:ln>
      </xdr:spPr>
      <xdr:txBody>
        <a:bodyPr spcFirstLastPara="1" wrap="square" lIns="91425" tIns="91425" rIns="91425" bIns="91425" anchor="t" anchorCtr="0">
          <a:no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marR="0" lvl="0" indent="0" algn="l" rtl="0">
            <a:lnSpc>
              <a:spcPct val="150000"/>
            </a:lnSpc>
            <a:spcBef>
              <a:spcPts val="0"/>
            </a:spcBef>
            <a:spcAft>
              <a:spcPts val="0"/>
            </a:spcAft>
            <a:buClr>
              <a:schemeClr val="dk1"/>
            </a:buClr>
            <a:buSzPts val="1100"/>
            <a:buFont typeface="Arial"/>
            <a:buNone/>
          </a:pPr>
          <a:r>
            <a:rPr lang="id" sz="1200" i="0" u="none" strike="noStrike" cap="none">
              <a:solidFill>
                <a:schemeClr val="dk1"/>
              </a:solidFill>
            </a:rPr>
            <a:t>Hasil Analisis</a:t>
          </a:r>
          <a:r>
            <a:rPr lang="en-US" sz="1200" i="0" u="none" strike="noStrike" cap="none">
              <a:solidFill>
                <a:schemeClr val="dk1"/>
              </a:solidFill>
            </a:rPr>
            <a:t> Arus Kas Operasi </a:t>
          </a:r>
          <a:r>
            <a:rPr lang="id" sz="1200" i="0" u="none" strike="noStrike" cap="none">
              <a:solidFill>
                <a:schemeClr val="dk1"/>
              </a:solidFill>
            </a:rPr>
            <a:t>:</a:t>
          </a:r>
        </a:p>
        <a:p>
          <a:pPr marL="0" marR="0" lvl="0" indent="0" algn="l" rtl="0">
            <a:lnSpc>
              <a:spcPct val="150000"/>
            </a:lnSpc>
            <a:spcBef>
              <a:spcPts val="0"/>
            </a:spcBef>
            <a:spcAft>
              <a:spcPts val="0"/>
            </a:spcAft>
            <a:buClr>
              <a:schemeClr val="dk1"/>
            </a:buClr>
            <a:buSzPts val="1100"/>
            <a:buFont typeface="Arial"/>
            <a:buNone/>
          </a:pPr>
          <a:r>
            <a:rPr lang="en-US" sz="1200">
              <a:solidFill>
                <a:schemeClr val="dk1"/>
              </a:solidFill>
            </a:rPr>
            <a:t>Arus kas menghasilkan kas positif sebesar Rp 459.648</a:t>
          </a:r>
          <a:r>
            <a:rPr lang="id-ID" sz="1200">
              <a:solidFill>
                <a:schemeClr val="dk1"/>
              </a:solidFill>
            </a:rPr>
            <a:t> artinya </a:t>
          </a:r>
          <a:r>
            <a:rPr lang="en-US" sz="1200">
              <a:solidFill>
                <a:schemeClr val="dk1"/>
              </a:solidFill>
            </a:rPr>
            <a:t>arus kas operasional perusahaan dapat dikatakan baik.</a:t>
          </a:r>
        </a:p>
      </xdr:txBody>
    </xdr:sp>
    <xdr:clientData/>
  </xdr:twoCellAnchor>
  <xdr:twoCellAnchor>
    <xdr:from>
      <xdr:col>7</xdr:col>
      <xdr:colOff>533400</xdr:colOff>
      <xdr:row>0</xdr:row>
      <xdr:rowOff>257175</xdr:rowOff>
    </xdr:from>
    <xdr:to>
      <xdr:col>14</xdr:col>
      <xdr:colOff>342900</xdr:colOff>
      <xdr:row>16</xdr:row>
      <xdr:rowOff>171450</xdr:rowOff>
    </xdr:to>
    <xdr:grpSp>
      <xdr:nvGrpSpPr>
        <xdr:cNvPr id="9" name="Google Shape;133;g274a62c5dcd_0_93">
          <a:extLst>
            <a:ext uri="{FF2B5EF4-FFF2-40B4-BE49-F238E27FC236}">
              <a16:creationId xmlns:a16="http://schemas.microsoft.com/office/drawing/2014/main" id="{048BCB2B-988A-DDD6-CAB0-FB32BBDBCAF7}"/>
            </a:ext>
          </a:extLst>
        </xdr:cNvPr>
        <xdr:cNvGrpSpPr/>
      </xdr:nvGrpSpPr>
      <xdr:grpSpPr>
        <a:xfrm>
          <a:off x="4800600" y="257175"/>
          <a:ext cx="4076700" cy="3133725"/>
          <a:chOff x="435075" y="838417"/>
          <a:chExt cx="4136924" cy="2523653"/>
        </a:xfrm>
      </xdr:grpSpPr>
      <xdr:pic>
        <xdr:nvPicPr>
          <xdr:cNvPr id="10" name="Google Shape;134;g274a62c5dcd_0_93">
            <a:extLst>
              <a:ext uri="{FF2B5EF4-FFF2-40B4-BE49-F238E27FC236}">
                <a16:creationId xmlns:a16="http://schemas.microsoft.com/office/drawing/2014/main" id="{DDE9F534-F79A-2AFB-4F74-2D34716C65F9}"/>
              </a:ext>
            </a:extLst>
          </xdr:cNvPr>
          <xdr:cNvPicPr preferRelativeResize="0"/>
        </xdr:nvPicPr>
        <xdr:blipFill rotWithShape="1">
          <a:blip xmlns:r="http://schemas.openxmlformats.org/officeDocument/2006/relationships" r:embed="rId1">
            <a:alphaModFix/>
          </a:blip>
          <a:srcRect b="63554"/>
          <a:stretch/>
        </xdr:blipFill>
        <xdr:spPr>
          <a:xfrm>
            <a:off x="435075" y="838417"/>
            <a:ext cx="4037701" cy="1322375"/>
          </a:xfrm>
          <a:prstGeom prst="rect">
            <a:avLst/>
          </a:prstGeom>
          <a:noFill/>
          <a:ln>
            <a:noFill/>
          </a:ln>
        </xdr:spPr>
      </xdr:pic>
      <xdr:pic>
        <xdr:nvPicPr>
          <xdr:cNvPr id="11" name="Google Shape;135;g274a62c5dcd_0_93">
            <a:extLst>
              <a:ext uri="{FF2B5EF4-FFF2-40B4-BE49-F238E27FC236}">
                <a16:creationId xmlns:a16="http://schemas.microsoft.com/office/drawing/2014/main" id="{D4F5A471-8D2C-91B5-09F7-999F7F29D579}"/>
              </a:ext>
            </a:extLst>
          </xdr:cNvPr>
          <xdr:cNvPicPr preferRelativeResize="0"/>
        </xdr:nvPicPr>
        <xdr:blipFill rotWithShape="1">
          <a:blip xmlns:r="http://schemas.openxmlformats.org/officeDocument/2006/relationships" r:embed="rId2">
            <a:alphaModFix/>
          </a:blip>
          <a:srcRect/>
          <a:stretch/>
        </xdr:blipFill>
        <xdr:spPr>
          <a:xfrm>
            <a:off x="435075" y="2160798"/>
            <a:ext cx="4136924" cy="1201272"/>
          </a:xfrm>
          <a:prstGeom prst="rect">
            <a:avLst/>
          </a:prstGeom>
          <a:noFill/>
          <a:ln>
            <a:noFill/>
          </a:ln>
        </xdr:spPr>
      </xdr:pic>
    </xdr:grpSp>
    <xdr:clientData/>
  </xdr:twoCellAnchor>
  <xdr:twoCellAnchor>
    <xdr:from>
      <xdr:col>7</xdr:col>
      <xdr:colOff>390525</xdr:colOff>
      <xdr:row>23</xdr:row>
      <xdr:rowOff>0</xdr:rowOff>
    </xdr:from>
    <xdr:to>
      <xdr:col>15</xdr:col>
      <xdr:colOff>66675</xdr:colOff>
      <xdr:row>29</xdr:row>
      <xdr:rowOff>133350</xdr:rowOff>
    </xdr:to>
    <xdr:sp macro="" textlink="">
      <xdr:nvSpPr>
        <xdr:cNvPr id="13" name="Google Shape;132;g274a62c5dcd_0_93">
          <a:extLst>
            <a:ext uri="{FF2B5EF4-FFF2-40B4-BE49-F238E27FC236}">
              <a16:creationId xmlns:a16="http://schemas.microsoft.com/office/drawing/2014/main" id="{312B58E6-39FB-A90B-CEA7-97FBA6971D0E}"/>
            </a:ext>
          </a:extLst>
        </xdr:cNvPr>
        <xdr:cNvSpPr txBox="1"/>
      </xdr:nvSpPr>
      <xdr:spPr>
        <a:xfrm>
          <a:off x="4657725" y="4552950"/>
          <a:ext cx="4552950" cy="1276350"/>
        </a:xfrm>
        <a:prstGeom prst="rect">
          <a:avLst/>
        </a:prstGeom>
        <a:solidFill>
          <a:schemeClr val="bg2"/>
        </a:solidFill>
        <a:ln w="9525" cap="flat" cmpd="sng">
          <a:solidFill>
            <a:srgbClr val="000000"/>
          </a:solidFill>
          <a:prstDash val="solid"/>
          <a:round/>
          <a:headEnd type="none" w="sm" len="sm"/>
          <a:tailEnd type="none" w="sm" len="sm"/>
        </a:ln>
      </xdr:spPr>
      <xdr:txBody>
        <a:bodyPr spcFirstLastPara="1" wrap="square" lIns="91425" tIns="91425" rIns="91425" bIns="91425" anchor="t" anchorCtr="0">
          <a:no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marR="0" lvl="0" indent="0" algn="l" rtl="0">
            <a:lnSpc>
              <a:spcPct val="150000"/>
            </a:lnSpc>
            <a:spcBef>
              <a:spcPts val="0"/>
            </a:spcBef>
            <a:spcAft>
              <a:spcPts val="0"/>
            </a:spcAft>
            <a:buClr>
              <a:schemeClr val="dk1"/>
            </a:buClr>
            <a:buSzPts val="1100"/>
            <a:buFont typeface="Arial"/>
            <a:buNone/>
          </a:pPr>
          <a:r>
            <a:rPr lang="id" sz="1200" i="0" u="none" strike="noStrike" cap="none">
              <a:solidFill>
                <a:schemeClr val="dk1"/>
              </a:solidFill>
            </a:rPr>
            <a:t>Hasil Analisis</a:t>
          </a:r>
          <a:r>
            <a:rPr lang="en-US" sz="1200" i="0" u="none" strike="noStrike" cap="none">
              <a:solidFill>
                <a:schemeClr val="dk1"/>
              </a:solidFill>
            </a:rPr>
            <a:t> Arus Kas Investasi</a:t>
          </a:r>
          <a:r>
            <a:rPr lang="id" sz="1200" i="0" u="none" strike="noStrike" cap="none">
              <a:solidFill>
                <a:schemeClr val="dk1"/>
              </a:solidFill>
            </a:rPr>
            <a:t>:</a:t>
          </a:r>
          <a:endParaRPr lang="en-US" sz="1200" i="0" u="none" strike="noStrike" cap="none">
            <a:solidFill>
              <a:schemeClr val="dk1"/>
            </a:solidFill>
          </a:endParaRPr>
        </a:p>
        <a:p>
          <a:pPr marL="0" marR="0" lvl="0" indent="0" algn="l" rtl="0">
            <a:lnSpc>
              <a:spcPct val="150000"/>
            </a:lnSpc>
            <a:spcBef>
              <a:spcPts val="0"/>
            </a:spcBef>
            <a:spcAft>
              <a:spcPts val="0"/>
            </a:spcAft>
            <a:buClr>
              <a:schemeClr val="dk1"/>
            </a:buClr>
            <a:buSzPts val="1100"/>
            <a:buFont typeface="Arial"/>
            <a:buNone/>
          </a:pPr>
          <a:r>
            <a:rPr lang="en-US" sz="1200">
              <a:solidFill>
                <a:schemeClr val="dk1"/>
              </a:solidFill>
            </a:rPr>
            <a:t>Arus kas  investasi </a:t>
          </a:r>
          <a:r>
            <a:rPr lang="id-ID" sz="1200">
              <a:solidFill>
                <a:schemeClr val="dk1"/>
              </a:solidFill>
            </a:rPr>
            <a:t>negative</a:t>
          </a:r>
          <a:r>
            <a:rPr lang="en-US" sz="1200">
              <a:solidFill>
                <a:schemeClr val="dk1"/>
              </a:solidFill>
            </a:rPr>
            <a:t> sebesar Rp 81.991</a:t>
          </a:r>
          <a:r>
            <a:rPr lang="id-ID" sz="1200">
              <a:solidFill>
                <a:schemeClr val="dk1"/>
              </a:solidFill>
            </a:rPr>
            <a:t>.</a:t>
          </a:r>
          <a:r>
            <a:rPr lang="en-US" sz="1200">
              <a:solidFill>
                <a:schemeClr val="dk1"/>
              </a:solidFill>
            </a:rPr>
            <a:t> Arus kas negatif menandakan perusahaan memiliki</a:t>
          </a:r>
          <a:r>
            <a:rPr lang="en-US" sz="1200" baseline="0">
              <a:solidFill>
                <a:schemeClr val="dk1"/>
              </a:solidFill>
            </a:rPr>
            <a:t> komitmen</a:t>
          </a:r>
          <a:r>
            <a:rPr lang="en-US" sz="1200">
              <a:solidFill>
                <a:schemeClr val="dk1"/>
              </a:solidFill>
            </a:rPr>
            <a:t> untuk pertumbuhan jangka panjang.</a:t>
          </a:r>
        </a:p>
      </xdr:txBody>
    </xdr:sp>
    <xdr:clientData/>
  </xdr:twoCellAnchor>
  <xdr:twoCellAnchor>
    <xdr:from>
      <xdr:col>15</xdr:col>
      <xdr:colOff>19050</xdr:colOff>
      <xdr:row>0</xdr:row>
      <xdr:rowOff>285749</xdr:rowOff>
    </xdr:from>
    <xdr:to>
      <xdr:col>21</xdr:col>
      <xdr:colOff>581025</xdr:colOff>
      <xdr:row>12</xdr:row>
      <xdr:rowOff>161924</xdr:rowOff>
    </xdr:to>
    <xdr:grpSp>
      <xdr:nvGrpSpPr>
        <xdr:cNvPr id="17" name="Google Shape;158;g274a62c5dcd_0_118">
          <a:extLst>
            <a:ext uri="{FF2B5EF4-FFF2-40B4-BE49-F238E27FC236}">
              <a16:creationId xmlns:a16="http://schemas.microsoft.com/office/drawing/2014/main" id="{17367758-2FDF-09D2-0434-5672D8697F07}"/>
            </a:ext>
          </a:extLst>
        </xdr:cNvPr>
        <xdr:cNvGrpSpPr/>
      </xdr:nvGrpSpPr>
      <xdr:grpSpPr>
        <a:xfrm>
          <a:off x="9163050" y="285749"/>
          <a:ext cx="4219575" cy="2333625"/>
          <a:chOff x="435075" y="838417"/>
          <a:chExt cx="4105151" cy="2005600"/>
        </a:xfrm>
      </xdr:grpSpPr>
      <xdr:pic>
        <xdr:nvPicPr>
          <xdr:cNvPr id="18" name="Google Shape;159;g274a62c5dcd_0_118">
            <a:extLst>
              <a:ext uri="{FF2B5EF4-FFF2-40B4-BE49-F238E27FC236}">
                <a16:creationId xmlns:a16="http://schemas.microsoft.com/office/drawing/2014/main" id="{EB231934-B6AA-F15D-738F-0C191B6094D8}"/>
              </a:ext>
            </a:extLst>
          </xdr:cNvPr>
          <xdr:cNvPicPr preferRelativeResize="0"/>
        </xdr:nvPicPr>
        <xdr:blipFill rotWithShape="1">
          <a:blip xmlns:r="http://schemas.openxmlformats.org/officeDocument/2006/relationships" r:embed="rId1">
            <a:alphaModFix/>
          </a:blip>
          <a:srcRect b="63554"/>
          <a:stretch/>
        </xdr:blipFill>
        <xdr:spPr>
          <a:xfrm>
            <a:off x="435075" y="838417"/>
            <a:ext cx="4037701" cy="1322375"/>
          </a:xfrm>
          <a:prstGeom prst="rect">
            <a:avLst/>
          </a:prstGeom>
          <a:noFill/>
          <a:ln>
            <a:noFill/>
          </a:ln>
        </xdr:spPr>
      </xdr:pic>
      <xdr:pic>
        <xdr:nvPicPr>
          <xdr:cNvPr id="19" name="Google Shape;160;g274a62c5dcd_0_118">
            <a:extLst>
              <a:ext uri="{FF2B5EF4-FFF2-40B4-BE49-F238E27FC236}">
                <a16:creationId xmlns:a16="http://schemas.microsoft.com/office/drawing/2014/main" id="{9F1D54FC-7A7B-C431-AD25-622F826346CD}"/>
              </a:ext>
            </a:extLst>
          </xdr:cNvPr>
          <xdr:cNvPicPr preferRelativeResize="0"/>
        </xdr:nvPicPr>
        <xdr:blipFill rotWithShape="1">
          <a:blip xmlns:r="http://schemas.openxmlformats.org/officeDocument/2006/relationships" r:embed="rId3">
            <a:alphaModFix/>
          </a:blip>
          <a:srcRect/>
          <a:stretch/>
        </xdr:blipFill>
        <xdr:spPr>
          <a:xfrm>
            <a:off x="502525" y="2233500"/>
            <a:ext cx="4037701" cy="610517"/>
          </a:xfrm>
          <a:prstGeom prst="rect">
            <a:avLst/>
          </a:prstGeom>
          <a:noFill/>
          <a:ln>
            <a:noFill/>
          </a:ln>
        </xdr:spPr>
      </xdr:pic>
    </xdr:grpSp>
    <xdr:clientData/>
  </xdr:twoCellAnchor>
  <xdr:twoCellAnchor>
    <xdr:from>
      <xdr:col>15</xdr:col>
      <xdr:colOff>590550</xdr:colOff>
      <xdr:row>21</xdr:row>
      <xdr:rowOff>152400</xdr:rowOff>
    </xdr:from>
    <xdr:to>
      <xdr:col>22</xdr:col>
      <xdr:colOff>182850</xdr:colOff>
      <xdr:row>31</xdr:row>
      <xdr:rowOff>104775</xdr:rowOff>
    </xdr:to>
    <xdr:sp macro="" textlink="">
      <xdr:nvSpPr>
        <xdr:cNvPr id="21" name="Google Shape;157;g274a62c5dcd_0_118">
          <a:extLst>
            <a:ext uri="{FF2B5EF4-FFF2-40B4-BE49-F238E27FC236}">
              <a16:creationId xmlns:a16="http://schemas.microsoft.com/office/drawing/2014/main" id="{2B9B67EC-7AA4-F591-C21F-19F8976554FC}"/>
            </a:ext>
          </a:extLst>
        </xdr:cNvPr>
        <xdr:cNvSpPr txBox="1"/>
      </xdr:nvSpPr>
      <xdr:spPr>
        <a:xfrm>
          <a:off x="9734550" y="4324350"/>
          <a:ext cx="3859500" cy="1857375"/>
        </a:xfrm>
        <a:prstGeom prst="rect">
          <a:avLst/>
        </a:prstGeom>
        <a:solidFill>
          <a:schemeClr val="bg2"/>
        </a:solidFill>
        <a:ln w="9525" cap="flat" cmpd="sng">
          <a:solidFill>
            <a:schemeClr val="tx1"/>
          </a:solidFill>
          <a:prstDash val="solid"/>
          <a:round/>
          <a:headEnd type="none" w="sm" len="sm"/>
          <a:tailEnd type="none" w="sm" len="sm"/>
        </a:ln>
      </xdr:spPr>
      <xdr:txBody>
        <a:bodyPr spcFirstLastPara="1" wrap="square" lIns="91425" tIns="91425" rIns="91425" bIns="91425" anchor="t" anchorCtr="0">
          <a:no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marR="0" lvl="0" indent="0" algn="l" rtl="0">
            <a:lnSpc>
              <a:spcPct val="150000"/>
            </a:lnSpc>
            <a:spcBef>
              <a:spcPts val="0"/>
            </a:spcBef>
            <a:spcAft>
              <a:spcPts val="0"/>
            </a:spcAft>
            <a:buClr>
              <a:schemeClr val="dk1"/>
            </a:buClr>
            <a:buSzPts val="1100"/>
            <a:buFont typeface="Arial"/>
            <a:buNone/>
          </a:pPr>
          <a:r>
            <a:rPr lang="id" sz="1100" i="0" u="none" strike="noStrike" cap="none">
              <a:solidFill>
                <a:schemeClr val="dk1"/>
              </a:solidFill>
            </a:rPr>
            <a:t>Hasil Analisis</a:t>
          </a:r>
          <a:r>
            <a:rPr lang="en-US" sz="1100" i="0" u="none" strike="noStrike" cap="none">
              <a:solidFill>
                <a:schemeClr val="dk1"/>
              </a:solidFill>
            </a:rPr>
            <a:t> Pendannaan </a:t>
          </a:r>
          <a:r>
            <a:rPr lang="id" sz="1100" i="0" u="none" strike="noStrike" cap="none">
              <a:solidFill>
                <a:schemeClr val="dk1"/>
              </a:solidFill>
            </a:rPr>
            <a:t>:</a:t>
          </a:r>
          <a:endParaRPr lang="en-US" sz="1100" i="0" u="none" strike="noStrike" cap="none">
            <a:solidFill>
              <a:schemeClr val="dk1"/>
            </a:solidFill>
          </a:endParaRPr>
        </a:p>
        <a:p>
          <a:pPr marL="0" marR="0" lvl="0" indent="0" algn="l" rtl="0">
            <a:lnSpc>
              <a:spcPct val="150000"/>
            </a:lnSpc>
            <a:spcBef>
              <a:spcPts val="0"/>
            </a:spcBef>
            <a:spcAft>
              <a:spcPts val="0"/>
            </a:spcAft>
            <a:buClr>
              <a:schemeClr val="dk1"/>
            </a:buClr>
            <a:buSzPts val="1100"/>
            <a:buFont typeface="Arial"/>
            <a:buNone/>
          </a:pPr>
          <a:r>
            <a:rPr lang="en-US" sz="1100">
              <a:solidFill>
                <a:schemeClr val="dk1"/>
              </a:solidFill>
            </a:rPr>
            <a:t>Arus kas pendanaan menghasilkan angka negative sebesar 1.294</a:t>
          </a:r>
          <a:r>
            <a:rPr lang="id-ID" sz="1100">
              <a:solidFill>
                <a:schemeClr val="dk1"/>
              </a:solidFill>
            </a:rPr>
            <a:t>. </a:t>
          </a:r>
          <a:r>
            <a:rPr lang="en-US" sz="1100">
              <a:solidFill>
                <a:schemeClr val="dk1"/>
              </a:solidFill>
            </a:rPr>
            <a:t>arus kas negatif ini menunjukan komitmen Perusahaan dalam membayar kewajibannya.</a:t>
          </a:r>
        </a:p>
        <a:p>
          <a:pPr marL="0" marR="0" lvl="0" indent="0" algn="l" rtl="0">
            <a:lnSpc>
              <a:spcPct val="150000"/>
            </a:lnSpc>
            <a:spcBef>
              <a:spcPts val="0"/>
            </a:spcBef>
            <a:spcAft>
              <a:spcPts val="0"/>
            </a:spcAft>
            <a:buClr>
              <a:schemeClr val="dk1"/>
            </a:buClr>
            <a:buSzPts val="1100"/>
            <a:buFont typeface="Arial"/>
            <a:buNone/>
          </a:pPr>
          <a:endParaRPr lang="en-US" sz="1100">
            <a:solidFill>
              <a:schemeClr val="dk1"/>
            </a:solidFill>
          </a:endParaRPr>
        </a:p>
        <a:p>
          <a:pPr marL="0" marR="0" lvl="0" indent="0" algn="l" rtl="0">
            <a:lnSpc>
              <a:spcPct val="150000"/>
            </a:lnSpc>
            <a:spcBef>
              <a:spcPts val="0"/>
            </a:spcBef>
            <a:spcAft>
              <a:spcPts val="0"/>
            </a:spcAft>
            <a:buClr>
              <a:schemeClr val="dk1"/>
            </a:buClr>
            <a:buSzPts val="1100"/>
            <a:buFont typeface="Arial"/>
            <a:buNone/>
          </a:pPr>
          <a:r>
            <a:rPr lang="en-US" sz="1100">
              <a:solidFill>
                <a:schemeClr val="dk1"/>
              </a:solidFill>
            </a:rPr>
            <a:t>Total arus kas bersih menunjukan angka positif sebesar:</a:t>
          </a:r>
          <a:endParaRPr lang="id-ID" sz="1100">
            <a:solidFill>
              <a:schemeClr val="dk1"/>
            </a:solidFill>
          </a:endParaRPr>
        </a:p>
        <a:p>
          <a:pPr marL="0" marR="0" lvl="0" indent="0" algn="l" rtl="0">
            <a:lnSpc>
              <a:spcPct val="150000"/>
            </a:lnSpc>
            <a:spcBef>
              <a:spcPts val="0"/>
            </a:spcBef>
            <a:spcAft>
              <a:spcPts val="0"/>
            </a:spcAft>
            <a:buClr>
              <a:schemeClr val="dk1"/>
            </a:buClr>
            <a:buSzPts val="1100"/>
            <a:buFont typeface="Arial"/>
            <a:buNone/>
          </a:pPr>
          <a:r>
            <a:rPr lang="id-ID" sz="1100">
              <a:solidFill>
                <a:schemeClr val="dk1"/>
              </a:solidFill>
            </a:rPr>
            <a:t>Rp</a:t>
          </a:r>
          <a:r>
            <a:rPr lang="en-US" sz="1100">
              <a:solidFill>
                <a:schemeClr val="dk1"/>
              </a:solidFill>
            </a:rPr>
            <a:t> 459.648 – Rp 81.991- Rp1.294 = Rp 376.363</a:t>
          </a:r>
          <a:r>
            <a:rPr lang="en-US" sz="1200">
              <a:solidFill>
                <a:schemeClr val="dk1"/>
              </a:solidFill>
            </a:rPr>
            <a:t>.</a:t>
          </a:r>
        </a:p>
        <a:p>
          <a:pPr marL="0" marR="0" lvl="0" indent="0" algn="l" rtl="0">
            <a:lnSpc>
              <a:spcPct val="150000"/>
            </a:lnSpc>
            <a:spcBef>
              <a:spcPts val="0"/>
            </a:spcBef>
            <a:spcAft>
              <a:spcPts val="0"/>
            </a:spcAft>
            <a:buClr>
              <a:schemeClr val="dk1"/>
            </a:buClr>
            <a:buSzPts val="1100"/>
            <a:buFont typeface="Arial"/>
            <a:buNone/>
          </a:pPr>
          <a:endParaRPr lang="en-US" sz="1200">
            <a:solidFill>
              <a:schemeClr val="dk1"/>
            </a:solidFill>
          </a:endParaRP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0</xdr:colOff>
      <xdr:row>0</xdr:row>
      <xdr:rowOff>0</xdr:rowOff>
    </xdr:from>
    <xdr:to>
      <xdr:col>9</xdr:col>
      <xdr:colOff>466725</xdr:colOff>
      <xdr:row>8</xdr:row>
      <xdr:rowOff>120425</xdr:rowOff>
    </xdr:to>
    <xdr:grpSp>
      <xdr:nvGrpSpPr>
        <xdr:cNvPr id="5" name="Google Shape;87;g274a6417d8b_0_0">
          <a:extLst>
            <a:ext uri="{FF2B5EF4-FFF2-40B4-BE49-F238E27FC236}">
              <a16:creationId xmlns:a16="http://schemas.microsoft.com/office/drawing/2014/main" id="{4DAEE996-206B-0DA2-355C-277F7BF687CE}"/>
            </a:ext>
          </a:extLst>
        </xdr:cNvPr>
        <xdr:cNvGrpSpPr/>
      </xdr:nvGrpSpPr>
      <xdr:grpSpPr>
        <a:xfrm>
          <a:off x="0" y="0"/>
          <a:ext cx="7419975" cy="1644425"/>
          <a:chOff x="1495275" y="1235525"/>
          <a:chExt cx="6105675" cy="1644425"/>
        </a:xfrm>
      </xdr:grpSpPr>
      <xdr:pic>
        <xdr:nvPicPr>
          <xdr:cNvPr id="6" name="Google Shape;88;g274a6417d8b_0_0">
            <a:extLst>
              <a:ext uri="{FF2B5EF4-FFF2-40B4-BE49-F238E27FC236}">
                <a16:creationId xmlns:a16="http://schemas.microsoft.com/office/drawing/2014/main" id="{B9D10D88-F82E-2605-3D86-6CC70957E6CE}"/>
              </a:ext>
            </a:extLst>
          </xdr:cNvPr>
          <xdr:cNvPicPr preferRelativeResize="0"/>
        </xdr:nvPicPr>
        <xdr:blipFill>
          <a:blip xmlns:r="http://schemas.openxmlformats.org/officeDocument/2006/relationships" r:embed="rId1">
            <a:alphaModFix/>
          </a:blip>
          <a:stretch>
            <a:fillRect/>
          </a:stretch>
        </xdr:blipFill>
        <xdr:spPr>
          <a:xfrm>
            <a:off x="1543050" y="1235525"/>
            <a:ext cx="6057900" cy="1028700"/>
          </a:xfrm>
          <a:prstGeom prst="rect">
            <a:avLst/>
          </a:prstGeom>
          <a:noFill/>
          <a:ln>
            <a:noFill/>
          </a:ln>
        </xdr:spPr>
      </xdr:pic>
      <xdr:pic>
        <xdr:nvPicPr>
          <xdr:cNvPr id="7" name="Google Shape;89;g274a6417d8b_0_0">
            <a:extLst>
              <a:ext uri="{FF2B5EF4-FFF2-40B4-BE49-F238E27FC236}">
                <a16:creationId xmlns:a16="http://schemas.microsoft.com/office/drawing/2014/main" id="{6A8C8F96-38EC-51FF-D90E-38892769F959}"/>
              </a:ext>
            </a:extLst>
          </xdr:cNvPr>
          <xdr:cNvPicPr preferRelativeResize="0"/>
        </xdr:nvPicPr>
        <xdr:blipFill>
          <a:blip xmlns:r="http://schemas.openxmlformats.org/officeDocument/2006/relationships" r:embed="rId2">
            <a:alphaModFix/>
          </a:blip>
          <a:stretch>
            <a:fillRect/>
          </a:stretch>
        </xdr:blipFill>
        <xdr:spPr>
          <a:xfrm>
            <a:off x="1495275" y="2108425"/>
            <a:ext cx="6057900" cy="771525"/>
          </a:xfrm>
          <a:prstGeom prst="rect">
            <a:avLst/>
          </a:prstGeom>
          <a:noFill/>
          <a:ln>
            <a:noFill/>
          </a:ln>
        </xdr:spPr>
      </xdr:pic>
    </xdr:grpSp>
    <xdr:clientData/>
  </xdr:twoCellAnchor>
  <xdr:twoCellAnchor editAs="oneCell">
    <xdr:from>
      <xdr:col>0</xdr:col>
      <xdr:colOff>0</xdr:colOff>
      <xdr:row>8</xdr:row>
      <xdr:rowOff>190499</xdr:rowOff>
    </xdr:from>
    <xdr:to>
      <xdr:col>9</xdr:col>
      <xdr:colOff>447675</xdr:colOff>
      <xdr:row>23</xdr:row>
      <xdr:rowOff>142874</xdr:rowOff>
    </xdr:to>
    <xdr:pic>
      <xdr:nvPicPr>
        <xdr:cNvPr id="10" name="Google Shape;90;g274a6417d8b_0_0">
          <a:extLst>
            <a:ext uri="{FF2B5EF4-FFF2-40B4-BE49-F238E27FC236}">
              <a16:creationId xmlns:a16="http://schemas.microsoft.com/office/drawing/2014/main" id="{114F47BD-CB88-EB90-6F38-1B232A72FDA8}"/>
            </a:ext>
          </a:extLst>
        </xdr:cNvPr>
        <xdr:cNvPicPr preferRelativeResize="0"/>
      </xdr:nvPicPr>
      <xdr:blipFill>
        <a:blip xmlns:r="http://schemas.openxmlformats.org/officeDocument/2006/relationships" r:embed="rId3">
          <a:alphaModFix/>
        </a:blip>
        <a:stretch>
          <a:fillRect/>
        </a:stretch>
      </xdr:blipFill>
      <xdr:spPr>
        <a:xfrm>
          <a:off x="0" y="1714499"/>
          <a:ext cx="7400925" cy="2809875"/>
        </a:xfrm>
        <a:prstGeom prst="rect">
          <a:avLst/>
        </a:prstGeom>
        <a:noFill/>
        <a:ln>
          <a:noFill/>
        </a:ln>
      </xdr:spPr>
    </xdr:pic>
    <xdr:clientData/>
  </xdr:twoCellAnchor>
  <xdr:twoCellAnchor>
    <xdr:from>
      <xdr:col>0</xdr:col>
      <xdr:colOff>0</xdr:colOff>
      <xdr:row>24</xdr:row>
      <xdr:rowOff>171450</xdr:rowOff>
    </xdr:from>
    <xdr:to>
      <xdr:col>10</xdr:col>
      <xdr:colOff>605700</xdr:colOff>
      <xdr:row>42</xdr:row>
      <xdr:rowOff>38100</xdr:rowOff>
    </xdr:to>
    <xdr:sp macro="" textlink="">
      <xdr:nvSpPr>
        <xdr:cNvPr id="12" name="Google Shape;134;g274a6417d8b_0_96">
          <a:extLst>
            <a:ext uri="{FF2B5EF4-FFF2-40B4-BE49-F238E27FC236}">
              <a16:creationId xmlns:a16="http://schemas.microsoft.com/office/drawing/2014/main" id="{636A64BA-3E06-8A9D-DEF8-294BF9E504D3}"/>
            </a:ext>
          </a:extLst>
        </xdr:cNvPr>
        <xdr:cNvSpPr txBox="1"/>
      </xdr:nvSpPr>
      <xdr:spPr>
        <a:xfrm>
          <a:off x="0" y="4743450"/>
          <a:ext cx="8168550" cy="3295650"/>
        </a:xfrm>
        <a:prstGeom prst="rect">
          <a:avLst/>
        </a:prstGeom>
        <a:solidFill>
          <a:schemeClr val="bg2"/>
        </a:solidFill>
        <a:ln>
          <a:noFill/>
        </a:ln>
      </xdr:spPr>
      <xdr:txBody>
        <a:bodyPr spcFirstLastPara="1" wrap="square" lIns="91425" tIns="91425" rIns="91425" bIns="91425" anchor="t" anchorCtr="0">
          <a:no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lvl="0" indent="0" algn="l" rtl="0">
            <a:lnSpc>
              <a:spcPct val="115000"/>
            </a:lnSpc>
            <a:spcBef>
              <a:spcPts val="0"/>
            </a:spcBef>
            <a:spcAft>
              <a:spcPts val="0"/>
            </a:spcAft>
            <a:buClr>
              <a:schemeClr val="dk1"/>
            </a:buClr>
            <a:buSzPts val="1100"/>
            <a:buFont typeface="Arial"/>
            <a:buNone/>
          </a:pPr>
          <a:r>
            <a:rPr lang="id" sz="1100">
              <a:solidFill>
                <a:schemeClr val="dk1"/>
              </a:solidFill>
            </a:rPr>
            <a:t>PT Himawari adalah  perusahaan yang bergerak dibidang manufaktur.</a:t>
          </a:r>
          <a:endParaRPr sz="1100">
            <a:solidFill>
              <a:schemeClr val="dk1"/>
            </a:solidFill>
          </a:endParaRPr>
        </a:p>
        <a:p>
          <a:pPr marL="0" lvl="0" indent="0" algn="l" rtl="0">
            <a:lnSpc>
              <a:spcPct val="115000"/>
            </a:lnSpc>
            <a:spcBef>
              <a:spcPts val="0"/>
            </a:spcBef>
            <a:spcAft>
              <a:spcPts val="0"/>
            </a:spcAft>
            <a:buClr>
              <a:schemeClr val="dk1"/>
            </a:buClr>
            <a:buSzPts val="1100"/>
            <a:buFont typeface="Arial"/>
            <a:buNone/>
          </a:pPr>
          <a:endParaRPr sz="1100">
            <a:solidFill>
              <a:schemeClr val="dk1"/>
            </a:solidFill>
          </a:endParaRPr>
        </a:p>
        <a:p>
          <a:pPr marL="0" lvl="0" indent="0" algn="l" rtl="0">
            <a:lnSpc>
              <a:spcPct val="115000"/>
            </a:lnSpc>
            <a:spcBef>
              <a:spcPts val="0"/>
            </a:spcBef>
            <a:spcAft>
              <a:spcPts val="0"/>
            </a:spcAft>
            <a:buClr>
              <a:schemeClr val="dk1"/>
            </a:buClr>
            <a:buSzPts val="1100"/>
            <a:buFont typeface="Arial"/>
            <a:buNone/>
          </a:pPr>
          <a:r>
            <a:rPr lang="id" sz="1100">
              <a:solidFill>
                <a:schemeClr val="dk1"/>
              </a:solidFill>
            </a:rPr>
            <a:t>Berikut adalah data PT Himawari dalam Aktivitas Operasi :</a:t>
          </a:r>
          <a:endParaRPr sz="1100">
            <a:solidFill>
              <a:schemeClr val="dk1"/>
            </a:solidFill>
          </a:endParaRPr>
        </a:p>
        <a:p>
          <a:pPr marL="457200" lvl="0" indent="-317500" algn="l" rtl="0">
            <a:lnSpc>
              <a:spcPct val="115000"/>
            </a:lnSpc>
            <a:spcBef>
              <a:spcPts val="0"/>
            </a:spcBef>
            <a:spcAft>
              <a:spcPts val="0"/>
            </a:spcAft>
            <a:buClr>
              <a:schemeClr val="dk1"/>
            </a:buClr>
            <a:buSzPts val="1400"/>
            <a:buChar char="●"/>
          </a:pPr>
          <a:r>
            <a:rPr lang="id" sz="1100">
              <a:solidFill>
                <a:schemeClr val="dk1"/>
              </a:solidFill>
            </a:rPr>
            <a:t>PT Himawari menerima 2.350 pesanan produk baru setiap bulan.</a:t>
          </a:r>
          <a:endParaRPr sz="1100">
            <a:solidFill>
              <a:schemeClr val="dk1"/>
            </a:solidFill>
          </a:endParaRPr>
        </a:p>
        <a:p>
          <a:pPr marL="457200" lvl="0" indent="-317500" algn="l" rtl="0">
            <a:lnSpc>
              <a:spcPct val="115000"/>
            </a:lnSpc>
            <a:spcBef>
              <a:spcPts val="0"/>
            </a:spcBef>
            <a:spcAft>
              <a:spcPts val="0"/>
            </a:spcAft>
            <a:buClr>
              <a:schemeClr val="dk1"/>
            </a:buClr>
            <a:buSzPts val="1400"/>
            <a:buChar char="●"/>
          </a:pPr>
          <a:r>
            <a:rPr lang="id" sz="1100">
              <a:solidFill>
                <a:schemeClr val="dk1"/>
              </a:solidFill>
            </a:rPr>
            <a:t>Waktu produksi rata-rata adalah 15 hari, dan pengiriman dilakukan dalam waktu 3 hari setelah produksi.</a:t>
          </a:r>
          <a:endParaRPr sz="1100">
            <a:solidFill>
              <a:schemeClr val="dk1"/>
            </a:solidFill>
          </a:endParaRPr>
        </a:p>
        <a:p>
          <a:pPr marL="457200" lvl="0" indent="-317500" algn="l" rtl="0">
            <a:lnSpc>
              <a:spcPct val="115000"/>
            </a:lnSpc>
            <a:spcBef>
              <a:spcPts val="0"/>
            </a:spcBef>
            <a:spcAft>
              <a:spcPts val="0"/>
            </a:spcAft>
            <a:buClr>
              <a:schemeClr val="dk1"/>
            </a:buClr>
            <a:buSzPts val="1400"/>
            <a:buChar char="●"/>
          </a:pPr>
          <a:r>
            <a:rPr lang="id" sz="1100">
              <a:solidFill>
                <a:schemeClr val="dk1"/>
              </a:solidFill>
            </a:rPr>
            <a:t>Proses penagihan memakan waktu rata-rata 10 hari, dan pelanggan memiliki batas waktu pembayaran 30 hari.</a:t>
          </a:r>
          <a:endParaRPr sz="1100">
            <a:solidFill>
              <a:schemeClr val="dk1"/>
            </a:solidFill>
          </a:endParaRPr>
        </a:p>
        <a:p>
          <a:pPr marL="457200" lvl="0" indent="-317500" algn="l" rtl="0">
            <a:lnSpc>
              <a:spcPct val="115000"/>
            </a:lnSpc>
            <a:spcBef>
              <a:spcPts val="0"/>
            </a:spcBef>
            <a:spcAft>
              <a:spcPts val="0"/>
            </a:spcAft>
            <a:buClr>
              <a:schemeClr val="dk1"/>
            </a:buClr>
            <a:buSzPts val="1400"/>
            <a:buChar char="●"/>
          </a:pPr>
          <a:r>
            <a:rPr lang="id" sz="1100">
              <a:solidFill>
                <a:schemeClr val="dk1"/>
              </a:solidFill>
            </a:rPr>
            <a:t>Perusahaan memesan bahan baku sesuai kebutuhan setiap bulan.</a:t>
          </a:r>
          <a:endParaRPr sz="1100">
            <a:solidFill>
              <a:schemeClr val="dk1"/>
            </a:solidFill>
          </a:endParaRPr>
        </a:p>
        <a:p>
          <a:pPr marL="457200" lvl="0" indent="-317500" algn="l" rtl="0">
            <a:lnSpc>
              <a:spcPct val="115000"/>
            </a:lnSpc>
            <a:spcBef>
              <a:spcPts val="0"/>
            </a:spcBef>
            <a:spcAft>
              <a:spcPts val="0"/>
            </a:spcAft>
            <a:buClr>
              <a:schemeClr val="dk1"/>
            </a:buClr>
            <a:buSzPts val="1400"/>
            <a:buChar char="●"/>
          </a:pPr>
          <a:r>
            <a:rPr lang="id" sz="1100">
              <a:solidFill>
                <a:schemeClr val="dk1"/>
              </a:solidFill>
            </a:rPr>
            <a:t>Waktu penerimaan bahan baku setelah pemesanan adalah 7 hari.</a:t>
          </a:r>
          <a:endParaRPr sz="1100">
            <a:solidFill>
              <a:schemeClr val="dk1"/>
            </a:solidFill>
          </a:endParaRPr>
        </a:p>
        <a:p>
          <a:pPr marL="457200" lvl="0" indent="-317500" algn="l" rtl="0">
            <a:lnSpc>
              <a:spcPct val="115000"/>
            </a:lnSpc>
            <a:spcBef>
              <a:spcPts val="0"/>
            </a:spcBef>
            <a:spcAft>
              <a:spcPts val="0"/>
            </a:spcAft>
            <a:buClr>
              <a:schemeClr val="dk1"/>
            </a:buClr>
            <a:buSzPts val="1400"/>
            <a:buChar char="●"/>
          </a:pPr>
          <a:r>
            <a:rPr lang="id" sz="1100">
              <a:solidFill>
                <a:schemeClr val="dk1"/>
              </a:solidFill>
            </a:rPr>
            <a:t>Perusahaan menjaga persediaan untuk memenuhi permintaan.</a:t>
          </a:r>
          <a:endParaRPr sz="1100">
            <a:solidFill>
              <a:schemeClr val="dk1"/>
            </a:solidFill>
          </a:endParaRPr>
        </a:p>
        <a:p>
          <a:pPr marL="457200" lvl="0" indent="-317500" algn="l" rtl="0">
            <a:lnSpc>
              <a:spcPct val="115000"/>
            </a:lnSpc>
            <a:spcBef>
              <a:spcPts val="0"/>
            </a:spcBef>
            <a:spcAft>
              <a:spcPts val="0"/>
            </a:spcAft>
            <a:buClr>
              <a:schemeClr val="dk1"/>
            </a:buClr>
            <a:buSzPts val="1400"/>
            <a:buChar char="●"/>
          </a:pPr>
          <a:r>
            <a:rPr lang="id" sz="1100">
              <a:solidFill>
                <a:schemeClr val="dk1"/>
              </a:solidFill>
            </a:rPr>
            <a:t>Rata-rata perputaran persediaan adalah 10 kali dalam setahun.</a:t>
          </a:r>
          <a:endParaRPr sz="1100">
            <a:solidFill>
              <a:schemeClr val="dk1"/>
            </a:solidFill>
          </a:endParaRPr>
        </a:p>
        <a:p>
          <a:pPr marL="457200" lvl="0" indent="-317500" algn="l" rtl="0">
            <a:lnSpc>
              <a:spcPct val="115000"/>
            </a:lnSpc>
            <a:spcBef>
              <a:spcPts val="0"/>
            </a:spcBef>
            <a:spcAft>
              <a:spcPts val="0"/>
            </a:spcAft>
            <a:buClr>
              <a:schemeClr val="dk1"/>
            </a:buClr>
            <a:buSzPts val="1400"/>
            <a:buChar char="●"/>
          </a:pPr>
          <a:r>
            <a:rPr lang="id" sz="1100">
              <a:solidFill>
                <a:schemeClr val="dk1"/>
              </a:solidFill>
            </a:rPr>
            <a:t>Pada industri sejenis, rata-rata waktu siklus pendapatan industri adalah 60 hari</a:t>
          </a:r>
          <a:endParaRPr sz="1100">
            <a:solidFill>
              <a:schemeClr val="dk1"/>
            </a:solidFill>
          </a:endParaRPr>
        </a:p>
        <a:p>
          <a:pPr marL="0" lvl="0" indent="0" algn="l" rtl="0">
            <a:lnSpc>
              <a:spcPct val="115000"/>
            </a:lnSpc>
            <a:spcBef>
              <a:spcPts val="0"/>
            </a:spcBef>
            <a:spcAft>
              <a:spcPts val="0"/>
            </a:spcAft>
            <a:buClr>
              <a:schemeClr val="dk1"/>
            </a:buClr>
            <a:buSzPts val="1100"/>
            <a:buFont typeface="Arial"/>
            <a:buNone/>
          </a:pPr>
          <a:r>
            <a:rPr lang="id" sz="1100" b="1">
              <a:solidFill>
                <a:schemeClr val="dk1"/>
              </a:solidFill>
            </a:rPr>
            <a:t>Buatlah analisis dan rekomendasi dari siklus pendapatan, pembelian, dan persediaan PT HIMAWARI</a:t>
          </a:r>
          <a:endParaRPr lang="en-US" sz="1100" b="1">
            <a:solidFill>
              <a:schemeClr val="dk1"/>
            </a:solidFill>
          </a:endParaRPr>
        </a:p>
        <a:p>
          <a:pPr marL="0" lvl="0" indent="0" algn="l" rtl="0">
            <a:lnSpc>
              <a:spcPct val="115000"/>
            </a:lnSpc>
            <a:spcBef>
              <a:spcPts val="0"/>
            </a:spcBef>
            <a:spcAft>
              <a:spcPts val="0"/>
            </a:spcAft>
            <a:buClr>
              <a:schemeClr val="dk1"/>
            </a:buClr>
            <a:buSzPts val="1100"/>
            <a:buFont typeface="Arial"/>
            <a:buNone/>
          </a:pPr>
          <a:endParaRPr lang="en-US" sz="1100" b="1">
            <a:solidFill>
              <a:schemeClr val="dk1"/>
            </a:solidFill>
          </a:endParaRPr>
        </a:p>
        <a:p>
          <a:pPr marL="0" lvl="0" indent="0" algn="l" rtl="0">
            <a:lnSpc>
              <a:spcPct val="115000"/>
            </a:lnSpc>
            <a:spcBef>
              <a:spcPts val="0"/>
            </a:spcBef>
            <a:spcAft>
              <a:spcPts val="0"/>
            </a:spcAft>
            <a:buClr>
              <a:schemeClr val="dk1"/>
            </a:buClr>
            <a:buSzPts val="1100"/>
            <a:buFont typeface="Arial"/>
            <a:buNone/>
          </a:pPr>
          <a:r>
            <a:rPr lang="en-US" sz="1100" b="0">
              <a:solidFill>
                <a:schemeClr val="dk1"/>
              </a:solidFill>
            </a:rPr>
            <a:t>Standar industri siklus pendapatan</a:t>
          </a:r>
          <a:r>
            <a:rPr lang="en-US" sz="1100" b="0" baseline="0">
              <a:solidFill>
                <a:schemeClr val="dk1"/>
              </a:solidFill>
            </a:rPr>
            <a:t> 70 hari. sementara siklus pendapatan perusahaan sebesar 58 hari. jika</a:t>
          </a:r>
        </a:p>
        <a:p>
          <a:pPr marL="0" lvl="0" indent="0" algn="l" rtl="0">
            <a:lnSpc>
              <a:spcPct val="115000"/>
            </a:lnSpc>
            <a:spcBef>
              <a:spcPts val="0"/>
            </a:spcBef>
            <a:spcAft>
              <a:spcPts val="0"/>
            </a:spcAft>
            <a:buClr>
              <a:schemeClr val="dk1"/>
            </a:buClr>
            <a:buSzPts val="1100"/>
            <a:buFont typeface="Arial"/>
            <a:buNone/>
          </a:pPr>
          <a:r>
            <a:rPr lang="en-US" sz="1100" b="0" baseline="0">
              <a:solidFill>
                <a:schemeClr val="dk1"/>
              </a:solidFill>
            </a:rPr>
            <a:t>dibandingkan dengan standar industri perusahaan tersebut lebih efisien.</a:t>
          </a:r>
        </a:p>
        <a:p>
          <a:pPr marL="0" lvl="0" indent="0" algn="l" rtl="0">
            <a:lnSpc>
              <a:spcPct val="115000"/>
            </a:lnSpc>
            <a:spcBef>
              <a:spcPts val="0"/>
            </a:spcBef>
            <a:spcAft>
              <a:spcPts val="0"/>
            </a:spcAft>
            <a:buClr>
              <a:schemeClr val="dk1"/>
            </a:buClr>
            <a:buSzPts val="1100"/>
            <a:buFont typeface="Arial"/>
            <a:buNone/>
          </a:pPr>
          <a:r>
            <a:rPr lang="en-US" sz="1100" b="0" baseline="0">
              <a:solidFill>
                <a:schemeClr val="dk1"/>
              </a:solidFill>
            </a:rPr>
            <a:t>Siklus pembeliaan sebesar 7 hari.</a:t>
          </a:r>
        </a:p>
        <a:p>
          <a:pPr marL="0" lvl="0" indent="0" algn="l" rtl="0">
            <a:lnSpc>
              <a:spcPct val="115000"/>
            </a:lnSpc>
            <a:spcBef>
              <a:spcPts val="0"/>
            </a:spcBef>
            <a:spcAft>
              <a:spcPts val="0"/>
            </a:spcAft>
            <a:buClr>
              <a:schemeClr val="dk1"/>
            </a:buClr>
            <a:buSzPts val="1100"/>
            <a:buFont typeface="Arial"/>
            <a:buNone/>
          </a:pPr>
          <a:r>
            <a:rPr lang="en-US" sz="1100" b="0" baseline="0">
              <a:solidFill>
                <a:schemeClr val="dk1"/>
              </a:solidFill>
            </a:rPr>
            <a:t>Siklus persediaan perusahaan perusahaan 36,5 hari artinya perusahaan memiliki perputaran persediaan yang tingg</a:t>
          </a:r>
          <a:endParaRPr lang="en-US" sz="1100" b="1">
            <a:solidFill>
              <a:schemeClr val="dk1"/>
            </a:solidFill>
          </a:endParaRPr>
        </a:p>
        <a:p>
          <a:pPr marL="0" lvl="0" indent="0" algn="l" rtl="0">
            <a:lnSpc>
              <a:spcPct val="115000"/>
            </a:lnSpc>
            <a:spcBef>
              <a:spcPts val="0"/>
            </a:spcBef>
            <a:spcAft>
              <a:spcPts val="0"/>
            </a:spcAft>
            <a:buClr>
              <a:schemeClr val="dk1"/>
            </a:buClr>
            <a:buSzPts val="1100"/>
            <a:buFont typeface="Arial"/>
            <a:buNone/>
          </a:pPr>
          <a:endParaRPr sz="1100">
            <a:solidFill>
              <a:schemeClr val="dk1"/>
            </a:solidFill>
          </a:endParaRPr>
        </a:p>
        <a:p>
          <a:pPr marL="0" lvl="0" indent="0" algn="l" rtl="0">
            <a:lnSpc>
              <a:spcPct val="115000"/>
            </a:lnSpc>
            <a:spcBef>
              <a:spcPts val="0"/>
            </a:spcBef>
            <a:spcAft>
              <a:spcPts val="0"/>
            </a:spcAft>
            <a:buClr>
              <a:schemeClr val="dk1"/>
            </a:buClr>
            <a:buSzPts val="1100"/>
            <a:buFont typeface="Arial"/>
            <a:buNone/>
          </a:pPr>
          <a:endParaRPr sz="1100">
            <a:solidFill>
              <a:schemeClr val="dk1"/>
            </a:solidFill>
          </a:endParaRP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1</xdr:colOff>
      <xdr:row>0</xdr:row>
      <xdr:rowOff>180975</xdr:rowOff>
    </xdr:from>
    <xdr:to>
      <xdr:col>10</xdr:col>
      <xdr:colOff>180976</xdr:colOff>
      <xdr:row>13</xdr:row>
      <xdr:rowOff>180975</xdr:rowOff>
    </xdr:to>
    <xdr:grpSp>
      <xdr:nvGrpSpPr>
        <xdr:cNvPr id="8" name="Google Shape;133;g2e7fd6ac6c2_0_67">
          <a:extLst>
            <a:ext uri="{FF2B5EF4-FFF2-40B4-BE49-F238E27FC236}">
              <a16:creationId xmlns:a16="http://schemas.microsoft.com/office/drawing/2014/main" id="{78358C2C-D585-F0F4-FC23-717FC72C9EC8}"/>
            </a:ext>
          </a:extLst>
        </xdr:cNvPr>
        <xdr:cNvGrpSpPr/>
      </xdr:nvGrpSpPr>
      <xdr:grpSpPr>
        <a:xfrm>
          <a:off x="1" y="180975"/>
          <a:ext cx="8391525" cy="2476500"/>
          <a:chOff x="1495275" y="1235525"/>
          <a:chExt cx="6105675" cy="1644425"/>
        </a:xfrm>
      </xdr:grpSpPr>
      <xdr:pic>
        <xdr:nvPicPr>
          <xdr:cNvPr id="9" name="Google Shape;134;g2e7fd6ac6c2_0_67">
            <a:extLst>
              <a:ext uri="{FF2B5EF4-FFF2-40B4-BE49-F238E27FC236}">
                <a16:creationId xmlns:a16="http://schemas.microsoft.com/office/drawing/2014/main" id="{765C656F-5E71-70B0-6423-F8015772A374}"/>
              </a:ext>
            </a:extLst>
          </xdr:cNvPr>
          <xdr:cNvPicPr preferRelativeResize="0"/>
        </xdr:nvPicPr>
        <xdr:blipFill rotWithShape="1">
          <a:blip xmlns:r="http://schemas.openxmlformats.org/officeDocument/2006/relationships" r:embed="rId1">
            <a:alphaModFix/>
          </a:blip>
          <a:srcRect/>
          <a:stretch/>
        </xdr:blipFill>
        <xdr:spPr>
          <a:xfrm>
            <a:off x="1543050" y="1235525"/>
            <a:ext cx="6057900" cy="1028700"/>
          </a:xfrm>
          <a:prstGeom prst="rect">
            <a:avLst/>
          </a:prstGeom>
          <a:noFill/>
          <a:ln>
            <a:noFill/>
          </a:ln>
        </xdr:spPr>
      </xdr:pic>
      <xdr:pic>
        <xdr:nvPicPr>
          <xdr:cNvPr id="10" name="Google Shape;135;g2e7fd6ac6c2_0_67">
            <a:extLst>
              <a:ext uri="{FF2B5EF4-FFF2-40B4-BE49-F238E27FC236}">
                <a16:creationId xmlns:a16="http://schemas.microsoft.com/office/drawing/2014/main" id="{92BFD8DC-4D18-CEFB-BCF7-5F2712B44A9E}"/>
              </a:ext>
            </a:extLst>
          </xdr:cNvPr>
          <xdr:cNvPicPr preferRelativeResize="0"/>
        </xdr:nvPicPr>
        <xdr:blipFill rotWithShape="1">
          <a:blip xmlns:r="http://schemas.openxmlformats.org/officeDocument/2006/relationships" r:embed="rId2">
            <a:alphaModFix/>
          </a:blip>
          <a:srcRect/>
          <a:stretch/>
        </xdr:blipFill>
        <xdr:spPr>
          <a:xfrm>
            <a:off x="1495275" y="2108425"/>
            <a:ext cx="6057900" cy="771525"/>
          </a:xfrm>
          <a:prstGeom prst="rect">
            <a:avLst/>
          </a:prstGeom>
          <a:noFill/>
          <a:ln>
            <a:noFill/>
          </a:ln>
        </xdr:spPr>
      </xdr:pic>
    </xdr:grpSp>
    <xdr:clientData/>
  </xdr:twoCellAnchor>
  <xdr:twoCellAnchor editAs="oneCell">
    <xdr:from>
      <xdr:col>0</xdr:col>
      <xdr:colOff>0</xdr:colOff>
      <xdr:row>14</xdr:row>
      <xdr:rowOff>85725</xdr:rowOff>
    </xdr:from>
    <xdr:to>
      <xdr:col>9</xdr:col>
      <xdr:colOff>523875</xdr:colOff>
      <xdr:row>27</xdr:row>
      <xdr:rowOff>142875</xdr:rowOff>
    </xdr:to>
    <xdr:pic>
      <xdr:nvPicPr>
        <xdr:cNvPr id="12" name="Google Shape;136;g2e7fd6ac6c2_0_67">
          <a:extLst>
            <a:ext uri="{FF2B5EF4-FFF2-40B4-BE49-F238E27FC236}">
              <a16:creationId xmlns:a16="http://schemas.microsoft.com/office/drawing/2014/main" id="{0260E30B-9C0B-C905-DD84-0446AA76F1DD}"/>
            </a:ext>
          </a:extLst>
        </xdr:cNvPr>
        <xdr:cNvPicPr preferRelativeResize="0"/>
      </xdr:nvPicPr>
      <xdr:blipFill rotWithShape="1">
        <a:blip xmlns:r="http://schemas.openxmlformats.org/officeDocument/2006/relationships" r:embed="rId3">
          <a:alphaModFix/>
        </a:blip>
        <a:srcRect/>
        <a:stretch/>
      </xdr:blipFill>
      <xdr:spPr>
        <a:xfrm>
          <a:off x="0" y="2752725"/>
          <a:ext cx="8124825" cy="2533650"/>
        </a:xfrm>
        <a:prstGeom prst="rect">
          <a:avLst/>
        </a:prstGeom>
        <a:noFill/>
        <a:ln>
          <a:noFill/>
        </a:ln>
      </xdr:spPr>
    </xdr:pic>
    <xdr:clientData/>
  </xdr:twoCellAnchor>
  <xdr:twoCellAnchor>
    <xdr:from>
      <xdr:col>0</xdr:col>
      <xdr:colOff>0</xdr:colOff>
      <xdr:row>28</xdr:row>
      <xdr:rowOff>190499</xdr:rowOff>
    </xdr:from>
    <xdr:to>
      <xdr:col>13</xdr:col>
      <xdr:colOff>605700</xdr:colOff>
      <xdr:row>37</xdr:row>
      <xdr:rowOff>28574</xdr:rowOff>
    </xdr:to>
    <xdr:sp macro="" textlink="">
      <xdr:nvSpPr>
        <xdr:cNvPr id="14" name="Google Shape;180;g2e7fd6ac6c2_0_163">
          <a:extLst>
            <a:ext uri="{FF2B5EF4-FFF2-40B4-BE49-F238E27FC236}">
              <a16:creationId xmlns:a16="http://schemas.microsoft.com/office/drawing/2014/main" id="{6641BE6F-67C9-738E-4AF5-B4AC5826418A}"/>
            </a:ext>
          </a:extLst>
        </xdr:cNvPr>
        <xdr:cNvSpPr txBox="1"/>
      </xdr:nvSpPr>
      <xdr:spPr>
        <a:xfrm>
          <a:off x="0" y="5524499"/>
          <a:ext cx="10311675" cy="1552575"/>
        </a:xfrm>
        <a:prstGeom prst="rect">
          <a:avLst/>
        </a:prstGeom>
        <a:solidFill>
          <a:schemeClr val="bg2"/>
        </a:solidFill>
        <a:ln>
          <a:noFill/>
        </a:ln>
      </xdr:spPr>
      <xdr:txBody>
        <a:bodyPr spcFirstLastPara="1" wrap="square" lIns="91425" tIns="91425" rIns="91425" bIns="91425" anchor="t" anchorCtr="0">
          <a:no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lvl="0" indent="0" algn="l" rtl="0">
            <a:lnSpc>
              <a:spcPct val="115000"/>
            </a:lnSpc>
            <a:spcBef>
              <a:spcPts val="0"/>
            </a:spcBef>
            <a:spcAft>
              <a:spcPts val="0"/>
            </a:spcAft>
            <a:buClr>
              <a:srgbClr val="000000"/>
            </a:buClr>
            <a:buSzPts val="1100"/>
            <a:buFont typeface="Arial"/>
            <a:buNone/>
          </a:pPr>
          <a:r>
            <a:rPr lang="id" sz="1100">
              <a:solidFill>
                <a:schemeClr val="tx1"/>
              </a:solidFill>
            </a:rPr>
            <a:t>PT Segar Alam memiliki Investasi awal untuk proyek X sebesar Rp. 2.500.000.000 dan diharapkan menghasilkan pendapatan masing-masing Rp. 1.500.000.000, Rp. 2.000.000.000 dan Rp. 2.500.000.000 untuk tahun pertama, kedua dan ketiga.</a:t>
          </a:r>
          <a:endParaRPr sz="1100">
            <a:solidFill>
              <a:schemeClr val="tx1"/>
            </a:solidFill>
          </a:endParaRPr>
        </a:p>
        <a:p>
          <a:pPr marL="0" lvl="0" indent="0" algn="l" rtl="0">
            <a:lnSpc>
              <a:spcPct val="115000"/>
            </a:lnSpc>
            <a:spcBef>
              <a:spcPts val="0"/>
            </a:spcBef>
            <a:spcAft>
              <a:spcPts val="0"/>
            </a:spcAft>
            <a:buClr>
              <a:srgbClr val="000000"/>
            </a:buClr>
            <a:buSzPts val="1100"/>
            <a:buFont typeface="Arial"/>
            <a:buNone/>
          </a:pPr>
          <a:endParaRPr sz="1100">
            <a:solidFill>
              <a:schemeClr val="tx1"/>
            </a:solidFill>
          </a:endParaRPr>
        </a:p>
        <a:p>
          <a:pPr marL="0" lvl="0" indent="0" algn="l" rtl="0">
            <a:lnSpc>
              <a:spcPct val="115000"/>
            </a:lnSpc>
            <a:spcBef>
              <a:spcPts val="0"/>
            </a:spcBef>
            <a:spcAft>
              <a:spcPts val="0"/>
            </a:spcAft>
            <a:buClr>
              <a:srgbClr val="000000"/>
            </a:buClr>
            <a:buSzPts val="1100"/>
            <a:buFont typeface="Arial"/>
            <a:buNone/>
          </a:pPr>
          <a:r>
            <a:rPr lang="id" sz="1100" b="1">
              <a:solidFill>
                <a:schemeClr val="tx1"/>
              </a:solidFill>
            </a:rPr>
            <a:t>Berapa NPV untuk proyek tersebut jika biaya modal perusahaan adalah 13%?</a:t>
          </a:r>
          <a:endParaRPr sz="1100" b="1">
            <a:solidFill>
              <a:schemeClr val="tx1"/>
            </a:solidFill>
          </a:endParaRPr>
        </a:p>
        <a:p>
          <a:pPr marL="0" lvl="0" indent="0" algn="l" rtl="0">
            <a:lnSpc>
              <a:spcPct val="115000"/>
            </a:lnSpc>
            <a:spcBef>
              <a:spcPts val="0"/>
            </a:spcBef>
            <a:spcAft>
              <a:spcPts val="0"/>
            </a:spcAft>
            <a:buClr>
              <a:srgbClr val="000000"/>
            </a:buClr>
            <a:buSzPts val="1100"/>
            <a:buFont typeface="Arial"/>
            <a:buNone/>
          </a:pPr>
          <a:r>
            <a:rPr lang="id" sz="1100" b="1">
              <a:solidFill>
                <a:schemeClr val="tx1"/>
              </a:solidFill>
            </a:rPr>
            <a:t>Bagaimana interpretasi dari hasil NPV tersebut?</a:t>
          </a:r>
          <a:endParaRPr lang="en-US" sz="1100" b="1">
            <a:solidFill>
              <a:schemeClr val="tx1"/>
            </a:solidFill>
          </a:endParaRPr>
        </a:p>
        <a:p>
          <a:pPr marL="0" lvl="0" indent="0" algn="l" rtl="0">
            <a:lnSpc>
              <a:spcPct val="115000"/>
            </a:lnSpc>
            <a:spcBef>
              <a:spcPts val="0"/>
            </a:spcBef>
            <a:spcAft>
              <a:spcPts val="0"/>
            </a:spcAft>
            <a:buClr>
              <a:srgbClr val="000000"/>
            </a:buClr>
            <a:buSzPts val="1100"/>
            <a:buFont typeface="Arial"/>
            <a:buNone/>
          </a:pPr>
          <a:endParaRPr lang="en-US" sz="1100" b="1">
            <a:solidFill>
              <a:schemeClr val="tx1"/>
            </a:solidFill>
          </a:endParaRPr>
        </a:p>
        <a:p>
          <a:pPr marL="0" lvl="0" indent="0" algn="l" rtl="0">
            <a:lnSpc>
              <a:spcPct val="115000"/>
            </a:lnSpc>
            <a:spcBef>
              <a:spcPts val="0"/>
            </a:spcBef>
            <a:spcAft>
              <a:spcPts val="0"/>
            </a:spcAft>
            <a:buClr>
              <a:srgbClr val="000000"/>
            </a:buClr>
            <a:buSzPts val="1100"/>
            <a:buFont typeface="Arial"/>
            <a:buNone/>
          </a:pPr>
          <a:r>
            <a:rPr lang="en-US" sz="1100" b="0">
              <a:solidFill>
                <a:schemeClr val="tx1"/>
              </a:solidFill>
            </a:rPr>
            <a:t>Proyek tersebut</a:t>
          </a:r>
          <a:r>
            <a:rPr lang="en-US" sz="1100" b="0" baseline="0">
              <a:solidFill>
                <a:schemeClr val="tx1"/>
              </a:solidFill>
            </a:rPr>
            <a:t> menghasilkan angka positif sebesar 2.126.352.401 dan hasil ini membuat proyek ini diterima</a:t>
          </a:r>
          <a:endParaRPr sz="1100" b="0">
            <a:solidFill>
              <a:schemeClr val="tx1"/>
            </a:solidFill>
          </a:endParaRPr>
        </a:p>
      </xdr:txBody>
    </xdr:sp>
    <xdr:clientData/>
  </xdr:twoCellAnchor>
  <xdr:twoCellAnchor>
    <xdr:from>
      <xdr:col>0</xdr:col>
      <xdr:colOff>0</xdr:colOff>
      <xdr:row>43</xdr:row>
      <xdr:rowOff>0</xdr:rowOff>
    </xdr:from>
    <xdr:to>
      <xdr:col>13</xdr:col>
      <xdr:colOff>581025</xdr:colOff>
      <xdr:row>50</xdr:row>
      <xdr:rowOff>95250</xdr:rowOff>
    </xdr:to>
    <xdr:sp macro="" textlink="">
      <xdr:nvSpPr>
        <xdr:cNvPr id="16" name="Google Shape;202;g2e7fd6ac6c2_0_184">
          <a:extLst>
            <a:ext uri="{FF2B5EF4-FFF2-40B4-BE49-F238E27FC236}">
              <a16:creationId xmlns:a16="http://schemas.microsoft.com/office/drawing/2014/main" id="{1B759C45-BB07-04B4-8D63-94EEB1BD4D3F}"/>
            </a:ext>
          </a:extLst>
        </xdr:cNvPr>
        <xdr:cNvSpPr txBox="1"/>
      </xdr:nvSpPr>
      <xdr:spPr>
        <a:xfrm>
          <a:off x="0" y="8382000"/>
          <a:ext cx="10620375" cy="1428750"/>
        </a:xfrm>
        <a:prstGeom prst="rect">
          <a:avLst/>
        </a:prstGeom>
        <a:solidFill>
          <a:schemeClr val="bg2"/>
        </a:solidFill>
        <a:ln>
          <a:noFill/>
        </a:ln>
      </xdr:spPr>
      <xdr:txBody>
        <a:bodyPr spcFirstLastPara="1" wrap="square" lIns="91425" tIns="91425" rIns="91425" bIns="91425" anchor="t" anchorCtr="0">
          <a:no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lvl="0" indent="0" algn="l" rtl="0">
            <a:lnSpc>
              <a:spcPct val="115000"/>
            </a:lnSpc>
            <a:spcBef>
              <a:spcPts val="0"/>
            </a:spcBef>
            <a:spcAft>
              <a:spcPts val="0"/>
            </a:spcAft>
            <a:buClr>
              <a:schemeClr val="dk1"/>
            </a:buClr>
            <a:buSzPts val="1100"/>
            <a:buFont typeface="Arial"/>
            <a:buNone/>
          </a:pPr>
          <a:r>
            <a:rPr lang="id" sz="1100">
              <a:solidFill>
                <a:schemeClr val="tx1"/>
              </a:solidFill>
            </a:rPr>
            <a:t>Perusahaan PT. ABC mengusulkan proyek investasi dengan dana Rp. 880 juta dan ditargetkan penerimaan dana investasi setiap tahunnya adalah Rp. 120 juta,</a:t>
          </a:r>
          <a:endParaRPr sz="1100">
            <a:solidFill>
              <a:schemeClr val="tx1"/>
            </a:solidFill>
          </a:endParaRPr>
        </a:p>
        <a:p>
          <a:pPr marL="0" lvl="0" indent="0" algn="l" rtl="0">
            <a:lnSpc>
              <a:spcPct val="115000"/>
            </a:lnSpc>
            <a:spcBef>
              <a:spcPts val="0"/>
            </a:spcBef>
            <a:spcAft>
              <a:spcPts val="0"/>
            </a:spcAft>
            <a:buClr>
              <a:schemeClr val="dk1"/>
            </a:buClr>
            <a:buSzPts val="1100"/>
            <a:buFont typeface="Arial"/>
            <a:buNone/>
          </a:pPr>
          <a:endParaRPr sz="1100">
            <a:solidFill>
              <a:schemeClr val="tx1"/>
            </a:solidFill>
          </a:endParaRPr>
        </a:p>
        <a:p>
          <a:pPr marL="0" lvl="0" indent="0" algn="l" rtl="0">
            <a:lnSpc>
              <a:spcPct val="115000"/>
            </a:lnSpc>
            <a:spcBef>
              <a:spcPts val="0"/>
            </a:spcBef>
            <a:spcAft>
              <a:spcPts val="0"/>
            </a:spcAft>
            <a:buClr>
              <a:schemeClr val="dk1"/>
            </a:buClr>
            <a:buSzPts val="1100"/>
            <a:buFont typeface="Arial"/>
            <a:buNone/>
          </a:pPr>
          <a:r>
            <a:rPr lang="id" sz="1100" b="1">
              <a:solidFill>
                <a:schemeClr val="tx1"/>
              </a:solidFill>
            </a:rPr>
            <a:t>Berapa Payback Period untuk proyek investasi tersebut? Tolong jelaskan beserta dengan interpretasi hasilnya.</a:t>
          </a:r>
          <a:endParaRPr lang="en-US" sz="1100" b="1">
            <a:solidFill>
              <a:schemeClr val="tx1"/>
            </a:solidFill>
          </a:endParaRPr>
        </a:p>
        <a:p>
          <a:pPr marL="0" lvl="0" indent="0" algn="l" rtl="0">
            <a:lnSpc>
              <a:spcPct val="115000"/>
            </a:lnSpc>
            <a:spcBef>
              <a:spcPts val="0"/>
            </a:spcBef>
            <a:spcAft>
              <a:spcPts val="0"/>
            </a:spcAft>
            <a:buClr>
              <a:schemeClr val="dk1"/>
            </a:buClr>
            <a:buSzPts val="1100"/>
            <a:buFont typeface="Arial"/>
            <a:buNone/>
          </a:pPr>
          <a:endParaRPr lang="en-US" sz="1100" b="1">
            <a:solidFill>
              <a:schemeClr val="tx1"/>
            </a:solidFill>
          </a:endParaRPr>
        </a:p>
        <a:p>
          <a:pPr marL="0" lvl="0" indent="0" algn="l" rtl="0">
            <a:lnSpc>
              <a:spcPct val="115000"/>
            </a:lnSpc>
            <a:spcBef>
              <a:spcPts val="0"/>
            </a:spcBef>
            <a:spcAft>
              <a:spcPts val="0"/>
            </a:spcAft>
            <a:buClr>
              <a:schemeClr val="dk1"/>
            </a:buClr>
            <a:buSzPts val="1100"/>
            <a:buFont typeface="Arial"/>
            <a:buNone/>
          </a:pPr>
          <a:r>
            <a:rPr lang="en-US" sz="1100" b="0">
              <a:solidFill>
                <a:schemeClr val="tx1"/>
              </a:solidFill>
            </a:rPr>
            <a:t>Payback</a:t>
          </a:r>
          <a:r>
            <a:rPr lang="en-US" sz="1100" b="0" baseline="0">
              <a:solidFill>
                <a:schemeClr val="tx1"/>
              </a:solidFill>
            </a:rPr>
            <a:t> Periode untk proyek investasi tersebut adalah 7 tahun 3 bulan. Ini cukup lama dibandingkan waktu ideal yaitu 3 sampai</a:t>
          </a:r>
        </a:p>
        <a:p>
          <a:pPr marL="0" lvl="0" indent="0" algn="l" rtl="0">
            <a:lnSpc>
              <a:spcPct val="115000"/>
            </a:lnSpc>
            <a:spcBef>
              <a:spcPts val="0"/>
            </a:spcBef>
            <a:spcAft>
              <a:spcPts val="0"/>
            </a:spcAft>
            <a:buClr>
              <a:schemeClr val="dk1"/>
            </a:buClr>
            <a:buSzPts val="1100"/>
            <a:buFont typeface="Arial"/>
            <a:buNone/>
          </a:pPr>
          <a:r>
            <a:rPr lang="en-US" sz="1100" b="0" baseline="0">
              <a:solidFill>
                <a:schemeClr val="tx1"/>
              </a:solidFill>
            </a:rPr>
            <a:t>5 tahun jika perusahaan memiliki batas Paybak Period maka perlu dipertimbangkan</a:t>
          </a:r>
          <a:endParaRPr lang="en-US" sz="1100" b="0">
            <a:solidFill>
              <a:schemeClr val="tx1"/>
            </a:solidFill>
          </a:endParaRPr>
        </a:p>
        <a:p>
          <a:pPr marL="0" lvl="0" indent="0" algn="l" rtl="0">
            <a:lnSpc>
              <a:spcPct val="115000"/>
            </a:lnSpc>
            <a:spcBef>
              <a:spcPts val="0"/>
            </a:spcBef>
            <a:spcAft>
              <a:spcPts val="0"/>
            </a:spcAft>
            <a:buClr>
              <a:schemeClr val="dk1"/>
            </a:buClr>
            <a:buSzPts val="1100"/>
            <a:buFont typeface="Arial"/>
            <a:buNone/>
          </a:pPr>
          <a:endParaRPr sz="1100" b="0">
            <a:solidFill>
              <a:schemeClr val="tx1"/>
            </a:solidFill>
          </a:endParaRPr>
        </a:p>
        <a:p>
          <a:pPr marL="0" lvl="0" indent="0" algn="l" rtl="0">
            <a:lnSpc>
              <a:spcPct val="115000"/>
            </a:lnSpc>
            <a:spcBef>
              <a:spcPts val="0"/>
            </a:spcBef>
            <a:spcAft>
              <a:spcPts val="0"/>
            </a:spcAft>
            <a:buClr>
              <a:srgbClr val="000000"/>
            </a:buClr>
            <a:buSzPts val="1100"/>
            <a:buFont typeface="Arial"/>
            <a:buNone/>
          </a:pPr>
          <a:endParaRPr sz="1100">
            <a:solidFill>
              <a:schemeClr val="tx1"/>
            </a:solidFill>
          </a:endParaRP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0</xdr:colOff>
      <xdr:row>0</xdr:row>
      <xdr:rowOff>133350</xdr:rowOff>
    </xdr:from>
    <xdr:to>
      <xdr:col>12</xdr:col>
      <xdr:colOff>504825</xdr:colOff>
      <xdr:row>26</xdr:row>
      <xdr:rowOff>76200</xdr:rowOff>
    </xdr:to>
    <xdr:grpSp>
      <xdr:nvGrpSpPr>
        <xdr:cNvPr id="6" name="Google Shape;131;g274a404442a_0_88">
          <a:extLst>
            <a:ext uri="{FF2B5EF4-FFF2-40B4-BE49-F238E27FC236}">
              <a16:creationId xmlns:a16="http://schemas.microsoft.com/office/drawing/2014/main" id="{98A9AAC2-BD56-BEF8-701E-BA3AD9BDBC23}"/>
            </a:ext>
          </a:extLst>
        </xdr:cNvPr>
        <xdr:cNvGrpSpPr/>
      </xdr:nvGrpSpPr>
      <xdr:grpSpPr>
        <a:xfrm>
          <a:off x="0" y="133350"/>
          <a:ext cx="9591675" cy="4895850"/>
          <a:chOff x="1457313" y="1235525"/>
          <a:chExt cx="6143637" cy="3673238"/>
        </a:xfrm>
      </xdr:grpSpPr>
      <xdr:pic>
        <xdr:nvPicPr>
          <xdr:cNvPr id="7" name="Google Shape;132;g274a404442a_0_88">
            <a:extLst>
              <a:ext uri="{FF2B5EF4-FFF2-40B4-BE49-F238E27FC236}">
                <a16:creationId xmlns:a16="http://schemas.microsoft.com/office/drawing/2014/main" id="{D845E92E-C985-66C9-86AE-F712B6536269}"/>
              </a:ext>
            </a:extLst>
          </xdr:cNvPr>
          <xdr:cNvPicPr preferRelativeResize="0"/>
        </xdr:nvPicPr>
        <xdr:blipFill rotWithShape="1">
          <a:blip xmlns:r="http://schemas.openxmlformats.org/officeDocument/2006/relationships" r:embed="rId1">
            <a:alphaModFix/>
          </a:blip>
          <a:srcRect/>
          <a:stretch/>
        </xdr:blipFill>
        <xdr:spPr>
          <a:xfrm>
            <a:off x="1543050" y="1235525"/>
            <a:ext cx="6057900" cy="1028700"/>
          </a:xfrm>
          <a:prstGeom prst="rect">
            <a:avLst/>
          </a:prstGeom>
          <a:noFill/>
          <a:ln>
            <a:noFill/>
          </a:ln>
        </xdr:spPr>
      </xdr:pic>
      <xdr:pic>
        <xdr:nvPicPr>
          <xdr:cNvPr id="8" name="Google Shape;133;g274a404442a_0_88">
            <a:extLst>
              <a:ext uri="{FF2B5EF4-FFF2-40B4-BE49-F238E27FC236}">
                <a16:creationId xmlns:a16="http://schemas.microsoft.com/office/drawing/2014/main" id="{A7F6C2A8-3C52-2FC7-B8A2-A50AD38133B9}"/>
              </a:ext>
            </a:extLst>
          </xdr:cNvPr>
          <xdr:cNvPicPr preferRelativeResize="0"/>
        </xdr:nvPicPr>
        <xdr:blipFill rotWithShape="1">
          <a:blip xmlns:r="http://schemas.openxmlformats.org/officeDocument/2006/relationships" r:embed="rId2">
            <a:alphaModFix/>
          </a:blip>
          <a:srcRect/>
          <a:stretch/>
        </xdr:blipFill>
        <xdr:spPr>
          <a:xfrm>
            <a:off x="1457313" y="2879938"/>
            <a:ext cx="6143625" cy="2028825"/>
          </a:xfrm>
          <a:prstGeom prst="rect">
            <a:avLst/>
          </a:prstGeom>
          <a:noFill/>
          <a:ln>
            <a:noFill/>
          </a:ln>
        </xdr:spPr>
      </xdr:pic>
      <xdr:pic>
        <xdr:nvPicPr>
          <xdr:cNvPr id="9" name="Google Shape;134;g274a404442a_0_88">
            <a:extLst>
              <a:ext uri="{FF2B5EF4-FFF2-40B4-BE49-F238E27FC236}">
                <a16:creationId xmlns:a16="http://schemas.microsoft.com/office/drawing/2014/main" id="{810CA42D-3D2B-ACBB-17D6-0B05987DC202}"/>
              </a:ext>
            </a:extLst>
          </xdr:cNvPr>
          <xdr:cNvPicPr preferRelativeResize="0"/>
        </xdr:nvPicPr>
        <xdr:blipFill rotWithShape="1">
          <a:blip xmlns:r="http://schemas.openxmlformats.org/officeDocument/2006/relationships" r:embed="rId3">
            <a:alphaModFix/>
          </a:blip>
          <a:srcRect/>
          <a:stretch/>
        </xdr:blipFill>
        <xdr:spPr>
          <a:xfrm>
            <a:off x="1495275" y="2108425"/>
            <a:ext cx="6057900" cy="771525"/>
          </a:xfrm>
          <a:prstGeom prst="rect">
            <a:avLst/>
          </a:prstGeom>
          <a:noFill/>
          <a:ln>
            <a:noFill/>
          </a:ln>
        </xdr:spPr>
      </xdr:pic>
    </xdr:grpSp>
    <xdr:clientData/>
  </xdr:twoCellAnchor>
  <xdr:twoCellAnchor>
    <xdr:from>
      <xdr:col>0</xdr:col>
      <xdr:colOff>0</xdr:colOff>
      <xdr:row>27</xdr:row>
      <xdr:rowOff>161924</xdr:rowOff>
    </xdr:from>
    <xdr:to>
      <xdr:col>20</xdr:col>
      <xdr:colOff>361950</xdr:colOff>
      <xdr:row>35</xdr:row>
      <xdr:rowOff>47625</xdr:rowOff>
    </xdr:to>
    <xdr:sp macro="" textlink="">
      <xdr:nvSpPr>
        <xdr:cNvPr id="11" name="Google Shape;86;g274a404442a_0_0">
          <a:extLst>
            <a:ext uri="{FF2B5EF4-FFF2-40B4-BE49-F238E27FC236}">
              <a16:creationId xmlns:a16="http://schemas.microsoft.com/office/drawing/2014/main" id="{BAC39156-5E39-EE56-4288-6CEEC39C0555}"/>
            </a:ext>
          </a:extLst>
        </xdr:cNvPr>
        <xdr:cNvSpPr txBox="1"/>
      </xdr:nvSpPr>
      <xdr:spPr>
        <a:xfrm>
          <a:off x="0" y="5305424"/>
          <a:ext cx="14325600" cy="1409701"/>
        </a:xfrm>
        <a:prstGeom prst="rect">
          <a:avLst/>
        </a:prstGeom>
        <a:solidFill>
          <a:schemeClr val="bg2"/>
        </a:solidFill>
        <a:ln>
          <a:noFill/>
        </a:ln>
      </xdr:spPr>
      <xdr:txBody>
        <a:bodyPr spcFirstLastPara="1" wrap="square" lIns="91425" tIns="91425" rIns="91425" bIns="91425" anchor="t" anchorCtr="0">
          <a:no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lvl="0" indent="0" algn="l" rtl="0">
            <a:lnSpc>
              <a:spcPct val="115000"/>
            </a:lnSpc>
            <a:spcBef>
              <a:spcPts val="0"/>
            </a:spcBef>
            <a:spcAft>
              <a:spcPts val="0"/>
            </a:spcAft>
            <a:buClr>
              <a:schemeClr val="dk1"/>
            </a:buClr>
            <a:buSzPts val="1100"/>
            <a:buFont typeface="Arial"/>
            <a:buNone/>
          </a:pPr>
          <a:r>
            <a:rPr lang="id" sz="1100">
              <a:solidFill>
                <a:schemeClr val="dk1"/>
              </a:solidFill>
            </a:rPr>
            <a:t>PT A berencana untuk mengembangkan produk baru dalam waktu dekat, dengan terciptanya produk ini management berharap mempercepat pertumbuhan bisnis perusahaan. Untuk mengembangkan produk baru ini, PT A membutuhkan mesin produksi khusus dan berencana untuk menyewa mesin tersebut dari PT B dan juga ada opsi membeli mesin pada harga Rp 785.000.000. Untuk opsi sewa, harga sewa mesin senilai Rp 630.000.000 untuk 8 tahun kedepan, sewa yang dibayar perbulan adalah adalah sebesar Rp 7.800.000.</a:t>
          </a:r>
          <a:endParaRPr sz="1100">
            <a:solidFill>
              <a:schemeClr val="dk1"/>
            </a:solidFill>
          </a:endParaRPr>
        </a:p>
        <a:p>
          <a:pPr marL="0" lvl="0" indent="0" algn="l" rtl="0">
            <a:lnSpc>
              <a:spcPct val="115000"/>
            </a:lnSpc>
            <a:spcBef>
              <a:spcPts val="0"/>
            </a:spcBef>
            <a:spcAft>
              <a:spcPts val="0"/>
            </a:spcAft>
            <a:buClr>
              <a:schemeClr val="dk1"/>
            </a:buClr>
            <a:buSzPts val="1100"/>
            <a:buFont typeface="Arial"/>
            <a:buNone/>
          </a:pPr>
          <a:endParaRPr sz="1100">
            <a:solidFill>
              <a:schemeClr val="dk1"/>
            </a:solidFill>
          </a:endParaRPr>
        </a:p>
        <a:p>
          <a:pPr marL="0" lvl="0" indent="0" algn="l" rtl="0">
            <a:lnSpc>
              <a:spcPct val="115000"/>
            </a:lnSpc>
            <a:spcBef>
              <a:spcPts val="0"/>
            </a:spcBef>
            <a:spcAft>
              <a:spcPts val="0"/>
            </a:spcAft>
            <a:buClr>
              <a:schemeClr val="dk1"/>
            </a:buClr>
            <a:buSzPts val="1100"/>
            <a:buFont typeface="Arial"/>
            <a:buNone/>
          </a:pPr>
          <a:r>
            <a:rPr lang="id" sz="1100" b="1">
              <a:solidFill>
                <a:schemeClr val="dk1"/>
              </a:solidFill>
            </a:rPr>
            <a:t>Hitunglah total biaya sewa yang dibayar PT A selama 8 tahun dan pilihlah opsi terbaik antara menyewa atau membeli mesi</a:t>
          </a:r>
          <a:r>
            <a:rPr lang="en-US" sz="1100" b="1">
              <a:solidFill>
                <a:schemeClr val="dk1"/>
              </a:solidFill>
            </a:rPr>
            <a:t>n</a:t>
          </a:r>
        </a:p>
        <a:p>
          <a:pPr marL="0" lvl="0" indent="0" algn="l" rtl="0">
            <a:lnSpc>
              <a:spcPct val="115000"/>
            </a:lnSpc>
            <a:spcBef>
              <a:spcPts val="0"/>
            </a:spcBef>
            <a:spcAft>
              <a:spcPts val="0"/>
            </a:spcAft>
            <a:buClr>
              <a:schemeClr val="dk1"/>
            </a:buClr>
            <a:buSzPts val="1100"/>
            <a:buFont typeface="Arial"/>
            <a:buNone/>
          </a:pPr>
          <a:endParaRPr lang="en-US" sz="1100" b="1">
            <a:solidFill>
              <a:schemeClr val="dk1"/>
            </a:solidFill>
          </a:endParaRPr>
        </a:p>
        <a:p>
          <a:pPr marL="0" lvl="0" indent="0" algn="l" rtl="0">
            <a:lnSpc>
              <a:spcPct val="115000"/>
            </a:lnSpc>
            <a:spcBef>
              <a:spcPts val="0"/>
            </a:spcBef>
            <a:spcAft>
              <a:spcPts val="0"/>
            </a:spcAft>
            <a:buClr>
              <a:schemeClr val="dk1"/>
            </a:buClr>
            <a:buSzPts val="1100"/>
            <a:buFont typeface="Arial"/>
            <a:buNone/>
          </a:pPr>
          <a:r>
            <a:rPr lang="en-US" sz="1100" b="1">
              <a:solidFill>
                <a:schemeClr val="dk1"/>
              </a:solidFill>
            </a:rPr>
            <a:t>Hasilnya :</a:t>
          </a:r>
          <a:r>
            <a:rPr lang="en-US" sz="1100" b="1" baseline="0">
              <a:solidFill>
                <a:schemeClr val="dk1"/>
              </a:solidFill>
            </a:rPr>
            <a:t> </a:t>
          </a:r>
          <a:r>
            <a:rPr lang="en-US" sz="1100">
              <a:solidFill>
                <a:schemeClr val="tx1"/>
              </a:solidFill>
            </a:rPr>
            <a:t>748.800.00 jadi opsi terbaik adalah sewa</a:t>
          </a:r>
          <a:endParaRPr sz="1100">
            <a:solidFill>
              <a:schemeClr val="tx1"/>
            </a:solidFill>
          </a:endParaRPr>
        </a:p>
        <a:p>
          <a:pPr marL="0" lvl="0" indent="0" algn="l" rtl="0">
            <a:lnSpc>
              <a:spcPct val="115000"/>
            </a:lnSpc>
            <a:spcBef>
              <a:spcPts val="0"/>
            </a:spcBef>
            <a:spcAft>
              <a:spcPts val="0"/>
            </a:spcAft>
            <a:buClr>
              <a:srgbClr val="000000"/>
            </a:buClr>
            <a:buSzPts val="1100"/>
            <a:buFont typeface="Arial"/>
            <a:buNone/>
          </a:pPr>
          <a:endParaRPr sz="1100">
            <a:solidFill>
              <a:srgbClr val="111111"/>
            </a:solidFill>
          </a:endParaRPr>
        </a:p>
      </xdr:txBody>
    </xdr:sp>
    <xdr:clientData/>
  </xdr:twoCellAnchor>
  <xdr:twoCellAnchor>
    <xdr:from>
      <xdr:col>0</xdr:col>
      <xdr:colOff>0</xdr:colOff>
      <xdr:row>39</xdr:row>
      <xdr:rowOff>180976</xdr:rowOff>
    </xdr:from>
    <xdr:to>
      <xdr:col>13</xdr:col>
      <xdr:colOff>34200</xdr:colOff>
      <xdr:row>45</xdr:row>
      <xdr:rowOff>133350</xdr:rowOff>
    </xdr:to>
    <xdr:sp macro="" textlink="">
      <xdr:nvSpPr>
        <xdr:cNvPr id="13" name="Google Shape;108;g274a404442a_0_67">
          <a:extLst>
            <a:ext uri="{FF2B5EF4-FFF2-40B4-BE49-F238E27FC236}">
              <a16:creationId xmlns:a16="http://schemas.microsoft.com/office/drawing/2014/main" id="{05FEC831-DA56-F711-2418-06C2CD2DFBE9}"/>
            </a:ext>
          </a:extLst>
        </xdr:cNvPr>
        <xdr:cNvSpPr txBox="1"/>
      </xdr:nvSpPr>
      <xdr:spPr>
        <a:xfrm>
          <a:off x="0" y="7639051"/>
          <a:ext cx="9730650" cy="1095374"/>
        </a:xfrm>
        <a:prstGeom prst="rect">
          <a:avLst/>
        </a:prstGeom>
        <a:solidFill>
          <a:schemeClr val="bg2"/>
        </a:solidFill>
        <a:ln>
          <a:noFill/>
        </a:ln>
      </xdr:spPr>
      <xdr:txBody>
        <a:bodyPr spcFirstLastPara="1" wrap="square" lIns="91425" tIns="91425" rIns="91425" bIns="91425" anchor="t" anchorCtr="0">
          <a:no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lvl="0" indent="0" algn="l" rtl="0">
            <a:lnSpc>
              <a:spcPct val="115000"/>
            </a:lnSpc>
            <a:spcBef>
              <a:spcPts val="0"/>
            </a:spcBef>
            <a:spcAft>
              <a:spcPts val="0"/>
            </a:spcAft>
            <a:buClr>
              <a:schemeClr val="dk1"/>
            </a:buClr>
            <a:buSzPts val="1100"/>
            <a:buFont typeface="Arial"/>
            <a:buNone/>
          </a:pPr>
          <a:r>
            <a:rPr lang="id" sz="1100">
              <a:solidFill>
                <a:schemeClr val="dk1"/>
              </a:solidFill>
            </a:rPr>
            <a:t>PT A mengambil pinjaman dari bank sebesar Rp 800.000.000 dengan tingkat bunga 6,5% per tahun. Pinjaman ini akan jatuh tempo dalam 5 tahun.</a:t>
          </a:r>
          <a:endParaRPr sz="1100">
            <a:solidFill>
              <a:schemeClr val="dk1"/>
            </a:solidFill>
          </a:endParaRPr>
        </a:p>
        <a:p>
          <a:pPr marL="0" lvl="0" indent="0" algn="l" rtl="0">
            <a:lnSpc>
              <a:spcPct val="115000"/>
            </a:lnSpc>
            <a:spcBef>
              <a:spcPts val="0"/>
            </a:spcBef>
            <a:spcAft>
              <a:spcPts val="0"/>
            </a:spcAft>
            <a:buClr>
              <a:schemeClr val="dk1"/>
            </a:buClr>
            <a:buSzPts val="1100"/>
            <a:buFont typeface="Arial"/>
            <a:buNone/>
          </a:pPr>
          <a:endParaRPr sz="1100" b="1">
            <a:solidFill>
              <a:schemeClr val="dk1"/>
            </a:solidFill>
          </a:endParaRPr>
        </a:p>
        <a:p>
          <a:pPr marL="0" lvl="0" indent="0" algn="l" rtl="0">
            <a:lnSpc>
              <a:spcPct val="115000"/>
            </a:lnSpc>
            <a:spcBef>
              <a:spcPts val="0"/>
            </a:spcBef>
            <a:spcAft>
              <a:spcPts val="0"/>
            </a:spcAft>
            <a:buClr>
              <a:schemeClr val="dk1"/>
            </a:buClr>
            <a:buSzPts val="1100"/>
            <a:buFont typeface="Arial"/>
            <a:buNone/>
          </a:pPr>
          <a:r>
            <a:rPr lang="id" sz="1100" b="1">
              <a:solidFill>
                <a:schemeClr val="dk1"/>
              </a:solidFill>
            </a:rPr>
            <a:t>Berapakah bunga tahunan yang harus dibayar serta total yang harus dibayarkan PT A saat jatuh tempo</a:t>
          </a:r>
          <a:r>
            <a:rPr lang="en-US" sz="1100" b="1">
              <a:solidFill>
                <a:schemeClr val="dk1"/>
              </a:solidFill>
            </a:rPr>
            <a:t> ?</a:t>
          </a:r>
        </a:p>
        <a:p>
          <a:pPr marL="0" lvl="0" indent="0" algn="l" rtl="0">
            <a:lnSpc>
              <a:spcPct val="115000"/>
            </a:lnSpc>
            <a:spcBef>
              <a:spcPts val="0"/>
            </a:spcBef>
            <a:spcAft>
              <a:spcPts val="0"/>
            </a:spcAft>
            <a:buClr>
              <a:schemeClr val="dk1"/>
            </a:buClr>
            <a:buSzPts val="1100"/>
            <a:buFont typeface="Arial"/>
            <a:buNone/>
          </a:pPr>
          <a:endParaRPr lang="en-US" sz="1100">
            <a:solidFill>
              <a:schemeClr val="dk1"/>
            </a:solidFill>
          </a:endParaRPr>
        </a:p>
        <a:p>
          <a:pPr marL="0" lvl="0" indent="0" algn="l" rtl="0">
            <a:lnSpc>
              <a:spcPct val="115000"/>
            </a:lnSpc>
            <a:spcBef>
              <a:spcPts val="0"/>
            </a:spcBef>
            <a:spcAft>
              <a:spcPts val="0"/>
            </a:spcAft>
            <a:buClr>
              <a:schemeClr val="dk1"/>
            </a:buClr>
            <a:buSzPts val="1100"/>
            <a:buFont typeface="Arial"/>
            <a:buNone/>
          </a:pPr>
          <a:r>
            <a:rPr lang="en-US" sz="1100" b="1">
              <a:solidFill>
                <a:schemeClr val="dk1"/>
              </a:solidFill>
            </a:rPr>
            <a:t>Hasil </a:t>
          </a:r>
          <a:r>
            <a:rPr lang="en-US" sz="1100">
              <a:solidFill>
                <a:schemeClr val="dk1"/>
              </a:solidFill>
            </a:rPr>
            <a:t>: bunga tahunanan yang harus dibayar 520.000 dan total yang harus dibayar pada saat jatuh tempo 3.120.000</a:t>
          </a:r>
          <a:endParaRPr sz="1100">
            <a:solidFill>
              <a:schemeClr val="dk1"/>
            </a:solidFill>
          </a:endParaRPr>
        </a:p>
        <a:p>
          <a:pPr marL="0" lvl="0" indent="0" algn="l" rtl="0">
            <a:lnSpc>
              <a:spcPct val="115000"/>
            </a:lnSpc>
            <a:spcBef>
              <a:spcPts val="0"/>
            </a:spcBef>
            <a:spcAft>
              <a:spcPts val="0"/>
            </a:spcAft>
            <a:buClr>
              <a:srgbClr val="000000"/>
            </a:buClr>
            <a:buSzPts val="1100"/>
            <a:buFont typeface="Arial"/>
            <a:buNone/>
          </a:pPr>
          <a:endParaRPr sz="1100">
            <a:solidFill>
              <a:schemeClr val="dk1"/>
            </a:solidFill>
          </a:endParaRP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0</xdr:col>
      <xdr:colOff>0</xdr:colOff>
      <xdr:row>16</xdr:row>
      <xdr:rowOff>38100</xdr:rowOff>
    </xdr:from>
    <xdr:to>
      <xdr:col>12</xdr:col>
      <xdr:colOff>9525</xdr:colOff>
      <xdr:row>23</xdr:row>
      <xdr:rowOff>133350</xdr:rowOff>
    </xdr:to>
    <xdr:sp macro="" textlink="">
      <xdr:nvSpPr>
        <xdr:cNvPr id="3" name="TextBox 3">
          <a:extLst>
            <a:ext uri="{FF2B5EF4-FFF2-40B4-BE49-F238E27FC236}">
              <a16:creationId xmlns:a16="http://schemas.microsoft.com/office/drawing/2014/main" id="{165559E7-388F-69BF-C50E-57A14EEB8D13}"/>
            </a:ext>
          </a:extLst>
        </xdr:cNvPr>
        <xdr:cNvSpPr txBox="1"/>
      </xdr:nvSpPr>
      <xdr:spPr>
        <a:xfrm>
          <a:off x="0" y="3429000"/>
          <a:ext cx="12020550" cy="1495425"/>
        </a:xfrm>
        <a:prstGeom prst="rect">
          <a:avLst/>
        </a:prstGeom>
        <a:solidFill>
          <a:schemeClr val="bg2"/>
        </a:solidFill>
      </xdr:spPr>
      <xdr:txBody>
        <a:bodyPr wrap="square" rtlCol="0">
          <a:no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a:lnSpc>
              <a:spcPct val="150000"/>
            </a:lnSpc>
          </a:pPr>
          <a:r>
            <a:rPr lang="en-US" sz="1200" b="1"/>
            <a:t>Sumber :</a:t>
          </a:r>
        </a:p>
        <a:p>
          <a:pPr>
            <a:lnSpc>
              <a:spcPct val="150000"/>
            </a:lnSpc>
          </a:pPr>
          <a:r>
            <a:rPr lang="en-US" sz="1200"/>
            <a:t>Pada tahun 2011 penerimaan dari pelanggan Rp17.641.866. Ditahun 2012 penerimaan ini naik sebesar Rp3.378.243 (19%) menjadi Rp 21.020.109.</a:t>
          </a:r>
        </a:p>
        <a:p>
          <a:pPr>
            <a:lnSpc>
              <a:spcPct val="150000"/>
            </a:lnSpc>
          </a:pPr>
          <a:r>
            <a:rPr lang="sv-SE" sz="1200"/>
            <a:t>Pada tahun 2011 Pendapatan Keuangan Rp28.376. Pendapatan keungan ini kemudian naik ditahun 2012 sebesar  Rp9.559 (34%) menjadi  Rp37.385.</a:t>
          </a:r>
        </a:p>
        <a:p>
          <a:pPr>
            <a:lnSpc>
              <a:spcPct val="150000"/>
            </a:lnSpc>
          </a:pPr>
          <a:r>
            <a:rPr lang="sv-SE" sz="1200"/>
            <a:t>Peneriman dari aktivitas operasional yang lain ditahun 2011 yaitu Rp17.374. Ditahun 2012 penerimaan ini naik sebesar  Rp 13.561 (78%) menjadi  Rp30.935.</a:t>
          </a:r>
        </a:p>
        <a:p>
          <a:pPr>
            <a:lnSpc>
              <a:spcPct val="150000"/>
            </a:lnSpc>
          </a:pPr>
          <a:r>
            <a:rPr lang="sv-SE" sz="1200"/>
            <a:t>Di tahun 2011 total penerimaan dana sebesar Rp17.687.616. sementara ditahun 2012 total penerimaan ini naik sebesar Rp3.400..363 (19%) menjadi Rp21.088.429 </a:t>
          </a:r>
          <a:endParaRPr lang="en-US" sz="1200"/>
        </a:p>
        <a:p>
          <a:endParaRPr lang="en-ID" sz="1200"/>
        </a:p>
      </xdr:txBody>
    </xdr:sp>
    <xdr:clientData/>
  </xdr:twoCellAnchor>
  <xdr:twoCellAnchor>
    <xdr:from>
      <xdr:col>0</xdr:col>
      <xdr:colOff>0</xdr:colOff>
      <xdr:row>23</xdr:row>
      <xdr:rowOff>180976</xdr:rowOff>
    </xdr:from>
    <xdr:to>
      <xdr:col>12</xdr:col>
      <xdr:colOff>47625</xdr:colOff>
      <xdr:row>32</xdr:row>
      <xdr:rowOff>171450</xdr:rowOff>
    </xdr:to>
    <xdr:sp macro="" textlink="">
      <xdr:nvSpPr>
        <xdr:cNvPr id="5" name="TextBox 3">
          <a:extLst>
            <a:ext uri="{FF2B5EF4-FFF2-40B4-BE49-F238E27FC236}">
              <a16:creationId xmlns:a16="http://schemas.microsoft.com/office/drawing/2014/main" id="{607B08CA-FF59-B349-CB63-7355D8BCE37A}"/>
            </a:ext>
          </a:extLst>
        </xdr:cNvPr>
        <xdr:cNvSpPr txBox="1"/>
      </xdr:nvSpPr>
      <xdr:spPr>
        <a:xfrm>
          <a:off x="0" y="4972051"/>
          <a:ext cx="12058650" cy="1790699"/>
        </a:xfrm>
        <a:prstGeom prst="rect">
          <a:avLst/>
        </a:prstGeom>
        <a:solidFill>
          <a:schemeClr val="bg2"/>
        </a:solidFill>
      </xdr:spPr>
      <xdr:txBody>
        <a:bodyPr wrap="square" rtlCol="0">
          <a:no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a:lnSpc>
              <a:spcPct val="150000"/>
            </a:lnSpc>
          </a:pPr>
          <a:r>
            <a:rPr lang="en-US" sz="1200" b="1"/>
            <a:t>Pengunaaan dana :</a:t>
          </a:r>
        </a:p>
        <a:p>
          <a:pPr>
            <a:lnSpc>
              <a:spcPct val="150000"/>
            </a:lnSpc>
          </a:pPr>
          <a:r>
            <a:rPr lang="en-US" sz="1200"/>
            <a:t>Ditahun 2011 Pembayaran kepada Pemasok dan karyawan Rp 15.745.069. sementara itahun 2012 pembayaraan ini naik sebesar Rp2.822.062 (18%) menjadi</a:t>
          </a:r>
          <a:r>
            <a:rPr lang="en-US" sz="1200" baseline="0"/>
            <a:t> </a:t>
          </a:r>
          <a:r>
            <a:rPr lang="en-US" sz="1200"/>
            <a:t>Rp18.567.131</a:t>
          </a:r>
        </a:p>
        <a:p>
          <a:pPr>
            <a:lnSpc>
              <a:spcPct val="150000"/>
            </a:lnSpc>
          </a:pPr>
          <a:r>
            <a:rPr lang="sv-SE" sz="1200"/>
            <a:t>Ditahun 2011 pembayaran pajak penghasilan yaitu Rp827.749. Sementara ditahun 2012 pembayaraan ini turun sebesar Rp68.749 (-8%) menjadi Rp759.000</a:t>
          </a:r>
        </a:p>
        <a:p>
          <a:pPr>
            <a:lnSpc>
              <a:spcPct val="150000"/>
            </a:lnSpc>
          </a:pPr>
          <a:r>
            <a:rPr lang="sv-SE" sz="1200"/>
            <a:t>Ditahun 2011 pembayaan tagihan pajak yaitu sebesar  Rp38.152. Sementara ditahun 2012 pembayaraan ini tidak terjadi</a:t>
          </a:r>
        </a:p>
        <a:p>
          <a:pPr>
            <a:lnSpc>
              <a:spcPct val="150000"/>
            </a:lnSpc>
          </a:pPr>
          <a:r>
            <a:rPr lang="sv-SE" sz="1200"/>
            <a:t>Ditahun 2011 biaya bunga  sebesar Rp58.816. Sementara ditahun 2012 naik sebesar Rp14.106 (24%) menjadi  Rp72.922 </a:t>
          </a:r>
        </a:p>
        <a:p>
          <a:pPr>
            <a:lnSpc>
              <a:spcPct val="150000"/>
            </a:lnSpc>
          </a:pPr>
          <a:r>
            <a:rPr lang="sv-SE" sz="1200"/>
            <a:t>Ditahun 2011 total pengeluaran dana sebesar Rp16.669.786. sementara ditahun 2012 total pengeluaran dana ini naik sebesar  Rp2.729.267 (16%) menjadi Rp19.399.053 </a:t>
          </a:r>
          <a:endParaRPr lang="en-US" sz="1000"/>
        </a:p>
        <a:p>
          <a:pPr>
            <a:lnSpc>
              <a:spcPct val="150000"/>
            </a:lnSpc>
          </a:pPr>
          <a:endParaRPr lang="en-US" sz="1000"/>
        </a:p>
        <a:p>
          <a:endParaRPr lang="en-ID"/>
        </a:p>
      </xdr:txBody>
    </xdr:sp>
    <xdr:clientData/>
  </xdr:twoCellAnchor>
  <xdr:twoCellAnchor>
    <xdr:from>
      <xdr:col>0</xdr:col>
      <xdr:colOff>0</xdr:colOff>
      <xdr:row>44</xdr:row>
      <xdr:rowOff>123825</xdr:rowOff>
    </xdr:from>
    <xdr:to>
      <xdr:col>9</xdr:col>
      <xdr:colOff>180975</xdr:colOff>
      <xdr:row>56</xdr:row>
      <xdr:rowOff>0</xdr:rowOff>
    </xdr:to>
    <xdr:sp macro="" textlink="">
      <xdr:nvSpPr>
        <xdr:cNvPr id="6" name="Google Shape;158;g2e7fd6ac6c2_0_138">
          <a:extLst>
            <a:ext uri="{FF2B5EF4-FFF2-40B4-BE49-F238E27FC236}">
              <a16:creationId xmlns:a16="http://schemas.microsoft.com/office/drawing/2014/main" id="{74606D31-A747-284E-C302-7F19F1D4DDA3}"/>
            </a:ext>
          </a:extLst>
        </xdr:cNvPr>
        <xdr:cNvSpPr txBox="1"/>
      </xdr:nvSpPr>
      <xdr:spPr>
        <a:xfrm>
          <a:off x="0" y="9096375"/>
          <a:ext cx="10363200" cy="2276475"/>
        </a:xfrm>
        <a:prstGeom prst="rect">
          <a:avLst/>
        </a:prstGeom>
        <a:solidFill>
          <a:schemeClr val="bg2"/>
        </a:solidFill>
        <a:ln>
          <a:noFill/>
        </a:ln>
      </xdr:spPr>
      <xdr:txBody>
        <a:bodyPr spcFirstLastPara="1" wrap="square" lIns="91425" tIns="91425" rIns="91425" bIns="91425" anchor="t" anchorCtr="0">
          <a:no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lvl="0" indent="0" algn="l" rtl="0">
            <a:lnSpc>
              <a:spcPct val="150000"/>
            </a:lnSpc>
            <a:spcBef>
              <a:spcPts val="0"/>
            </a:spcBef>
            <a:spcAft>
              <a:spcPts val="0"/>
            </a:spcAft>
            <a:buClr>
              <a:schemeClr val="dk1"/>
            </a:buClr>
            <a:buSzPts val="1100"/>
            <a:buFont typeface="Arial"/>
            <a:buNone/>
          </a:pPr>
          <a:r>
            <a:rPr lang="en-US" sz="1100" b="1">
              <a:solidFill>
                <a:schemeClr val="dk1"/>
              </a:solidFill>
            </a:rPr>
            <a:t>Sumber dana :</a:t>
          </a:r>
        </a:p>
        <a:p>
          <a:pPr marL="0" lvl="0" indent="0" algn="l" rtl="0">
            <a:lnSpc>
              <a:spcPct val="150000"/>
            </a:lnSpc>
            <a:spcBef>
              <a:spcPts val="0"/>
            </a:spcBef>
            <a:spcAft>
              <a:spcPts val="0"/>
            </a:spcAft>
            <a:buClr>
              <a:schemeClr val="dk1"/>
            </a:buClr>
            <a:buSzPts val="1100"/>
            <a:buFont typeface="Arial"/>
            <a:buNone/>
          </a:pPr>
          <a:r>
            <a:rPr lang="en-US" sz="1100">
              <a:solidFill>
                <a:schemeClr val="dk1"/>
              </a:solidFill>
            </a:rPr>
            <a:t>Ditahun 2011 penerimaan penjualan asset tetap yaitu Rp11.725. Sementara ditahun 2012 naik sebesar Rp 42.232 (360%) menjadi Rp 53 957</a:t>
          </a:r>
        </a:p>
        <a:p>
          <a:pPr marL="0" lvl="0" indent="0" algn="l" rtl="0">
            <a:lnSpc>
              <a:spcPct val="150000"/>
            </a:lnSpc>
            <a:spcBef>
              <a:spcPts val="0"/>
            </a:spcBef>
            <a:spcAft>
              <a:spcPts val="0"/>
            </a:spcAft>
            <a:buClr>
              <a:schemeClr val="dk1"/>
            </a:buClr>
            <a:buSzPts val="1100"/>
            <a:buFont typeface="Arial"/>
            <a:buNone/>
          </a:pPr>
          <a:r>
            <a:rPr lang="en-US" sz="1100">
              <a:solidFill>
                <a:schemeClr val="dk1"/>
              </a:solidFill>
            </a:rPr>
            <a:t>Ditahun 2011 total penerimaan dana Perusahaan sebesar Rp 11.725. Sementara ditahun 2012 naik sebesar Rp 42.232 (360%) menjadi Rp 53 957</a:t>
          </a:r>
        </a:p>
        <a:p>
          <a:pPr marL="0" lvl="0" indent="0" algn="l" rtl="0">
            <a:lnSpc>
              <a:spcPct val="150000"/>
            </a:lnSpc>
            <a:spcBef>
              <a:spcPts val="0"/>
            </a:spcBef>
            <a:spcAft>
              <a:spcPts val="0"/>
            </a:spcAft>
            <a:buClr>
              <a:schemeClr val="dk1"/>
            </a:buClr>
            <a:buSzPts val="1100"/>
            <a:buFont typeface="Arial"/>
            <a:buNone/>
          </a:pPr>
          <a:endParaRPr lang="en-US" sz="1100">
            <a:solidFill>
              <a:schemeClr val="dk1"/>
            </a:solidFill>
          </a:endParaRPr>
        </a:p>
        <a:p>
          <a:pPr marL="0" lvl="0" indent="0" algn="l" rtl="0">
            <a:lnSpc>
              <a:spcPct val="150000"/>
            </a:lnSpc>
            <a:spcBef>
              <a:spcPts val="0"/>
            </a:spcBef>
            <a:spcAft>
              <a:spcPts val="0"/>
            </a:spcAft>
            <a:buClr>
              <a:schemeClr val="dk1"/>
            </a:buClr>
            <a:buSzPts val="1100"/>
            <a:buFont typeface="Arial"/>
            <a:buNone/>
          </a:pPr>
          <a:r>
            <a:rPr lang="en-US" sz="1100" b="1">
              <a:solidFill>
                <a:schemeClr val="dk1"/>
              </a:solidFill>
            </a:rPr>
            <a:t>Pengeluaran Dans :</a:t>
          </a:r>
        </a:p>
        <a:p>
          <a:pPr marL="0" lvl="0" indent="0" algn="l" rtl="0">
            <a:lnSpc>
              <a:spcPct val="150000"/>
            </a:lnSpc>
            <a:spcBef>
              <a:spcPts val="0"/>
            </a:spcBef>
            <a:spcAft>
              <a:spcPts val="0"/>
            </a:spcAft>
            <a:buClr>
              <a:schemeClr val="dk1"/>
            </a:buClr>
            <a:buSzPts val="1100"/>
            <a:buFont typeface="Arial"/>
            <a:buNone/>
          </a:pPr>
          <a:r>
            <a:rPr lang="en-US" sz="1100">
              <a:solidFill>
                <a:schemeClr val="dk1"/>
              </a:solidFill>
            </a:rPr>
            <a:t>Ditahun 2011 perolehan asset tetap yaitu Rp1.432.350 . Sementara ditahun 2012 naik sebesar Rp280.119 (20%) menjadi Rp1.712.469 </a:t>
          </a:r>
        </a:p>
        <a:p>
          <a:pPr marL="0" lvl="0" indent="0" algn="l" rtl="0">
            <a:lnSpc>
              <a:spcPct val="150000"/>
            </a:lnSpc>
            <a:spcBef>
              <a:spcPts val="0"/>
            </a:spcBef>
            <a:spcAft>
              <a:spcPts val="0"/>
            </a:spcAft>
            <a:buClr>
              <a:schemeClr val="dk1"/>
            </a:buClr>
            <a:buSzPts val="1100"/>
            <a:buFont typeface="Arial"/>
            <a:buNone/>
          </a:pPr>
          <a:r>
            <a:rPr lang="en-US" sz="1100">
              <a:solidFill>
                <a:schemeClr val="dk1"/>
              </a:solidFill>
            </a:rPr>
            <a:t>Ditahun 2011 Uang muka pembelian asset tetap sebesar Rp18.082. Ditahun 2012 naik sebesar Rp95.760 (530%) menjadi Rp113.842 </a:t>
          </a:r>
        </a:p>
        <a:p>
          <a:pPr marL="0" lvl="0" indent="0" algn="l" rtl="0">
            <a:lnSpc>
              <a:spcPct val="150000"/>
            </a:lnSpc>
            <a:spcBef>
              <a:spcPts val="0"/>
            </a:spcBef>
            <a:spcAft>
              <a:spcPts val="0"/>
            </a:spcAft>
            <a:buClr>
              <a:schemeClr val="dk1"/>
            </a:buClr>
            <a:buSzPts val="1100"/>
            <a:buFont typeface="Arial"/>
            <a:buNone/>
          </a:pPr>
          <a:r>
            <a:rPr lang="en-US" sz="1100">
              <a:solidFill>
                <a:schemeClr val="dk1"/>
              </a:solidFill>
            </a:rPr>
            <a:t>Ditahun 2011 Akuisisi Entitas anak di kuraingi kas yang diperoleh sebesar Rp14.933. Sementara ditahun 2012 tidak ada pengakuisisian</a:t>
          </a:r>
        </a:p>
        <a:p>
          <a:pPr marL="0" lvl="0" indent="0" algn="l" rtl="0">
            <a:lnSpc>
              <a:spcPct val="150000"/>
            </a:lnSpc>
            <a:spcBef>
              <a:spcPts val="0"/>
            </a:spcBef>
            <a:spcAft>
              <a:spcPts val="0"/>
            </a:spcAft>
            <a:buClr>
              <a:schemeClr val="dk1"/>
            </a:buClr>
            <a:buSzPts val="1100"/>
            <a:buFont typeface="Arial"/>
            <a:buNone/>
          </a:pPr>
          <a:r>
            <a:rPr lang="en-US" sz="1100">
              <a:solidFill>
                <a:schemeClr val="dk1"/>
              </a:solidFill>
            </a:rPr>
            <a:t>Ditahun 2011 total pengeluaran dana atau kas sebesar Rp1.446.086. Sementara ditahun 2012 total pengeluaraan ini naik 322.352 (22%) menjadi</a:t>
          </a:r>
          <a:r>
            <a:rPr lang="en-US" sz="1100" baseline="0">
              <a:solidFill>
                <a:schemeClr val="dk1"/>
              </a:solidFill>
            </a:rPr>
            <a:t> </a:t>
          </a:r>
          <a:r>
            <a:rPr lang="en-US" sz="1100">
              <a:solidFill>
                <a:schemeClr val="dk1"/>
              </a:solidFill>
            </a:rPr>
            <a:t>Rp 1.768.438</a:t>
          </a:r>
        </a:p>
      </xdr:txBody>
    </xdr:sp>
    <xdr:clientData/>
  </xdr:twoCellAnchor>
  <xdr:twoCellAnchor>
    <xdr:from>
      <xdr:col>0</xdr:col>
      <xdr:colOff>0</xdr:colOff>
      <xdr:row>74</xdr:row>
      <xdr:rowOff>152401</xdr:rowOff>
    </xdr:from>
    <xdr:to>
      <xdr:col>14</xdr:col>
      <xdr:colOff>57150</xdr:colOff>
      <xdr:row>93</xdr:row>
      <xdr:rowOff>9525</xdr:rowOff>
    </xdr:to>
    <xdr:sp macro="" textlink="">
      <xdr:nvSpPr>
        <xdr:cNvPr id="9" name="Google Shape;156;g274a404442a_0_113">
          <a:extLst>
            <a:ext uri="{FF2B5EF4-FFF2-40B4-BE49-F238E27FC236}">
              <a16:creationId xmlns:a16="http://schemas.microsoft.com/office/drawing/2014/main" id="{488C1D19-2B7C-9BC4-32FB-FC03DDAFC0BB}"/>
            </a:ext>
          </a:extLst>
        </xdr:cNvPr>
        <xdr:cNvSpPr txBox="1"/>
      </xdr:nvSpPr>
      <xdr:spPr>
        <a:xfrm>
          <a:off x="0" y="15116176"/>
          <a:ext cx="13287375" cy="3476624"/>
        </a:xfrm>
        <a:prstGeom prst="rect">
          <a:avLst/>
        </a:prstGeom>
        <a:solidFill>
          <a:schemeClr val="bg2"/>
        </a:solidFill>
        <a:ln>
          <a:noFill/>
        </a:ln>
      </xdr:spPr>
      <xdr:txBody>
        <a:bodyPr spcFirstLastPara="1" wrap="square" lIns="91425" tIns="91425" rIns="91425" bIns="91425" anchor="t" anchorCtr="0">
          <a:no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lvl="0" indent="0" algn="l" rtl="0">
            <a:lnSpc>
              <a:spcPct val="150000"/>
            </a:lnSpc>
            <a:spcBef>
              <a:spcPts val="0"/>
            </a:spcBef>
            <a:spcAft>
              <a:spcPts val="0"/>
            </a:spcAft>
            <a:buClr>
              <a:srgbClr val="000000"/>
            </a:buClr>
            <a:buSzPts val="1100"/>
            <a:buFont typeface="Arial"/>
            <a:buNone/>
          </a:pPr>
          <a:r>
            <a:rPr lang="en-US" sz="1200" b="1">
              <a:solidFill>
                <a:schemeClr val="dk1"/>
              </a:solidFill>
              <a:latin typeface="Arial" panose="020B0604020202020204" pitchFamily="34" charset="0"/>
              <a:cs typeface="Arial" panose="020B0604020202020204" pitchFamily="34" charset="0"/>
            </a:rPr>
            <a:t>Sumber dana :</a:t>
          </a:r>
        </a:p>
        <a:p>
          <a:pPr marL="0" lvl="0" indent="0" algn="l" rtl="0">
            <a:lnSpc>
              <a:spcPct val="150000"/>
            </a:lnSpc>
            <a:spcBef>
              <a:spcPts val="0"/>
            </a:spcBef>
            <a:spcAft>
              <a:spcPts val="0"/>
            </a:spcAft>
            <a:buClr>
              <a:srgbClr val="000000"/>
            </a:buClr>
            <a:buSzPts val="1100"/>
            <a:buFont typeface="Arial"/>
            <a:buNone/>
          </a:pPr>
          <a:r>
            <a:rPr lang="en-US" sz="1200">
              <a:solidFill>
                <a:schemeClr val="dk1"/>
              </a:solidFill>
              <a:latin typeface="Arial" panose="020B0604020202020204" pitchFamily="34" charset="0"/>
              <a:cs typeface="Arial" panose="020B0604020202020204" pitchFamily="34" charset="0"/>
            </a:rPr>
            <a:t>Pada tahun 2011 utang jangka pendek perusahaan sebesar Rp 660.818. Sementara ditahun 2012 utang jangka pendek turun sebesar Rp 342.380 </a:t>
          </a:r>
          <a:r>
            <a:rPr lang="en-US" sz="1200" baseline="0">
              <a:solidFill>
                <a:schemeClr val="dk1"/>
              </a:solidFill>
              <a:latin typeface="Arial" panose="020B0604020202020204" pitchFamily="34" charset="0"/>
              <a:cs typeface="Arial" panose="020B0604020202020204" pitchFamily="34" charset="0"/>
            </a:rPr>
            <a:t> </a:t>
          </a:r>
          <a:r>
            <a:rPr lang="en-US" sz="1200">
              <a:solidFill>
                <a:schemeClr val="dk1"/>
              </a:solidFill>
              <a:latin typeface="Arial" panose="020B0604020202020204" pitchFamily="34" charset="0"/>
              <a:cs typeface="Arial" panose="020B0604020202020204" pitchFamily="34" charset="0"/>
            </a:rPr>
            <a:t>(-52%) menjadi Rp 318.438</a:t>
          </a:r>
        </a:p>
        <a:p>
          <a:pPr marL="0" lvl="0" indent="0" algn="l" rtl="0">
            <a:lnSpc>
              <a:spcPct val="150000"/>
            </a:lnSpc>
            <a:spcBef>
              <a:spcPts val="0"/>
            </a:spcBef>
            <a:spcAft>
              <a:spcPts val="0"/>
            </a:spcAft>
            <a:buClr>
              <a:srgbClr val="000000"/>
            </a:buClr>
            <a:buSzPts val="1100"/>
            <a:buFont typeface="Arial"/>
            <a:buNone/>
          </a:pPr>
          <a:r>
            <a:rPr lang="en-US" sz="1200">
              <a:solidFill>
                <a:schemeClr val="dk1"/>
              </a:solidFill>
              <a:latin typeface="Arial" panose="020B0604020202020204" pitchFamily="34" charset="0"/>
              <a:cs typeface="Arial" panose="020B0604020202020204" pitchFamily="34" charset="0"/>
            </a:rPr>
            <a:t>Pada tahun 2011 utang jangka Panjang Perusahaan sebesar Rp 884.834. Sementara ditahun 2012 utang jangka Panjang Perusahaan turun sebesar</a:t>
          </a:r>
          <a:r>
            <a:rPr lang="en-US" sz="1200" baseline="0">
              <a:solidFill>
                <a:schemeClr val="dk1"/>
              </a:solidFill>
              <a:latin typeface="Arial" panose="020B0604020202020204" pitchFamily="34" charset="0"/>
              <a:cs typeface="Arial" panose="020B0604020202020204" pitchFamily="34" charset="0"/>
            </a:rPr>
            <a:t> </a:t>
          </a:r>
          <a:r>
            <a:rPr lang="en-US" sz="1200">
              <a:solidFill>
                <a:schemeClr val="dk1"/>
              </a:solidFill>
              <a:latin typeface="Arial" panose="020B0604020202020204" pitchFamily="34" charset="0"/>
              <a:cs typeface="Arial" panose="020B0604020202020204" pitchFamily="34" charset="0"/>
            </a:rPr>
            <a:t>Rp 237.584 (-27%) menjadi Rp 648.800</a:t>
          </a:r>
        </a:p>
        <a:p>
          <a:pPr marL="0" lvl="0" indent="0" algn="l" rtl="0">
            <a:lnSpc>
              <a:spcPct val="150000"/>
            </a:lnSpc>
            <a:spcBef>
              <a:spcPts val="0"/>
            </a:spcBef>
            <a:spcAft>
              <a:spcPts val="0"/>
            </a:spcAft>
            <a:buClr>
              <a:srgbClr val="000000"/>
            </a:buClr>
            <a:buSzPts val="1100"/>
            <a:buFont typeface="Arial"/>
            <a:buNone/>
          </a:pPr>
          <a:r>
            <a:rPr lang="en-US" sz="1200">
              <a:solidFill>
                <a:schemeClr val="dk1"/>
              </a:solidFill>
              <a:latin typeface="Arial" panose="020B0604020202020204" pitchFamily="34" charset="0"/>
              <a:cs typeface="Arial" panose="020B0604020202020204" pitchFamily="34" charset="0"/>
            </a:rPr>
            <a:t>Total penggunaan dana 2011 sebesar Rp 1.545.202. Sementara dirahun 2012 turun sebesar Rp 579.964 (-38%) menjadi Rp 965.238</a:t>
          </a:r>
        </a:p>
        <a:p>
          <a:pPr marL="0" lvl="0" indent="0" algn="l" rtl="0">
            <a:lnSpc>
              <a:spcPct val="150000"/>
            </a:lnSpc>
            <a:spcBef>
              <a:spcPts val="0"/>
            </a:spcBef>
            <a:spcAft>
              <a:spcPts val="0"/>
            </a:spcAft>
            <a:buClr>
              <a:srgbClr val="000000"/>
            </a:buClr>
            <a:buSzPts val="1100"/>
            <a:buFont typeface="Arial"/>
            <a:buNone/>
          </a:pPr>
          <a:r>
            <a:rPr lang="en-US" sz="1200" b="1">
              <a:solidFill>
                <a:schemeClr val="dk1"/>
              </a:solidFill>
              <a:latin typeface="Arial" panose="020B0604020202020204" pitchFamily="34" charset="0"/>
              <a:cs typeface="Arial" panose="020B0604020202020204" pitchFamily="34" charset="0"/>
            </a:rPr>
            <a:t>Penggunaan dana :</a:t>
          </a:r>
        </a:p>
        <a:p>
          <a:pPr marL="0" lvl="0" indent="0" algn="l" rtl="0">
            <a:lnSpc>
              <a:spcPct val="150000"/>
            </a:lnSpc>
            <a:spcBef>
              <a:spcPts val="0"/>
            </a:spcBef>
            <a:spcAft>
              <a:spcPts val="0"/>
            </a:spcAft>
            <a:buClr>
              <a:srgbClr val="000000"/>
            </a:buClr>
            <a:buSzPts val="1100"/>
            <a:buFont typeface="Arial"/>
            <a:buNone/>
          </a:pPr>
          <a:r>
            <a:rPr lang="en-US" sz="1200">
              <a:solidFill>
                <a:schemeClr val="dk1"/>
              </a:solidFill>
              <a:latin typeface="Arial" panose="020B0604020202020204" pitchFamily="34" charset="0"/>
              <a:cs typeface="Arial" panose="020B0604020202020204" pitchFamily="34" charset="0"/>
            </a:rPr>
            <a:t>Pada tahun 2011 pembayaran deviden tunai sebesar Rp 652.640. Sementara ditahun 2012 deviden tunai naik sebesar Rp 36.076 (6%) menjadi </a:t>
          </a:r>
          <a:r>
            <a:rPr lang="en-US" sz="1200" baseline="0">
              <a:solidFill>
                <a:schemeClr val="dk1"/>
              </a:solidFill>
              <a:latin typeface="Arial" panose="020B0604020202020204" pitchFamily="34" charset="0"/>
              <a:cs typeface="Arial" panose="020B0604020202020204" pitchFamily="34" charset="0"/>
            </a:rPr>
            <a:t> </a:t>
          </a:r>
          <a:r>
            <a:rPr lang="en-US" sz="1200">
              <a:solidFill>
                <a:schemeClr val="dk1"/>
              </a:solidFill>
              <a:latin typeface="Arial" panose="020B0604020202020204" pitchFamily="34" charset="0"/>
              <a:cs typeface="Arial" panose="020B0604020202020204" pitchFamily="34" charset="0"/>
            </a:rPr>
            <a:t>Rp 668.716</a:t>
          </a:r>
        </a:p>
        <a:p>
          <a:pPr marL="0" lvl="0" indent="0" algn="l" rtl="0">
            <a:lnSpc>
              <a:spcPct val="150000"/>
            </a:lnSpc>
            <a:spcBef>
              <a:spcPts val="0"/>
            </a:spcBef>
            <a:spcAft>
              <a:spcPts val="0"/>
            </a:spcAft>
            <a:buClr>
              <a:srgbClr val="000000"/>
            </a:buClr>
            <a:buSzPts val="1100"/>
            <a:buFont typeface="Arial"/>
            <a:buNone/>
          </a:pPr>
          <a:r>
            <a:rPr lang="en-US" sz="1200">
              <a:solidFill>
                <a:schemeClr val="dk1"/>
              </a:solidFill>
              <a:latin typeface="Arial" panose="020B0604020202020204" pitchFamily="34" charset="0"/>
              <a:cs typeface="Arial" panose="020B0604020202020204" pitchFamily="34" charset="0"/>
            </a:rPr>
            <a:t>Pada tahun 2011 pembayaran utang jangka pendek sebesar RP 426.640. Sementara ditahun 2012 pembayaraan ini turun sebesar Rp 335.790 </a:t>
          </a:r>
          <a:r>
            <a:rPr lang="en-US" sz="1200" baseline="0">
              <a:solidFill>
                <a:schemeClr val="dk1"/>
              </a:solidFill>
              <a:latin typeface="Arial" panose="020B0604020202020204" pitchFamily="34" charset="0"/>
              <a:cs typeface="Arial" panose="020B0604020202020204" pitchFamily="34" charset="0"/>
            </a:rPr>
            <a:t> </a:t>
          </a:r>
          <a:r>
            <a:rPr lang="en-US" sz="1200">
              <a:solidFill>
                <a:schemeClr val="dk1"/>
              </a:solidFill>
              <a:latin typeface="Arial" panose="020B0604020202020204" pitchFamily="34" charset="0"/>
              <a:cs typeface="Arial" panose="020B0604020202020204" pitchFamily="34" charset="0"/>
            </a:rPr>
            <a:t>(-79%) menjadi Rp 90.680.</a:t>
          </a:r>
          <a:endParaRPr lang="en-US" sz="1100">
            <a:solidFill>
              <a:schemeClr val="dk1"/>
            </a:solidFill>
          </a:endParaRPr>
        </a:p>
        <a:p>
          <a:pPr marL="0" marR="0" lvl="0" indent="0" algn="l" defTabSz="914400" rtl="0" eaLnBrk="1" fontAlgn="auto" latinLnBrk="0" hangingPunct="1">
            <a:lnSpc>
              <a:spcPct val="150000"/>
            </a:lnSpc>
            <a:spcBef>
              <a:spcPts val="0"/>
            </a:spcBef>
            <a:spcAft>
              <a:spcPts val="0"/>
            </a:spcAft>
            <a:buClr>
              <a:srgbClr val="000000"/>
            </a:buClr>
            <a:buSzPts val="1100"/>
            <a:buFont typeface="Arial"/>
            <a:buNone/>
            <a:tabLst/>
            <a:defRPr/>
          </a:pPr>
          <a:r>
            <a:rPr kumimoji="0" lang="en-US" sz="1200" b="0" i="0" u="none" strike="noStrike" kern="0" cap="none" spc="0" normalizeH="0" baseline="0" noProof="0" dirty="0">
              <a:ln>
                <a:noFill/>
              </a:ln>
              <a:solidFill>
                <a:srgbClr val="000000"/>
              </a:solidFill>
              <a:effectLst/>
              <a:uLnTx/>
              <a:uFillTx/>
              <a:latin typeface="Arial"/>
              <a:cs typeface="Arial"/>
              <a:sym typeface="Arial"/>
            </a:rPr>
            <a:t>Di </a:t>
          </a:r>
          <a:r>
            <a:rPr kumimoji="0" lang="en-US" sz="1200" b="0" i="0" u="none" strike="noStrike" kern="0" cap="none" spc="0" normalizeH="0" baseline="0" noProof="0" dirty="0" err="1">
              <a:ln>
                <a:noFill/>
              </a:ln>
              <a:solidFill>
                <a:srgbClr val="000000"/>
              </a:solidFill>
              <a:effectLst/>
              <a:uLnTx/>
              <a:uFillTx/>
              <a:latin typeface="Arial"/>
              <a:cs typeface="Arial"/>
              <a:sym typeface="Arial"/>
            </a:rPr>
            <a:t>tahun</a:t>
          </a:r>
          <a:r>
            <a:rPr kumimoji="0" lang="en-US" sz="1200" b="0" i="0" u="none" strike="noStrike" kern="0" cap="none" spc="0" normalizeH="0" baseline="0" noProof="0" dirty="0">
              <a:ln>
                <a:noFill/>
              </a:ln>
              <a:solidFill>
                <a:srgbClr val="000000"/>
              </a:solidFill>
              <a:effectLst/>
              <a:uLnTx/>
              <a:uFillTx/>
              <a:latin typeface="Arial"/>
              <a:cs typeface="Arial"/>
              <a:sym typeface="Arial"/>
            </a:rPr>
            <a:t> 2011 </a:t>
          </a:r>
          <a:r>
            <a:rPr kumimoji="0" lang="en-US" sz="1200" b="0" i="0" u="none" strike="noStrike" kern="0" cap="none" spc="0" normalizeH="0" baseline="0" noProof="0" dirty="0" err="1">
              <a:ln>
                <a:noFill/>
              </a:ln>
              <a:solidFill>
                <a:srgbClr val="000000"/>
              </a:solidFill>
              <a:effectLst/>
              <a:uLnTx/>
              <a:uFillTx/>
              <a:latin typeface="Arial"/>
              <a:cs typeface="Arial"/>
              <a:sym typeface="Arial"/>
            </a:rPr>
            <a:t>pembayaran</a:t>
          </a:r>
          <a:r>
            <a:rPr kumimoji="0" lang="en-US" sz="1200" b="0" i="0" u="none" strike="noStrike" kern="0" cap="none" spc="0" normalizeH="0" baseline="0" noProof="0" dirty="0">
              <a:ln>
                <a:noFill/>
              </a:ln>
              <a:solidFill>
                <a:srgbClr val="000000"/>
              </a:solidFill>
              <a:effectLst/>
              <a:uLnTx/>
              <a:uFillTx/>
              <a:latin typeface="Arial"/>
              <a:cs typeface="Arial"/>
              <a:sym typeface="Arial"/>
            </a:rPr>
            <a:t> utang </a:t>
          </a:r>
          <a:r>
            <a:rPr kumimoji="0" lang="en-US" sz="1200" b="0" i="0" u="none" strike="noStrike" kern="0" cap="none" spc="0" normalizeH="0" baseline="0" noProof="0" dirty="0" err="1">
              <a:ln>
                <a:noFill/>
              </a:ln>
              <a:solidFill>
                <a:srgbClr val="000000"/>
              </a:solidFill>
              <a:effectLst/>
              <a:uLnTx/>
              <a:uFillTx/>
              <a:latin typeface="Arial"/>
              <a:cs typeface="Arial"/>
              <a:sym typeface="Arial"/>
            </a:rPr>
            <a:t>jangka</a:t>
          </a:r>
          <a:r>
            <a:rPr kumimoji="0" lang="en-US" sz="1200" b="0" i="0" u="none" strike="noStrike" kern="0" cap="none" spc="0" normalizeH="0" baseline="0" noProof="0" dirty="0">
              <a:ln>
                <a:noFill/>
              </a:ln>
              <a:solidFill>
                <a:srgbClr val="000000"/>
              </a:solidFill>
              <a:effectLst/>
              <a:uLnTx/>
              <a:uFillTx/>
              <a:latin typeface="Arial"/>
              <a:cs typeface="Arial"/>
              <a:sym typeface="Arial"/>
            </a:rPr>
            <a:t> Panjang </a:t>
          </a:r>
          <a:r>
            <a:rPr kumimoji="0" lang="en-US" sz="1200" b="0" i="0" u="none" strike="noStrike" kern="0" cap="none" spc="0" normalizeH="0" baseline="0" noProof="0" dirty="0" err="1">
              <a:ln>
                <a:noFill/>
              </a:ln>
              <a:solidFill>
                <a:srgbClr val="000000"/>
              </a:solidFill>
              <a:effectLst/>
              <a:uLnTx/>
              <a:uFillTx/>
              <a:latin typeface="Arial"/>
              <a:cs typeface="Arial"/>
              <a:sym typeface="Arial"/>
            </a:rPr>
            <a:t>sebesar</a:t>
          </a:r>
          <a:r>
            <a:rPr kumimoji="0" lang="en-US" sz="1200" b="0" i="0" u="none" strike="noStrike" kern="0" cap="none" spc="0" normalizeH="0" baseline="0" noProof="0" dirty="0">
              <a:ln>
                <a:noFill/>
              </a:ln>
              <a:solidFill>
                <a:srgbClr val="000000"/>
              </a:solidFill>
              <a:effectLst/>
              <a:uLnTx/>
              <a:uFillTx/>
              <a:latin typeface="Arial"/>
              <a:cs typeface="Arial"/>
              <a:sym typeface="Arial"/>
            </a:rPr>
            <a:t> Rp 542.574. </a:t>
          </a:r>
          <a:r>
            <a:rPr kumimoji="0" lang="en-US" sz="1200" b="0" i="0" u="none" strike="noStrike" kern="0" cap="none" spc="0" normalizeH="0" baseline="0" noProof="0" dirty="0" err="1">
              <a:ln>
                <a:noFill/>
              </a:ln>
              <a:solidFill>
                <a:srgbClr val="000000"/>
              </a:solidFill>
              <a:effectLst/>
              <a:uLnTx/>
              <a:uFillTx/>
              <a:latin typeface="Arial"/>
              <a:cs typeface="Arial"/>
              <a:sym typeface="Arial"/>
            </a:rPr>
            <a:t>Sementara</a:t>
          </a:r>
          <a:r>
            <a:rPr kumimoji="0" lang="en-US" sz="1200" b="0" i="0" u="none" strike="noStrike" kern="0" cap="none" spc="0" normalizeH="0" baseline="0" noProof="0" dirty="0">
              <a:ln>
                <a:noFill/>
              </a:ln>
              <a:solidFill>
                <a:srgbClr val="000000"/>
              </a:solidFill>
              <a:effectLst/>
              <a:uLnTx/>
              <a:uFillTx/>
              <a:latin typeface="Arial"/>
              <a:cs typeface="Arial"/>
              <a:sym typeface="Arial"/>
            </a:rPr>
            <a:t> </a:t>
          </a:r>
          <a:r>
            <a:rPr kumimoji="0" lang="en-US" sz="1200" b="0" i="0" u="none" strike="noStrike" kern="0" cap="none" spc="0" normalizeH="0" baseline="0" noProof="0" dirty="0" err="1">
              <a:ln>
                <a:noFill/>
              </a:ln>
              <a:solidFill>
                <a:srgbClr val="000000"/>
              </a:solidFill>
              <a:effectLst/>
              <a:uLnTx/>
              <a:uFillTx/>
              <a:latin typeface="Arial"/>
              <a:cs typeface="Arial"/>
              <a:sym typeface="Arial"/>
            </a:rPr>
            <a:t>ditahun</a:t>
          </a:r>
          <a:r>
            <a:rPr kumimoji="0" lang="en-US" sz="1200" b="0" i="0" u="none" strike="noStrike" kern="0" cap="none" spc="0" normalizeH="0" baseline="0" noProof="0" dirty="0">
              <a:ln>
                <a:noFill/>
              </a:ln>
              <a:solidFill>
                <a:srgbClr val="000000"/>
              </a:solidFill>
              <a:effectLst/>
              <a:uLnTx/>
              <a:uFillTx/>
              <a:latin typeface="Arial"/>
              <a:cs typeface="Arial"/>
              <a:sym typeface="Arial"/>
            </a:rPr>
            <a:t> 2012 </a:t>
          </a:r>
          <a:r>
            <a:rPr kumimoji="0" lang="en-US" sz="1200" b="0" i="0" u="none" strike="noStrike" kern="0" cap="none" spc="0" normalizeH="0" baseline="0" noProof="0" dirty="0" err="1">
              <a:ln>
                <a:noFill/>
              </a:ln>
              <a:solidFill>
                <a:srgbClr val="000000"/>
              </a:solidFill>
              <a:effectLst/>
              <a:uLnTx/>
              <a:uFillTx/>
              <a:latin typeface="Arial"/>
              <a:cs typeface="Arial"/>
              <a:sym typeface="Arial"/>
            </a:rPr>
            <a:t>turun</a:t>
          </a:r>
          <a:r>
            <a:rPr kumimoji="0" lang="en-US" sz="1200" b="0" i="0" u="none" strike="noStrike" kern="0" cap="none" spc="0" normalizeH="0" baseline="0" noProof="0" dirty="0">
              <a:ln>
                <a:noFill/>
              </a:ln>
              <a:solidFill>
                <a:srgbClr val="000000"/>
              </a:solidFill>
              <a:effectLst/>
              <a:uLnTx/>
              <a:uFillTx/>
              <a:latin typeface="Arial"/>
              <a:cs typeface="Arial"/>
              <a:sym typeface="Arial"/>
            </a:rPr>
            <a:t> </a:t>
          </a:r>
          <a:r>
            <a:rPr kumimoji="0" lang="en-US" sz="1200" b="0" i="0" u="none" strike="noStrike" kern="0" cap="none" spc="0" normalizeH="0" baseline="0" noProof="0" dirty="0" err="1">
              <a:ln>
                <a:noFill/>
              </a:ln>
              <a:solidFill>
                <a:srgbClr val="000000"/>
              </a:solidFill>
              <a:effectLst/>
              <a:uLnTx/>
              <a:uFillTx/>
              <a:latin typeface="Arial"/>
              <a:cs typeface="Arial"/>
              <a:sym typeface="Arial"/>
            </a:rPr>
            <a:t>sebesar</a:t>
          </a:r>
          <a:r>
            <a:rPr kumimoji="0" lang="en-US" sz="1200" b="0" i="0" u="none" strike="noStrike" kern="0" cap="none" spc="0" normalizeH="0" baseline="0" noProof="0" dirty="0">
              <a:ln>
                <a:noFill/>
              </a:ln>
              <a:solidFill>
                <a:srgbClr val="000000"/>
              </a:solidFill>
              <a:effectLst/>
              <a:uLnTx/>
              <a:uFillTx/>
              <a:latin typeface="Arial"/>
              <a:cs typeface="Arial"/>
              <a:sym typeface="Arial"/>
            </a:rPr>
            <a:t> Rp 504.877 (93%%) </a:t>
          </a:r>
          <a:r>
            <a:rPr kumimoji="0" lang="en-US" sz="1200" b="0" i="0" u="none" strike="noStrike" kern="0" cap="none" spc="0" normalizeH="0" baseline="0" noProof="0" dirty="0" err="1">
              <a:ln>
                <a:noFill/>
              </a:ln>
              <a:solidFill>
                <a:srgbClr val="000000"/>
              </a:solidFill>
              <a:effectLst/>
              <a:uLnTx/>
              <a:uFillTx/>
              <a:latin typeface="Arial"/>
              <a:cs typeface="Arial"/>
              <a:sym typeface="Arial"/>
            </a:rPr>
            <a:t>menjadi</a:t>
          </a:r>
          <a:r>
            <a:rPr kumimoji="0" lang="en-US" sz="1200" b="0" i="0" u="none" strike="noStrike" kern="0" cap="none" spc="0" normalizeH="0" baseline="0" noProof="0" dirty="0">
              <a:ln>
                <a:noFill/>
              </a:ln>
              <a:solidFill>
                <a:srgbClr val="000000"/>
              </a:solidFill>
              <a:effectLst/>
              <a:uLnTx/>
              <a:uFillTx/>
              <a:latin typeface="Arial"/>
              <a:cs typeface="Arial"/>
              <a:sym typeface="Arial"/>
            </a:rPr>
            <a:t>  Rp 37.697</a:t>
          </a:r>
        </a:p>
        <a:p>
          <a:pPr marL="0" marR="0" lvl="0" indent="0" algn="l" defTabSz="914400" rtl="0" eaLnBrk="1" fontAlgn="auto" latinLnBrk="0" hangingPunct="1">
            <a:lnSpc>
              <a:spcPct val="150000"/>
            </a:lnSpc>
            <a:spcBef>
              <a:spcPts val="0"/>
            </a:spcBef>
            <a:spcAft>
              <a:spcPts val="0"/>
            </a:spcAft>
            <a:buClr>
              <a:srgbClr val="000000"/>
            </a:buClr>
            <a:buSzPts val="1100"/>
            <a:buFont typeface="Arial"/>
            <a:buNone/>
            <a:tabLst/>
            <a:defRPr/>
          </a:pPr>
          <a:r>
            <a:rPr kumimoji="0" lang="en-US" sz="1200" b="0" i="0" u="none" strike="noStrike" kern="0" cap="none" spc="0" normalizeH="0" baseline="0" noProof="0" dirty="0" err="1">
              <a:ln>
                <a:noFill/>
              </a:ln>
              <a:solidFill>
                <a:srgbClr val="000000"/>
              </a:solidFill>
              <a:effectLst/>
              <a:uLnTx/>
              <a:uFillTx/>
              <a:latin typeface="Arial"/>
              <a:cs typeface="Arial"/>
              <a:sym typeface="Arial"/>
            </a:rPr>
            <a:t>Ditahun</a:t>
          </a:r>
          <a:r>
            <a:rPr kumimoji="0" lang="en-US" sz="1200" b="0" i="0" u="none" strike="noStrike" kern="0" cap="none" spc="0" normalizeH="0" baseline="0" noProof="0" dirty="0">
              <a:ln>
                <a:noFill/>
              </a:ln>
              <a:solidFill>
                <a:srgbClr val="000000"/>
              </a:solidFill>
              <a:effectLst/>
              <a:uLnTx/>
              <a:uFillTx/>
              <a:latin typeface="Arial"/>
              <a:cs typeface="Arial"/>
              <a:sym typeface="Arial"/>
            </a:rPr>
            <a:t> 2011 </a:t>
          </a:r>
          <a:r>
            <a:rPr kumimoji="0" lang="en-US" sz="1200" b="0" i="0" u="none" strike="noStrike" kern="0" cap="none" spc="0" normalizeH="0" baseline="0" noProof="0" dirty="0" err="1">
              <a:ln>
                <a:noFill/>
              </a:ln>
              <a:solidFill>
                <a:srgbClr val="000000"/>
              </a:solidFill>
              <a:effectLst/>
              <a:uLnTx/>
              <a:uFillTx/>
              <a:latin typeface="Arial"/>
              <a:cs typeface="Arial"/>
              <a:sym typeface="Arial"/>
            </a:rPr>
            <a:t>pembayaran</a:t>
          </a:r>
          <a:r>
            <a:rPr kumimoji="0" lang="en-US" sz="1200" b="0" i="0" u="none" strike="noStrike" kern="0" cap="none" spc="0" normalizeH="0" baseline="0" noProof="0" dirty="0">
              <a:ln>
                <a:noFill/>
              </a:ln>
              <a:solidFill>
                <a:srgbClr val="000000"/>
              </a:solidFill>
              <a:effectLst/>
              <a:uLnTx/>
              <a:uFillTx/>
              <a:latin typeface="Arial"/>
              <a:cs typeface="Arial"/>
              <a:sym typeface="Arial"/>
            </a:rPr>
            <a:t> </a:t>
          </a:r>
          <a:r>
            <a:rPr kumimoji="0" lang="en-US" sz="1200" b="0" i="0" u="none" strike="noStrike" kern="0" cap="none" spc="0" normalizeH="0" baseline="0" noProof="0" dirty="0" err="1">
              <a:ln>
                <a:noFill/>
              </a:ln>
              <a:solidFill>
                <a:srgbClr val="000000"/>
              </a:solidFill>
              <a:effectLst/>
              <a:uLnTx/>
              <a:uFillTx/>
              <a:latin typeface="Arial"/>
              <a:cs typeface="Arial"/>
              <a:sym typeface="Arial"/>
            </a:rPr>
            <a:t>deviden</a:t>
          </a:r>
          <a:r>
            <a:rPr kumimoji="0" lang="en-US" sz="1200" b="0" i="0" u="none" strike="noStrike" kern="0" cap="none" spc="0" normalizeH="0" baseline="0" noProof="0" dirty="0">
              <a:ln>
                <a:noFill/>
              </a:ln>
              <a:solidFill>
                <a:srgbClr val="000000"/>
              </a:solidFill>
              <a:effectLst/>
              <a:uLnTx/>
              <a:uFillTx/>
              <a:latin typeface="Arial"/>
              <a:cs typeface="Arial"/>
              <a:sym typeface="Arial"/>
            </a:rPr>
            <a:t> </a:t>
          </a:r>
          <a:r>
            <a:rPr kumimoji="0" lang="en-US" sz="1200" b="0" i="0" u="none" strike="noStrike" kern="0" cap="none" spc="0" normalizeH="0" baseline="0" noProof="0" dirty="0" err="1">
              <a:ln>
                <a:noFill/>
              </a:ln>
              <a:solidFill>
                <a:srgbClr val="000000"/>
              </a:solidFill>
              <a:effectLst/>
              <a:uLnTx/>
              <a:uFillTx/>
              <a:latin typeface="Arial"/>
              <a:cs typeface="Arial"/>
              <a:sym typeface="Arial"/>
            </a:rPr>
            <a:t>kepada</a:t>
          </a:r>
          <a:r>
            <a:rPr kumimoji="0" lang="en-US" sz="1200" b="0" i="0" u="none" strike="noStrike" kern="0" cap="none" spc="0" normalizeH="0" baseline="0" noProof="0" dirty="0">
              <a:ln>
                <a:noFill/>
              </a:ln>
              <a:solidFill>
                <a:srgbClr val="000000"/>
              </a:solidFill>
              <a:effectLst/>
              <a:uLnTx/>
              <a:uFillTx/>
              <a:latin typeface="Arial"/>
              <a:cs typeface="Arial"/>
              <a:sym typeface="Arial"/>
            </a:rPr>
            <a:t> non </a:t>
          </a:r>
          <a:r>
            <a:rPr kumimoji="0" lang="en-US" sz="1200" b="0" i="0" u="none" strike="noStrike" kern="0" cap="none" spc="0" normalizeH="0" baseline="0" noProof="0" dirty="0" err="1">
              <a:ln>
                <a:noFill/>
              </a:ln>
              <a:solidFill>
                <a:srgbClr val="000000"/>
              </a:solidFill>
              <a:effectLst/>
              <a:uLnTx/>
              <a:uFillTx/>
              <a:latin typeface="Arial"/>
              <a:cs typeface="Arial"/>
              <a:sym typeface="Arial"/>
            </a:rPr>
            <a:t>etitas</a:t>
          </a:r>
          <a:r>
            <a:rPr kumimoji="0" lang="en-US" sz="1200" b="0" i="0" u="none" strike="noStrike" kern="0" cap="none" spc="0" normalizeH="0" baseline="0" noProof="0" dirty="0">
              <a:ln>
                <a:noFill/>
              </a:ln>
              <a:solidFill>
                <a:srgbClr val="000000"/>
              </a:solidFill>
              <a:effectLst/>
              <a:uLnTx/>
              <a:uFillTx/>
              <a:latin typeface="Arial"/>
              <a:cs typeface="Arial"/>
              <a:sym typeface="Arial"/>
            </a:rPr>
            <a:t> </a:t>
          </a:r>
          <a:r>
            <a:rPr kumimoji="0" lang="en-US" sz="1200" b="0" i="0" u="none" strike="noStrike" kern="0" cap="none" spc="0" normalizeH="0" baseline="0" noProof="0" dirty="0" err="1">
              <a:ln>
                <a:noFill/>
              </a:ln>
              <a:solidFill>
                <a:srgbClr val="000000"/>
              </a:solidFill>
              <a:effectLst/>
              <a:uLnTx/>
              <a:uFillTx/>
              <a:latin typeface="Arial"/>
              <a:cs typeface="Arial"/>
              <a:sym typeface="Arial"/>
            </a:rPr>
            <a:t>anak</a:t>
          </a:r>
          <a:r>
            <a:rPr kumimoji="0" lang="en-US" sz="1200" b="0" i="0" u="none" strike="noStrike" kern="0" cap="none" spc="0" normalizeH="0" baseline="0" noProof="0" dirty="0">
              <a:ln>
                <a:noFill/>
              </a:ln>
              <a:solidFill>
                <a:srgbClr val="000000"/>
              </a:solidFill>
              <a:effectLst/>
              <a:uLnTx/>
              <a:uFillTx/>
              <a:latin typeface="Arial"/>
              <a:cs typeface="Arial"/>
              <a:sym typeface="Arial"/>
            </a:rPr>
            <a:t> </a:t>
          </a:r>
          <a:r>
            <a:rPr kumimoji="0" lang="en-US" sz="1200" b="0" i="0" u="none" strike="noStrike" kern="0" cap="none" spc="0" normalizeH="0" baseline="0" noProof="0" dirty="0" err="1">
              <a:ln>
                <a:noFill/>
              </a:ln>
              <a:solidFill>
                <a:srgbClr val="000000"/>
              </a:solidFill>
              <a:effectLst/>
              <a:uLnTx/>
              <a:uFillTx/>
              <a:latin typeface="Arial"/>
              <a:cs typeface="Arial"/>
              <a:sym typeface="Arial"/>
            </a:rPr>
            <a:t>sebesar</a:t>
          </a:r>
          <a:r>
            <a:rPr kumimoji="0" lang="en-US" sz="1200" b="0" i="0" u="none" strike="noStrike" kern="0" cap="none" spc="0" normalizeH="0" baseline="0" noProof="0" dirty="0">
              <a:ln>
                <a:noFill/>
              </a:ln>
              <a:solidFill>
                <a:srgbClr val="000000"/>
              </a:solidFill>
              <a:effectLst/>
              <a:uLnTx/>
              <a:uFillTx/>
              <a:latin typeface="Arial"/>
              <a:cs typeface="Arial"/>
              <a:sym typeface="Arial"/>
            </a:rPr>
            <a:t> Rp 2.423. </a:t>
          </a:r>
          <a:r>
            <a:rPr kumimoji="0" lang="en-US" sz="1200" b="0" i="0" u="none" strike="noStrike" kern="0" cap="none" spc="0" normalizeH="0" baseline="0" noProof="0" dirty="0" err="1">
              <a:ln>
                <a:noFill/>
              </a:ln>
              <a:solidFill>
                <a:srgbClr val="000000"/>
              </a:solidFill>
              <a:effectLst/>
              <a:uLnTx/>
              <a:uFillTx/>
              <a:latin typeface="Arial"/>
              <a:cs typeface="Arial"/>
              <a:sym typeface="Arial"/>
            </a:rPr>
            <a:t>Sementara</a:t>
          </a:r>
          <a:r>
            <a:rPr kumimoji="0" lang="en-US" sz="1200" b="0" i="0" u="none" strike="noStrike" kern="0" cap="none" spc="0" normalizeH="0" baseline="0" noProof="0" dirty="0">
              <a:ln>
                <a:noFill/>
              </a:ln>
              <a:solidFill>
                <a:srgbClr val="000000"/>
              </a:solidFill>
              <a:effectLst/>
              <a:uLnTx/>
              <a:uFillTx/>
              <a:latin typeface="Arial"/>
              <a:cs typeface="Arial"/>
              <a:sym typeface="Arial"/>
            </a:rPr>
            <a:t> </a:t>
          </a:r>
          <a:r>
            <a:rPr kumimoji="0" lang="en-US" sz="1200" b="0" i="0" u="none" strike="noStrike" kern="0" cap="none" spc="0" normalizeH="0" baseline="0" noProof="0" dirty="0" err="1">
              <a:ln>
                <a:noFill/>
              </a:ln>
              <a:solidFill>
                <a:srgbClr val="000000"/>
              </a:solidFill>
              <a:effectLst/>
              <a:uLnTx/>
              <a:uFillTx/>
              <a:latin typeface="Arial"/>
              <a:cs typeface="Arial"/>
              <a:sym typeface="Arial"/>
            </a:rPr>
            <a:t>ditahun</a:t>
          </a:r>
          <a:r>
            <a:rPr kumimoji="0" lang="en-US" sz="1200" b="0" i="0" u="none" strike="noStrike" kern="0" cap="none" spc="0" normalizeH="0" baseline="0" noProof="0" dirty="0">
              <a:ln>
                <a:noFill/>
              </a:ln>
              <a:solidFill>
                <a:srgbClr val="000000"/>
              </a:solidFill>
              <a:effectLst/>
              <a:uLnTx/>
              <a:uFillTx/>
              <a:latin typeface="Arial"/>
              <a:cs typeface="Arial"/>
              <a:sym typeface="Arial"/>
            </a:rPr>
            <a:t> 2012 naik </a:t>
          </a:r>
          <a:r>
            <a:rPr kumimoji="0" lang="en-US" sz="1200" b="0" i="0" u="none" strike="noStrike" kern="0" cap="none" spc="0" normalizeH="0" baseline="0" noProof="0" dirty="0" err="1">
              <a:ln>
                <a:noFill/>
              </a:ln>
              <a:solidFill>
                <a:srgbClr val="000000"/>
              </a:solidFill>
              <a:effectLst/>
              <a:uLnTx/>
              <a:uFillTx/>
              <a:latin typeface="Arial"/>
              <a:cs typeface="Arial"/>
              <a:sym typeface="Arial"/>
            </a:rPr>
            <a:t>sebesar</a:t>
          </a:r>
          <a:r>
            <a:rPr kumimoji="0" lang="en-US" sz="1200" b="0" i="0" u="none" strike="noStrike" kern="0" cap="none" spc="0" normalizeH="0" baseline="0" noProof="0" dirty="0">
              <a:ln>
                <a:noFill/>
              </a:ln>
              <a:solidFill>
                <a:srgbClr val="000000"/>
              </a:solidFill>
              <a:effectLst/>
              <a:uLnTx/>
              <a:uFillTx/>
              <a:latin typeface="Arial"/>
              <a:cs typeface="Arial"/>
              <a:sym typeface="Arial"/>
            </a:rPr>
            <a:t> Rp 2.739 (113%)</a:t>
          </a:r>
          <a:r>
            <a:rPr kumimoji="0" lang="en-US" sz="1200" b="0" i="0" u="none" strike="noStrike" kern="0" cap="none" spc="0" normalizeH="0" baseline="0" noProof="0" dirty="0" err="1">
              <a:ln>
                <a:noFill/>
              </a:ln>
              <a:solidFill>
                <a:srgbClr val="000000"/>
              </a:solidFill>
              <a:effectLst/>
              <a:uLnTx/>
              <a:uFillTx/>
              <a:latin typeface="Arial"/>
              <a:cs typeface="Arial"/>
              <a:sym typeface="Arial"/>
            </a:rPr>
            <a:t>menjadi</a:t>
          </a:r>
          <a:r>
            <a:rPr kumimoji="0" lang="en-US" sz="1200" b="0" i="0" u="none" strike="noStrike" kern="0" cap="none" spc="0" normalizeH="0" baseline="0" noProof="0" dirty="0">
              <a:ln>
                <a:noFill/>
              </a:ln>
              <a:solidFill>
                <a:srgbClr val="000000"/>
              </a:solidFill>
              <a:effectLst/>
              <a:uLnTx/>
              <a:uFillTx/>
              <a:latin typeface="Arial"/>
              <a:cs typeface="Arial"/>
              <a:sym typeface="Arial"/>
            </a:rPr>
            <a:t> Rp 5.162</a:t>
          </a:r>
        </a:p>
        <a:p>
          <a:pPr marL="0" marR="0" lvl="0" indent="0" algn="l" defTabSz="914400" rtl="0" eaLnBrk="1" fontAlgn="auto" latinLnBrk="0" hangingPunct="1">
            <a:lnSpc>
              <a:spcPct val="150000"/>
            </a:lnSpc>
            <a:spcBef>
              <a:spcPts val="0"/>
            </a:spcBef>
            <a:spcAft>
              <a:spcPts val="0"/>
            </a:spcAft>
            <a:buClr>
              <a:srgbClr val="000000"/>
            </a:buClr>
            <a:buSzPts val="1100"/>
            <a:buFont typeface="Arial"/>
            <a:buNone/>
            <a:tabLst/>
            <a:defRPr/>
          </a:pPr>
          <a:r>
            <a:rPr kumimoji="0" lang="en-US" sz="1200" b="0" i="0" u="none" strike="noStrike" kern="0" cap="none" spc="0" normalizeH="0" baseline="0" noProof="0" dirty="0">
              <a:ln>
                <a:noFill/>
              </a:ln>
              <a:solidFill>
                <a:srgbClr val="000000"/>
              </a:solidFill>
              <a:effectLst/>
              <a:uLnTx/>
              <a:uFillTx/>
              <a:latin typeface="Arial"/>
              <a:cs typeface="Arial"/>
              <a:sym typeface="Arial"/>
            </a:rPr>
            <a:t>Pada </a:t>
          </a:r>
          <a:r>
            <a:rPr kumimoji="0" lang="en-US" sz="1200" b="0" i="0" u="none" strike="noStrike" kern="0" cap="none" spc="0" normalizeH="0" baseline="0" noProof="0" dirty="0" err="1">
              <a:ln>
                <a:noFill/>
              </a:ln>
              <a:solidFill>
                <a:srgbClr val="000000"/>
              </a:solidFill>
              <a:effectLst/>
              <a:uLnTx/>
              <a:uFillTx/>
              <a:latin typeface="Arial"/>
              <a:cs typeface="Arial"/>
              <a:sym typeface="Arial"/>
            </a:rPr>
            <a:t>tahun</a:t>
          </a:r>
          <a:r>
            <a:rPr kumimoji="0" lang="en-US" sz="1200" b="0" i="0" u="none" strike="noStrike" kern="0" cap="none" spc="0" normalizeH="0" baseline="0" noProof="0" dirty="0">
              <a:ln>
                <a:noFill/>
              </a:ln>
              <a:solidFill>
                <a:srgbClr val="000000"/>
              </a:solidFill>
              <a:effectLst/>
              <a:uLnTx/>
              <a:uFillTx/>
              <a:latin typeface="Arial"/>
              <a:cs typeface="Arial"/>
              <a:sym typeface="Arial"/>
            </a:rPr>
            <a:t> 2011 </a:t>
          </a:r>
          <a:r>
            <a:rPr kumimoji="0" lang="en-US" sz="1200" b="0" i="0" u="none" strike="noStrike" kern="0" cap="none" spc="0" normalizeH="0" baseline="0" noProof="0" dirty="0" err="1">
              <a:ln>
                <a:noFill/>
              </a:ln>
              <a:solidFill>
                <a:srgbClr val="000000"/>
              </a:solidFill>
              <a:effectLst/>
              <a:uLnTx/>
              <a:uFillTx/>
              <a:latin typeface="Arial"/>
              <a:cs typeface="Arial"/>
              <a:sym typeface="Arial"/>
            </a:rPr>
            <a:t>sewa</a:t>
          </a:r>
          <a:r>
            <a:rPr kumimoji="0" lang="en-US" sz="1200" b="0" i="0" u="none" strike="noStrike" kern="0" cap="none" spc="0" normalizeH="0" baseline="0" noProof="0" dirty="0">
              <a:ln>
                <a:noFill/>
              </a:ln>
              <a:solidFill>
                <a:srgbClr val="000000"/>
              </a:solidFill>
              <a:effectLst/>
              <a:uLnTx/>
              <a:uFillTx/>
              <a:latin typeface="Arial"/>
              <a:cs typeface="Arial"/>
              <a:sym typeface="Arial"/>
            </a:rPr>
            <a:t> </a:t>
          </a:r>
          <a:r>
            <a:rPr kumimoji="0" lang="en-US" sz="1200" b="0" i="0" u="none" strike="noStrike" kern="0" cap="none" spc="0" normalizeH="0" baseline="0" noProof="0" dirty="0" err="1">
              <a:ln>
                <a:noFill/>
              </a:ln>
              <a:solidFill>
                <a:srgbClr val="000000"/>
              </a:solidFill>
              <a:effectLst/>
              <a:uLnTx/>
              <a:uFillTx/>
              <a:latin typeface="Arial"/>
              <a:cs typeface="Arial"/>
              <a:sym typeface="Arial"/>
            </a:rPr>
            <a:t>pembiyaan</a:t>
          </a:r>
          <a:r>
            <a:rPr kumimoji="0" lang="en-US" sz="1200" b="0" i="0" u="none" strike="noStrike" kern="0" cap="none" spc="0" normalizeH="0" baseline="0" noProof="0" dirty="0">
              <a:ln>
                <a:noFill/>
              </a:ln>
              <a:solidFill>
                <a:srgbClr val="000000"/>
              </a:solidFill>
              <a:effectLst/>
              <a:uLnTx/>
              <a:uFillTx/>
              <a:latin typeface="Arial"/>
              <a:cs typeface="Arial"/>
              <a:sym typeface="Arial"/>
            </a:rPr>
            <a:t> </a:t>
          </a:r>
          <a:r>
            <a:rPr kumimoji="0" lang="en-US" sz="1200" b="0" i="0" u="none" strike="noStrike" kern="0" cap="none" spc="0" normalizeH="0" baseline="0" noProof="0" dirty="0" err="1">
              <a:ln>
                <a:noFill/>
              </a:ln>
              <a:solidFill>
                <a:srgbClr val="000000"/>
              </a:solidFill>
              <a:effectLst/>
              <a:uLnTx/>
              <a:uFillTx/>
              <a:latin typeface="Arial"/>
              <a:cs typeface="Arial"/>
              <a:sym typeface="Arial"/>
            </a:rPr>
            <a:t>sebesar</a:t>
          </a:r>
          <a:r>
            <a:rPr kumimoji="0" lang="en-US" sz="1200" b="0" i="0" u="none" strike="noStrike" kern="0" cap="none" spc="0" normalizeH="0" baseline="0" noProof="0" dirty="0">
              <a:ln>
                <a:noFill/>
              </a:ln>
              <a:solidFill>
                <a:srgbClr val="000000"/>
              </a:solidFill>
              <a:effectLst/>
              <a:uLnTx/>
              <a:uFillTx/>
              <a:latin typeface="Arial"/>
              <a:cs typeface="Arial"/>
              <a:sym typeface="Arial"/>
            </a:rPr>
            <a:t> Rp 842. </a:t>
          </a:r>
          <a:r>
            <a:rPr kumimoji="0" lang="en-US" sz="1200" b="0" i="0" u="none" strike="noStrike" kern="0" cap="none" spc="0" normalizeH="0" baseline="0" noProof="0" dirty="0" err="1">
              <a:ln>
                <a:noFill/>
              </a:ln>
              <a:solidFill>
                <a:srgbClr val="000000"/>
              </a:solidFill>
              <a:effectLst/>
              <a:uLnTx/>
              <a:uFillTx/>
              <a:latin typeface="Arial"/>
              <a:cs typeface="Arial"/>
              <a:sym typeface="Arial"/>
            </a:rPr>
            <a:t>Sementara</a:t>
          </a:r>
          <a:r>
            <a:rPr kumimoji="0" lang="en-US" sz="1200" b="0" i="0" u="none" strike="noStrike" kern="0" cap="none" spc="0" normalizeH="0" baseline="0" noProof="0" dirty="0">
              <a:ln>
                <a:noFill/>
              </a:ln>
              <a:solidFill>
                <a:srgbClr val="000000"/>
              </a:solidFill>
              <a:effectLst/>
              <a:uLnTx/>
              <a:uFillTx/>
              <a:latin typeface="Arial"/>
              <a:cs typeface="Arial"/>
              <a:sym typeface="Arial"/>
            </a:rPr>
            <a:t> </a:t>
          </a:r>
          <a:r>
            <a:rPr kumimoji="0" lang="en-US" sz="1200" b="0" i="0" u="none" strike="noStrike" kern="0" cap="none" spc="0" normalizeH="0" baseline="0" noProof="0" dirty="0" err="1">
              <a:ln>
                <a:noFill/>
              </a:ln>
              <a:solidFill>
                <a:srgbClr val="000000"/>
              </a:solidFill>
              <a:effectLst/>
              <a:uLnTx/>
              <a:uFillTx/>
              <a:latin typeface="Arial"/>
              <a:cs typeface="Arial"/>
              <a:sym typeface="Arial"/>
            </a:rPr>
            <a:t>ditahun</a:t>
          </a:r>
          <a:r>
            <a:rPr kumimoji="0" lang="en-US" sz="1200" b="0" i="0" u="none" strike="noStrike" kern="0" cap="none" spc="0" normalizeH="0" baseline="0" noProof="0" dirty="0">
              <a:ln>
                <a:noFill/>
              </a:ln>
              <a:solidFill>
                <a:srgbClr val="000000"/>
              </a:solidFill>
              <a:effectLst/>
              <a:uLnTx/>
              <a:uFillTx/>
              <a:latin typeface="Arial"/>
              <a:cs typeface="Arial"/>
              <a:sym typeface="Arial"/>
            </a:rPr>
            <a:t> 2012 </a:t>
          </a:r>
          <a:r>
            <a:rPr kumimoji="0" lang="en-US" sz="1200" b="0" i="0" u="none" strike="noStrike" kern="0" cap="none" spc="0" normalizeH="0" baseline="0" noProof="0" dirty="0" err="1">
              <a:ln>
                <a:noFill/>
              </a:ln>
              <a:solidFill>
                <a:srgbClr val="000000"/>
              </a:solidFill>
              <a:effectLst/>
              <a:uLnTx/>
              <a:uFillTx/>
              <a:latin typeface="Arial"/>
              <a:cs typeface="Arial"/>
              <a:sym typeface="Arial"/>
            </a:rPr>
            <a:t>turun</a:t>
          </a:r>
          <a:r>
            <a:rPr kumimoji="0" lang="en-US" sz="1200" b="0" i="0" u="none" strike="noStrike" kern="0" cap="none" spc="0" normalizeH="0" baseline="0" noProof="0" dirty="0">
              <a:ln>
                <a:noFill/>
              </a:ln>
              <a:solidFill>
                <a:srgbClr val="000000"/>
              </a:solidFill>
              <a:effectLst/>
              <a:uLnTx/>
              <a:uFillTx/>
              <a:latin typeface="Arial"/>
              <a:cs typeface="Arial"/>
              <a:sym typeface="Arial"/>
            </a:rPr>
            <a:t> </a:t>
          </a:r>
          <a:r>
            <a:rPr kumimoji="0" lang="en-US" sz="1200" b="0" i="0" u="none" strike="noStrike" kern="0" cap="none" spc="0" normalizeH="0" baseline="0" noProof="0" dirty="0" err="1">
              <a:ln>
                <a:noFill/>
              </a:ln>
              <a:solidFill>
                <a:srgbClr val="000000"/>
              </a:solidFill>
              <a:effectLst/>
              <a:uLnTx/>
              <a:uFillTx/>
              <a:latin typeface="Arial"/>
              <a:cs typeface="Arial"/>
              <a:sym typeface="Arial"/>
            </a:rPr>
            <a:t>sebesar</a:t>
          </a:r>
          <a:r>
            <a:rPr kumimoji="0" lang="en-US" sz="1200" b="0" i="0" u="none" strike="noStrike" kern="0" cap="none" spc="0" normalizeH="0" baseline="0" noProof="0" dirty="0">
              <a:ln>
                <a:noFill/>
              </a:ln>
              <a:solidFill>
                <a:srgbClr val="000000"/>
              </a:solidFill>
              <a:effectLst/>
              <a:uLnTx/>
              <a:uFillTx/>
              <a:latin typeface="Arial"/>
              <a:cs typeface="Arial"/>
              <a:sym typeface="Arial"/>
            </a:rPr>
            <a:t> Rp 659 (-78%) </a:t>
          </a:r>
          <a:r>
            <a:rPr kumimoji="0" lang="en-US" sz="1200" b="0" i="0" u="none" strike="noStrike" kern="0" cap="none" spc="0" normalizeH="0" baseline="0" noProof="0" dirty="0" err="1">
              <a:ln>
                <a:noFill/>
              </a:ln>
              <a:solidFill>
                <a:srgbClr val="000000"/>
              </a:solidFill>
              <a:effectLst/>
              <a:uLnTx/>
              <a:uFillTx/>
              <a:latin typeface="Arial"/>
              <a:cs typeface="Arial"/>
              <a:sym typeface="Arial"/>
            </a:rPr>
            <a:t>menjadi</a:t>
          </a:r>
          <a:r>
            <a:rPr kumimoji="0" lang="en-US" sz="1200" b="0" i="0" u="none" strike="noStrike" kern="0" cap="none" spc="0" normalizeH="0" baseline="0" noProof="0" dirty="0">
              <a:ln>
                <a:noFill/>
              </a:ln>
              <a:solidFill>
                <a:srgbClr val="000000"/>
              </a:solidFill>
              <a:effectLst/>
              <a:uLnTx/>
              <a:uFillTx/>
              <a:latin typeface="Arial"/>
              <a:cs typeface="Arial"/>
              <a:sym typeface="Arial"/>
            </a:rPr>
            <a:t> Rp 183.</a:t>
          </a:r>
        </a:p>
        <a:p>
          <a:pPr marL="0" marR="0" lvl="0" indent="0" algn="l" defTabSz="914400" rtl="0" eaLnBrk="1" fontAlgn="auto" latinLnBrk="0" hangingPunct="1">
            <a:lnSpc>
              <a:spcPct val="150000"/>
            </a:lnSpc>
            <a:spcBef>
              <a:spcPts val="0"/>
            </a:spcBef>
            <a:spcAft>
              <a:spcPts val="0"/>
            </a:spcAft>
            <a:buClr>
              <a:srgbClr val="000000"/>
            </a:buClr>
            <a:buSzPts val="1100"/>
            <a:buFont typeface="Arial"/>
            <a:buNone/>
            <a:tabLst/>
            <a:defRPr/>
          </a:pPr>
          <a:r>
            <a:rPr kumimoji="0" lang="en-US" sz="1200" b="0" i="0" u="none" strike="noStrike" kern="0" cap="none" spc="0" normalizeH="0" baseline="0" noProof="0" dirty="0">
              <a:ln>
                <a:noFill/>
              </a:ln>
              <a:solidFill>
                <a:srgbClr val="000000"/>
              </a:solidFill>
              <a:effectLst/>
              <a:uLnTx/>
              <a:uFillTx/>
              <a:latin typeface="Arial"/>
              <a:cs typeface="Arial"/>
              <a:sym typeface="Arial"/>
            </a:rPr>
            <a:t>Total </a:t>
          </a:r>
          <a:r>
            <a:rPr kumimoji="0" lang="en-US" sz="1200" b="0" i="0" u="none" strike="noStrike" kern="0" cap="none" spc="0" normalizeH="0" baseline="0" noProof="0" dirty="0" err="1">
              <a:ln>
                <a:noFill/>
              </a:ln>
              <a:solidFill>
                <a:srgbClr val="000000"/>
              </a:solidFill>
              <a:effectLst/>
              <a:uLnTx/>
              <a:uFillTx/>
              <a:latin typeface="Arial"/>
              <a:cs typeface="Arial"/>
              <a:sym typeface="Arial"/>
            </a:rPr>
            <a:t>pengeluaraan</a:t>
          </a:r>
          <a:r>
            <a:rPr kumimoji="0" lang="en-US" sz="1200" b="0" i="0" u="none" strike="noStrike" kern="0" cap="none" spc="0" normalizeH="0" baseline="0" noProof="0" dirty="0">
              <a:ln>
                <a:noFill/>
              </a:ln>
              <a:solidFill>
                <a:srgbClr val="000000"/>
              </a:solidFill>
              <a:effectLst/>
              <a:uLnTx/>
              <a:uFillTx/>
              <a:latin typeface="Arial"/>
              <a:cs typeface="Arial"/>
              <a:sym typeface="Arial"/>
            </a:rPr>
            <a:t> dana 2011 </a:t>
          </a:r>
          <a:r>
            <a:rPr kumimoji="0" lang="en-US" sz="1200" b="0" i="0" u="none" strike="noStrike" kern="0" cap="none" spc="0" normalizeH="0" baseline="0" noProof="0" dirty="0" err="1">
              <a:ln>
                <a:noFill/>
              </a:ln>
              <a:solidFill>
                <a:srgbClr val="000000"/>
              </a:solidFill>
              <a:effectLst/>
              <a:uLnTx/>
              <a:uFillTx/>
              <a:latin typeface="Arial"/>
              <a:cs typeface="Arial"/>
              <a:sym typeface="Arial"/>
            </a:rPr>
            <a:t>sebesar</a:t>
          </a:r>
          <a:r>
            <a:rPr kumimoji="0" lang="en-US" sz="1200" b="0" i="0" u="none" strike="noStrike" kern="0" cap="none" spc="0" normalizeH="0" baseline="0" noProof="0" dirty="0">
              <a:ln>
                <a:noFill/>
              </a:ln>
              <a:solidFill>
                <a:srgbClr val="000000"/>
              </a:solidFill>
              <a:effectLst/>
              <a:uLnTx/>
              <a:uFillTx/>
              <a:latin typeface="Arial"/>
              <a:cs typeface="Arial"/>
              <a:sym typeface="Arial"/>
            </a:rPr>
            <a:t> Rp 1.625.119 </a:t>
          </a:r>
          <a:r>
            <a:rPr kumimoji="0" lang="en-US" sz="1200" b="0" i="0" u="none" strike="noStrike" kern="0" cap="none" spc="0" normalizeH="0" baseline="0" noProof="0" dirty="0" err="1">
              <a:ln>
                <a:noFill/>
              </a:ln>
              <a:solidFill>
                <a:srgbClr val="000000"/>
              </a:solidFill>
              <a:effectLst/>
              <a:uLnTx/>
              <a:uFillTx/>
              <a:latin typeface="Arial"/>
              <a:cs typeface="Arial"/>
              <a:sym typeface="Arial"/>
            </a:rPr>
            <a:t>Sementara</a:t>
          </a:r>
          <a:r>
            <a:rPr kumimoji="0" lang="en-US" sz="1200" b="0" i="0" u="none" strike="noStrike" kern="0" cap="none" spc="0" normalizeH="0" baseline="0" noProof="0" dirty="0">
              <a:ln>
                <a:noFill/>
              </a:ln>
              <a:solidFill>
                <a:srgbClr val="000000"/>
              </a:solidFill>
              <a:effectLst/>
              <a:uLnTx/>
              <a:uFillTx/>
              <a:latin typeface="Arial"/>
              <a:cs typeface="Arial"/>
              <a:sym typeface="Arial"/>
            </a:rPr>
            <a:t> </a:t>
          </a:r>
          <a:r>
            <a:rPr kumimoji="0" lang="en-US" sz="1200" b="0" i="0" u="none" strike="noStrike" kern="0" cap="none" spc="0" normalizeH="0" baseline="0" noProof="0" dirty="0" err="1">
              <a:ln>
                <a:noFill/>
              </a:ln>
              <a:solidFill>
                <a:srgbClr val="000000"/>
              </a:solidFill>
              <a:effectLst/>
              <a:uLnTx/>
              <a:uFillTx/>
              <a:latin typeface="Arial"/>
              <a:cs typeface="Arial"/>
              <a:sym typeface="Arial"/>
            </a:rPr>
            <a:t>dirahun</a:t>
          </a:r>
          <a:r>
            <a:rPr kumimoji="0" lang="en-US" sz="1200" b="0" i="0" u="none" strike="noStrike" kern="0" cap="none" spc="0" normalizeH="0" baseline="0" noProof="0" dirty="0">
              <a:ln>
                <a:noFill/>
              </a:ln>
              <a:solidFill>
                <a:srgbClr val="000000"/>
              </a:solidFill>
              <a:effectLst/>
              <a:uLnTx/>
              <a:uFillTx/>
              <a:latin typeface="Arial"/>
              <a:cs typeface="Arial"/>
              <a:sym typeface="Arial"/>
            </a:rPr>
            <a:t> 2012 </a:t>
          </a:r>
          <a:r>
            <a:rPr kumimoji="0" lang="en-US" sz="1200" b="0" i="0" u="none" strike="noStrike" kern="0" cap="none" spc="0" normalizeH="0" baseline="0" noProof="0" dirty="0" err="1">
              <a:ln>
                <a:noFill/>
              </a:ln>
              <a:solidFill>
                <a:srgbClr val="000000"/>
              </a:solidFill>
              <a:effectLst/>
              <a:uLnTx/>
              <a:uFillTx/>
              <a:latin typeface="Arial"/>
              <a:cs typeface="Arial"/>
              <a:sym typeface="Arial"/>
            </a:rPr>
            <a:t>turun</a:t>
          </a:r>
          <a:r>
            <a:rPr kumimoji="0" lang="en-US" sz="1200" b="0" i="0" u="none" strike="noStrike" kern="0" cap="none" spc="0" normalizeH="0" baseline="0" noProof="0" dirty="0">
              <a:ln>
                <a:noFill/>
              </a:ln>
              <a:solidFill>
                <a:srgbClr val="000000"/>
              </a:solidFill>
              <a:effectLst/>
              <a:uLnTx/>
              <a:uFillTx/>
              <a:latin typeface="Arial"/>
              <a:cs typeface="Arial"/>
              <a:sym typeface="Arial"/>
            </a:rPr>
            <a:t> </a:t>
          </a:r>
          <a:r>
            <a:rPr kumimoji="0" lang="en-US" sz="1200" b="0" i="0" u="none" strike="noStrike" kern="0" cap="none" spc="0" normalizeH="0" baseline="0" noProof="0" dirty="0" err="1">
              <a:ln>
                <a:noFill/>
              </a:ln>
              <a:solidFill>
                <a:srgbClr val="000000"/>
              </a:solidFill>
              <a:effectLst/>
              <a:uLnTx/>
              <a:uFillTx/>
              <a:latin typeface="Arial"/>
              <a:cs typeface="Arial"/>
              <a:sym typeface="Arial"/>
            </a:rPr>
            <a:t>sebesar</a:t>
          </a:r>
          <a:r>
            <a:rPr kumimoji="0" lang="en-US" sz="1200" b="0" i="0" u="none" strike="noStrike" kern="0" cap="none" spc="0" normalizeH="0" baseline="0" noProof="0" dirty="0">
              <a:ln>
                <a:noFill/>
              </a:ln>
              <a:solidFill>
                <a:srgbClr val="000000"/>
              </a:solidFill>
              <a:effectLst/>
              <a:uLnTx/>
              <a:uFillTx/>
              <a:latin typeface="Arial"/>
              <a:cs typeface="Arial"/>
              <a:sym typeface="Arial"/>
            </a:rPr>
            <a:t> Rp 802.511 (-49%) </a:t>
          </a:r>
          <a:r>
            <a:rPr kumimoji="0" lang="en-US" sz="1200" b="0" i="0" u="none" strike="noStrike" kern="0" cap="none" spc="0" normalizeH="0" baseline="0" noProof="0" dirty="0" err="1">
              <a:ln>
                <a:noFill/>
              </a:ln>
              <a:solidFill>
                <a:srgbClr val="000000"/>
              </a:solidFill>
              <a:effectLst/>
              <a:uLnTx/>
              <a:uFillTx/>
              <a:latin typeface="Arial"/>
              <a:cs typeface="Arial"/>
              <a:sym typeface="Arial"/>
            </a:rPr>
            <a:t>menjadi</a:t>
          </a:r>
          <a:r>
            <a:rPr kumimoji="0" lang="en-US" sz="1200" b="0" i="0" u="none" strike="noStrike" kern="0" cap="none" spc="0" normalizeH="0" baseline="0" noProof="0" dirty="0">
              <a:ln>
                <a:noFill/>
              </a:ln>
              <a:solidFill>
                <a:srgbClr val="000000"/>
              </a:solidFill>
              <a:effectLst/>
              <a:uLnTx/>
              <a:uFillTx/>
              <a:latin typeface="Arial"/>
              <a:cs typeface="Arial"/>
              <a:sym typeface="Arial"/>
            </a:rPr>
            <a:t> Rp 822.608</a:t>
          </a:r>
        </a:p>
        <a:p>
          <a:pPr marL="0" lvl="0" indent="0" algn="l" rtl="0">
            <a:lnSpc>
              <a:spcPct val="150000"/>
            </a:lnSpc>
            <a:spcBef>
              <a:spcPts val="0"/>
            </a:spcBef>
            <a:spcAft>
              <a:spcPts val="0"/>
            </a:spcAft>
            <a:buClr>
              <a:srgbClr val="000000"/>
            </a:buClr>
            <a:buSzPts val="1100"/>
            <a:buFont typeface="Arial"/>
            <a:buNone/>
          </a:pPr>
          <a:endParaRPr lang="en-US" sz="1100">
            <a:solidFill>
              <a:schemeClr val="dk1"/>
            </a:solidFill>
          </a:endParaRPr>
        </a:p>
        <a:p>
          <a:pPr marL="0" lvl="0" indent="0" algn="l" rtl="0">
            <a:lnSpc>
              <a:spcPct val="150000"/>
            </a:lnSpc>
            <a:spcBef>
              <a:spcPts val="0"/>
            </a:spcBef>
            <a:spcAft>
              <a:spcPts val="0"/>
            </a:spcAft>
            <a:buClr>
              <a:srgbClr val="000000"/>
            </a:buClr>
            <a:buSzPts val="1100"/>
            <a:buFont typeface="Arial"/>
            <a:buNone/>
          </a:pPr>
          <a:endParaRPr lang="en-US" sz="1100">
            <a:solidFill>
              <a:schemeClr val="dk1"/>
            </a:solidFill>
          </a:endParaRPr>
        </a:p>
        <a:p>
          <a:pPr marL="0" lvl="0" indent="0" algn="l" rtl="0">
            <a:lnSpc>
              <a:spcPct val="150000"/>
            </a:lnSpc>
            <a:spcBef>
              <a:spcPts val="0"/>
            </a:spcBef>
            <a:spcAft>
              <a:spcPts val="0"/>
            </a:spcAft>
            <a:buClr>
              <a:srgbClr val="000000"/>
            </a:buClr>
            <a:buSzPts val="1100"/>
            <a:buFont typeface="Arial"/>
            <a:buNone/>
          </a:pPr>
          <a:endParaRPr lang="en-US" sz="1100">
            <a:solidFill>
              <a:schemeClr val="dk1"/>
            </a:solidFill>
          </a:endParaRPr>
        </a:p>
        <a:p>
          <a:pPr marL="0" lvl="0" indent="0" algn="l" rtl="0">
            <a:lnSpc>
              <a:spcPct val="150000"/>
            </a:lnSpc>
            <a:spcBef>
              <a:spcPts val="0"/>
            </a:spcBef>
            <a:spcAft>
              <a:spcPts val="0"/>
            </a:spcAft>
            <a:buClr>
              <a:srgbClr val="000000"/>
            </a:buClr>
            <a:buSzPts val="1100"/>
            <a:buFont typeface="Arial"/>
            <a:buNone/>
          </a:pPr>
          <a:endParaRPr lang="en-US" sz="1100">
            <a:solidFill>
              <a:schemeClr val="dk1"/>
            </a:solidFill>
          </a:endParaRPr>
        </a:p>
        <a:p>
          <a:pPr marL="0" lvl="0" indent="0" algn="l" rtl="0">
            <a:lnSpc>
              <a:spcPct val="150000"/>
            </a:lnSpc>
            <a:spcBef>
              <a:spcPts val="0"/>
            </a:spcBef>
            <a:spcAft>
              <a:spcPts val="0"/>
            </a:spcAft>
            <a:buClr>
              <a:srgbClr val="000000"/>
            </a:buClr>
            <a:buSzPts val="1100"/>
            <a:buFont typeface="Arial"/>
            <a:buNone/>
          </a:pPr>
          <a:endParaRPr lang="en-US" sz="1100">
            <a:solidFill>
              <a:schemeClr val="dk1"/>
            </a:solidFill>
          </a:endParaRPr>
        </a:p>
        <a:p>
          <a:pPr marL="0" lvl="0" indent="0" algn="l" rtl="0">
            <a:lnSpc>
              <a:spcPct val="150000"/>
            </a:lnSpc>
            <a:spcBef>
              <a:spcPts val="0"/>
            </a:spcBef>
            <a:spcAft>
              <a:spcPts val="0"/>
            </a:spcAft>
            <a:buClr>
              <a:srgbClr val="000000"/>
            </a:buClr>
            <a:buSzPts val="1100"/>
            <a:buFont typeface="Arial"/>
            <a:buNone/>
          </a:pPr>
          <a:endParaRPr lang="en-ID" sz="1100">
            <a:solidFill>
              <a:schemeClr val="dk1"/>
            </a:solidFill>
          </a:endParaRPr>
        </a:p>
        <a:p>
          <a:pPr marL="0" lvl="0" indent="0" algn="l" rtl="0">
            <a:lnSpc>
              <a:spcPct val="150000"/>
            </a:lnSpc>
            <a:spcBef>
              <a:spcPts val="0"/>
            </a:spcBef>
            <a:spcAft>
              <a:spcPts val="0"/>
            </a:spcAft>
            <a:buClr>
              <a:srgbClr val="000000"/>
            </a:buClr>
            <a:buSzPts val="1100"/>
            <a:buFont typeface="Arial"/>
            <a:buNone/>
          </a:pPr>
          <a:endParaRPr lang="en-ID" sz="1100">
            <a:solidFill>
              <a:schemeClr val="dk1"/>
            </a:solidFill>
          </a:endParaRP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0</xdr:col>
      <xdr:colOff>0</xdr:colOff>
      <xdr:row>3</xdr:row>
      <xdr:rowOff>104775</xdr:rowOff>
    </xdr:from>
    <xdr:to>
      <xdr:col>8</xdr:col>
      <xdr:colOff>428400</xdr:colOff>
      <xdr:row>13</xdr:row>
      <xdr:rowOff>180975</xdr:rowOff>
    </xdr:to>
    <xdr:sp macro="" textlink="">
      <xdr:nvSpPr>
        <xdr:cNvPr id="3" name="Google Shape;86;p15">
          <a:extLst>
            <a:ext uri="{FF2B5EF4-FFF2-40B4-BE49-F238E27FC236}">
              <a16:creationId xmlns:a16="http://schemas.microsoft.com/office/drawing/2014/main" id="{8915C0A0-FA3F-3ABF-FEAD-7DE42AEFF878}"/>
            </a:ext>
          </a:extLst>
        </xdr:cNvPr>
        <xdr:cNvSpPr txBox="1"/>
      </xdr:nvSpPr>
      <xdr:spPr>
        <a:xfrm>
          <a:off x="0" y="561975"/>
          <a:ext cx="5305200" cy="1981200"/>
        </a:xfrm>
        <a:prstGeom prst="rect">
          <a:avLst/>
        </a:prstGeom>
        <a:solidFill>
          <a:schemeClr val="bg2"/>
        </a:solidFill>
        <a:ln>
          <a:noFill/>
        </a:ln>
      </xdr:spPr>
      <xdr:txBody>
        <a:bodyPr spcFirstLastPara="1" wrap="square" lIns="91425" tIns="91425" rIns="91425" bIns="91425" anchor="ctr" anchorCtr="0">
          <a:no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lvl="0" indent="0" algn="l" rtl="0">
            <a:lnSpc>
              <a:spcPct val="115000"/>
            </a:lnSpc>
            <a:spcBef>
              <a:spcPts val="0"/>
            </a:spcBef>
            <a:spcAft>
              <a:spcPts val="0"/>
            </a:spcAft>
            <a:buNone/>
          </a:pPr>
          <a:r>
            <a:rPr lang="id" sz="1200">
              <a:solidFill>
                <a:schemeClr val="dk1"/>
              </a:solidFill>
              <a:latin typeface="Roboto"/>
              <a:ea typeface="Roboto"/>
              <a:cs typeface="Roboto"/>
              <a:sym typeface="Roboto"/>
            </a:rPr>
            <a:t>PT. Semen Gresik menerbitkan sebuah obligasi dengan nilai nominal Rp. 15.000.000 untuk 5 tahun dengan bunga tercatat 7 % dan bunga yang berlaku di pasar (bunga Efektif) sebesar 10 %. </a:t>
          </a:r>
        </a:p>
        <a:p>
          <a:pPr marL="0" lvl="0" indent="0" algn="l" rtl="0">
            <a:lnSpc>
              <a:spcPct val="115000"/>
            </a:lnSpc>
            <a:spcBef>
              <a:spcPts val="1000"/>
            </a:spcBef>
            <a:spcAft>
              <a:spcPts val="1000"/>
            </a:spcAft>
            <a:buNone/>
          </a:pPr>
          <a:r>
            <a:rPr lang="en-ID" sz="1200" b="1">
              <a:solidFill>
                <a:schemeClr val="dk1"/>
              </a:solidFill>
              <a:latin typeface="Roboto"/>
              <a:ea typeface="Roboto"/>
              <a:cs typeface="Roboto"/>
              <a:sym typeface="Roboto"/>
            </a:rPr>
            <a:t>Sebagai akuntan di perusahaan tersebut, kamu ditugaskan untuk menghitung nilai kini dari obligasi tersebut di Google Sheet.</a:t>
          </a:r>
        </a:p>
      </xdr:txBody>
    </xdr:sp>
    <xdr:clientData/>
  </xdr:twoCellAnchor>
  <xdr:twoCellAnchor>
    <xdr:from>
      <xdr:col>0</xdr:col>
      <xdr:colOff>76201</xdr:colOff>
      <xdr:row>1</xdr:row>
      <xdr:rowOff>28575</xdr:rowOff>
    </xdr:from>
    <xdr:to>
      <xdr:col>2</xdr:col>
      <xdr:colOff>390525</xdr:colOff>
      <xdr:row>2</xdr:row>
      <xdr:rowOff>409575</xdr:rowOff>
    </xdr:to>
    <xdr:sp macro="" textlink="">
      <xdr:nvSpPr>
        <xdr:cNvPr id="4" name="Google Shape;85;g2e4f83b35c5_0_6">
          <a:extLst>
            <a:ext uri="{FF2B5EF4-FFF2-40B4-BE49-F238E27FC236}">
              <a16:creationId xmlns:a16="http://schemas.microsoft.com/office/drawing/2014/main" id="{B4F43DC9-2BA5-4230-ACD9-B4514831D3DA}"/>
            </a:ext>
          </a:extLst>
        </xdr:cNvPr>
        <xdr:cNvSpPr txBox="1"/>
      </xdr:nvSpPr>
      <xdr:spPr>
        <a:xfrm>
          <a:off x="76201" y="219075"/>
          <a:ext cx="1533524" cy="571500"/>
        </a:xfrm>
        <a:prstGeom prst="rect">
          <a:avLst/>
        </a:prstGeom>
        <a:solidFill>
          <a:schemeClr val="bg2"/>
        </a:solidFill>
        <a:ln>
          <a:noFill/>
        </a:ln>
      </xdr:spPr>
      <xdr:txBody>
        <a:bodyPr spcFirstLastPara="1" wrap="square" lIns="0" tIns="12700" rIns="0" bIns="0" anchor="t" anchorCtr="0">
          <a:no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marR="0" lvl="0" indent="0" algn="l" rtl="0">
            <a:lnSpc>
              <a:spcPct val="100000"/>
            </a:lnSpc>
            <a:spcBef>
              <a:spcPts val="0"/>
            </a:spcBef>
            <a:spcAft>
              <a:spcPts val="0"/>
            </a:spcAft>
            <a:buClr>
              <a:schemeClr val="dk1"/>
            </a:buClr>
            <a:buSzPts val="1100"/>
            <a:buFont typeface="Arial"/>
            <a:buNone/>
          </a:pPr>
          <a:r>
            <a:rPr lang="en-US" sz="2800" b="1" i="0" u="none" strike="noStrike" cap="none">
              <a:solidFill>
                <a:schemeClr val="tx1"/>
              </a:solidFill>
              <a:latin typeface="Roboto"/>
              <a:ea typeface="Roboto"/>
              <a:cs typeface="Roboto"/>
              <a:sym typeface="Roboto"/>
            </a:rPr>
            <a:t>Obligasi</a:t>
          </a:r>
        </a:p>
        <a:p>
          <a:pPr marL="0" marR="0" lvl="0" indent="0" algn="l" rtl="0">
            <a:lnSpc>
              <a:spcPct val="100000"/>
            </a:lnSpc>
            <a:spcBef>
              <a:spcPts val="0"/>
            </a:spcBef>
            <a:spcAft>
              <a:spcPts val="0"/>
            </a:spcAft>
            <a:buClr>
              <a:schemeClr val="dk1"/>
            </a:buClr>
            <a:buSzPts val="1100"/>
            <a:buFont typeface="Arial"/>
            <a:buNone/>
          </a:pPr>
          <a:endParaRPr sz="2800" b="1" i="0" u="none" strike="noStrike" cap="none">
            <a:solidFill>
              <a:schemeClr val="tx1"/>
            </a:solidFill>
            <a:latin typeface="Roboto"/>
            <a:ea typeface="Roboto"/>
            <a:cs typeface="Roboto"/>
            <a:sym typeface="Roboto"/>
          </a:endParaRPr>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0</xdr:col>
      <xdr:colOff>0</xdr:colOff>
      <xdr:row>3</xdr:row>
      <xdr:rowOff>390526</xdr:rowOff>
    </xdr:from>
    <xdr:to>
      <xdr:col>8</xdr:col>
      <xdr:colOff>428400</xdr:colOff>
      <xdr:row>13</xdr:row>
      <xdr:rowOff>9525</xdr:rowOff>
    </xdr:to>
    <xdr:sp macro="" textlink="">
      <xdr:nvSpPr>
        <xdr:cNvPr id="3" name="Google Shape;109;p16">
          <a:extLst>
            <a:ext uri="{FF2B5EF4-FFF2-40B4-BE49-F238E27FC236}">
              <a16:creationId xmlns:a16="http://schemas.microsoft.com/office/drawing/2014/main" id="{F3C68944-2274-2D6A-2E2C-0FBD411FC179}"/>
            </a:ext>
          </a:extLst>
        </xdr:cNvPr>
        <xdr:cNvSpPr txBox="1"/>
      </xdr:nvSpPr>
      <xdr:spPr>
        <a:xfrm>
          <a:off x="0" y="390526"/>
          <a:ext cx="7114950" cy="1733549"/>
        </a:xfrm>
        <a:prstGeom prst="rect">
          <a:avLst/>
        </a:prstGeom>
        <a:solidFill>
          <a:schemeClr val="bg2"/>
        </a:solidFill>
        <a:ln>
          <a:noFill/>
        </a:ln>
      </xdr:spPr>
      <xdr:txBody>
        <a:bodyPr spcFirstLastPara="1" wrap="square" lIns="91425" tIns="91425" rIns="91425" bIns="91425" anchor="ctr" anchorCtr="0">
          <a:no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lvl="0" indent="0" algn="l" rtl="0">
            <a:lnSpc>
              <a:spcPct val="115000"/>
            </a:lnSpc>
            <a:spcBef>
              <a:spcPts val="0"/>
            </a:spcBef>
            <a:spcAft>
              <a:spcPts val="0"/>
            </a:spcAft>
            <a:buClr>
              <a:schemeClr val="dk1"/>
            </a:buClr>
            <a:buSzPts val="1100"/>
            <a:buFont typeface="Arial"/>
            <a:buNone/>
          </a:pPr>
          <a:r>
            <a:rPr lang="id" sz="1200">
              <a:solidFill>
                <a:schemeClr val="dk1"/>
              </a:solidFill>
              <a:latin typeface="Roboto"/>
              <a:ea typeface="Roboto"/>
              <a:cs typeface="Roboto"/>
              <a:sym typeface="Roboto"/>
            </a:rPr>
            <a:t>PT. Sumber Sejahtera menerbitkan obligasi yang akan jatuh tempo 10 tahun, dengan nilai nominal Rp. 200.000.000 tertanggal 1 Januari 2023. bunga ditetapkan sebesar 10 % dengan jatuh tempo bunga setiap 1 Januari dan 1 Juli.</a:t>
          </a:r>
          <a:endParaRPr sz="1200">
            <a:solidFill>
              <a:schemeClr val="dk1"/>
            </a:solidFill>
            <a:latin typeface="Roboto"/>
            <a:ea typeface="Roboto"/>
            <a:cs typeface="Roboto"/>
            <a:sym typeface="Roboto"/>
          </a:endParaRPr>
        </a:p>
        <a:p>
          <a:pPr marL="0" lvl="0" indent="0" algn="l" rtl="0">
            <a:lnSpc>
              <a:spcPct val="115000"/>
            </a:lnSpc>
            <a:spcBef>
              <a:spcPts val="1000"/>
            </a:spcBef>
            <a:spcAft>
              <a:spcPts val="0"/>
            </a:spcAft>
            <a:buClr>
              <a:schemeClr val="dk1"/>
            </a:buClr>
            <a:buSzPts val="1100"/>
            <a:buFont typeface="Arial"/>
            <a:buNone/>
          </a:pPr>
          <a:r>
            <a:rPr lang="id" sz="1200">
              <a:solidFill>
                <a:schemeClr val="dk1"/>
              </a:solidFill>
              <a:latin typeface="Roboto"/>
              <a:ea typeface="Roboto"/>
              <a:cs typeface="Roboto"/>
              <a:sym typeface="Roboto"/>
            </a:rPr>
            <a:t>Sebagai akuntan di perusahaan tersebut, kamu ditugaskan untuk :</a:t>
          </a:r>
          <a:endParaRPr sz="1200">
            <a:solidFill>
              <a:schemeClr val="dk1"/>
            </a:solidFill>
            <a:latin typeface="Roboto"/>
            <a:ea typeface="Roboto"/>
            <a:cs typeface="Roboto"/>
            <a:sym typeface="Roboto"/>
          </a:endParaRPr>
        </a:p>
        <a:p>
          <a:pPr marL="179999" lvl="0" indent="-190500" algn="l" rtl="0">
            <a:lnSpc>
              <a:spcPct val="115000"/>
            </a:lnSpc>
            <a:spcBef>
              <a:spcPts val="1000"/>
            </a:spcBef>
            <a:spcAft>
              <a:spcPts val="0"/>
            </a:spcAft>
            <a:buClr>
              <a:schemeClr val="dk1"/>
            </a:buClr>
            <a:buSzPts val="1500"/>
            <a:buFont typeface="Roboto"/>
            <a:buChar char="●"/>
          </a:pPr>
          <a:r>
            <a:rPr lang="id" sz="1200">
              <a:solidFill>
                <a:schemeClr val="dk1"/>
              </a:solidFill>
              <a:latin typeface="Roboto"/>
              <a:ea typeface="Roboto"/>
              <a:cs typeface="Roboto"/>
              <a:sym typeface="Roboto"/>
            </a:rPr>
            <a:t>Menghitung &amp; membuat jurnal saat penerbitan obligasi</a:t>
          </a:r>
          <a:endParaRPr sz="1200">
            <a:solidFill>
              <a:schemeClr val="dk1"/>
            </a:solidFill>
            <a:latin typeface="Roboto"/>
            <a:ea typeface="Roboto"/>
            <a:cs typeface="Roboto"/>
            <a:sym typeface="Roboto"/>
          </a:endParaRPr>
        </a:p>
        <a:p>
          <a:pPr marL="179999" lvl="0" indent="-190500" algn="l" rtl="0">
            <a:lnSpc>
              <a:spcPct val="115000"/>
            </a:lnSpc>
            <a:spcBef>
              <a:spcPts val="0"/>
            </a:spcBef>
            <a:spcAft>
              <a:spcPts val="0"/>
            </a:spcAft>
            <a:buClr>
              <a:schemeClr val="dk1"/>
            </a:buClr>
            <a:buSzPts val="1500"/>
            <a:buFont typeface="Roboto"/>
            <a:buChar char="●"/>
          </a:pPr>
          <a:r>
            <a:rPr lang="id" sz="1200">
              <a:solidFill>
                <a:schemeClr val="dk1"/>
              </a:solidFill>
              <a:latin typeface="Roboto"/>
              <a:ea typeface="Roboto"/>
              <a:cs typeface="Roboto"/>
              <a:sym typeface="Roboto"/>
            </a:rPr>
            <a:t>Pembayaran bunga pertama</a:t>
          </a:r>
          <a:endParaRPr sz="1200">
            <a:solidFill>
              <a:schemeClr val="dk1"/>
            </a:solidFill>
            <a:latin typeface="Roboto"/>
            <a:ea typeface="Roboto"/>
            <a:cs typeface="Roboto"/>
            <a:sym typeface="Roboto"/>
          </a:endParaRPr>
        </a:p>
        <a:p>
          <a:pPr marL="179999" lvl="0" indent="-190500" algn="l" rtl="0">
            <a:lnSpc>
              <a:spcPct val="115000"/>
            </a:lnSpc>
            <a:spcBef>
              <a:spcPts val="0"/>
            </a:spcBef>
            <a:spcAft>
              <a:spcPts val="0"/>
            </a:spcAft>
            <a:buClr>
              <a:schemeClr val="dk1"/>
            </a:buClr>
            <a:buSzPts val="1500"/>
            <a:buFont typeface="Roboto"/>
            <a:buChar char="●"/>
          </a:pPr>
          <a:r>
            <a:rPr lang="id" sz="1200">
              <a:solidFill>
                <a:schemeClr val="dk1"/>
              </a:solidFill>
              <a:latin typeface="Roboto"/>
              <a:ea typeface="Roboto"/>
              <a:cs typeface="Roboto"/>
              <a:sym typeface="Roboto"/>
            </a:rPr>
            <a:t>Jurnal penyesuaian untuk tanggal 31 Desember 2023</a:t>
          </a:r>
          <a:endParaRPr sz="1200">
            <a:solidFill>
              <a:schemeClr val="dk1"/>
            </a:solidFill>
            <a:latin typeface="Roboto"/>
            <a:ea typeface="Roboto"/>
            <a:cs typeface="Roboto"/>
            <a:sym typeface="Roboto"/>
          </a:endParaRPr>
        </a:p>
      </xdr:txBody>
    </xdr:sp>
    <xdr:clientData/>
  </xdr:twoCellAnchor>
  <xdr:twoCellAnchor>
    <xdr:from>
      <xdr:col>0</xdr:col>
      <xdr:colOff>57150</xdr:colOff>
      <xdr:row>1</xdr:row>
      <xdr:rowOff>0</xdr:rowOff>
    </xdr:from>
    <xdr:to>
      <xdr:col>1</xdr:col>
      <xdr:colOff>781050</xdr:colOff>
      <xdr:row>3</xdr:row>
      <xdr:rowOff>62776</xdr:rowOff>
    </xdr:to>
    <xdr:sp macro="" textlink="">
      <xdr:nvSpPr>
        <xdr:cNvPr id="4" name="Google Shape;85;g2e4f83b35c5_0_6">
          <a:extLst>
            <a:ext uri="{FF2B5EF4-FFF2-40B4-BE49-F238E27FC236}">
              <a16:creationId xmlns:a16="http://schemas.microsoft.com/office/drawing/2014/main" id="{0A3A7425-EF74-4957-A087-19CACE192388}"/>
            </a:ext>
          </a:extLst>
        </xdr:cNvPr>
        <xdr:cNvSpPr txBox="1"/>
      </xdr:nvSpPr>
      <xdr:spPr>
        <a:xfrm>
          <a:off x="57150" y="190500"/>
          <a:ext cx="1438275" cy="443776"/>
        </a:xfrm>
        <a:prstGeom prst="rect">
          <a:avLst/>
        </a:prstGeom>
        <a:solidFill>
          <a:schemeClr val="bg2"/>
        </a:solidFill>
        <a:ln>
          <a:noFill/>
        </a:ln>
      </xdr:spPr>
      <xdr:txBody>
        <a:bodyPr spcFirstLastPara="1" wrap="square" lIns="0" tIns="12700" rIns="0" bIns="0" anchor="t" anchorCtr="0">
          <a:sp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marR="0" lvl="0" indent="0" algn="l" rtl="0">
            <a:lnSpc>
              <a:spcPct val="100000"/>
            </a:lnSpc>
            <a:spcBef>
              <a:spcPts val="0"/>
            </a:spcBef>
            <a:spcAft>
              <a:spcPts val="0"/>
            </a:spcAft>
            <a:buClr>
              <a:schemeClr val="dk1"/>
            </a:buClr>
            <a:buSzPts val="1100"/>
            <a:buFont typeface="Arial"/>
            <a:buNone/>
          </a:pPr>
          <a:r>
            <a:rPr lang="en-US" sz="2800" b="1" i="0" u="none" strike="noStrike" cap="none">
              <a:solidFill>
                <a:schemeClr val="tx1"/>
              </a:solidFill>
              <a:latin typeface="Roboto"/>
              <a:ea typeface="Roboto"/>
              <a:cs typeface="Roboto"/>
              <a:sym typeface="Roboto"/>
            </a:rPr>
            <a:t>Obligasi</a:t>
          </a:r>
          <a:endParaRPr sz="2800" b="1" i="0" u="none" strike="noStrike" cap="none">
            <a:solidFill>
              <a:schemeClr val="tx1"/>
            </a:solidFill>
            <a:latin typeface="Roboto"/>
            <a:ea typeface="Roboto"/>
            <a:cs typeface="Roboto"/>
            <a:sym typeface="Roboto"/>
          </a:endParaRP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0</xdr:col>
      <xdr:colOff>0</xdr:colOff>
      <xdr:row>2</xdr:row>
      <xdr:rowOff>285750</xdr:rowOff>
    </xdr:from>
    <xdr:to>
      <xdr:col>9</xdr:col>
      <xdr:colOff>580800</xdr:colOff>
      <xdr:row>11</xdr:row>
      <xdr:rowOff>61275</xdr:rowOff>
    </xdr:to>
    <xdr:sp macro="" textlink="">
      <xdr:nvSpPr>
        <xdr:cNvPr id="3" name="Google Shape;132;p17">
          <a:extLst>
            <a:ext uri="{FF2B5EF4-FFF2-40B4-BE49-F238E27FC236}">
              <a16:creationId xmlns:a16="http://schemas.microsoft.com/office/drawing/2014/main" id="{F625E66A-2A86-02B4-4EF2-1392B8478498}"/>
            </a:ext>
          </a:extLst>
        </xdr:cNvPr>
        <xdr:cNvSpPr txBox="1"/>
      </xdr:nvSpPr>
      <xdr:spPr>
        <a:xfrm>
          <a:off x="0" y="666750"/>
          <a:ext cx="8877075" cy="1632900"/>
        </a:xfrm>
        <a:prstGeom prst="rect">
          <a:avLst/>
        </a:prstGeom>
        <a:solidFill>
          <a:schemeClr val="bg2"/>
        </a:solidFill>
        <a:ln>
          <a:noFill/>
        </a:ln>
      </xdr:spPr>
      <xdr:txBody>
        <a:bodyPr spcFirstLastPara="1" wrap="square" lIns="91425" tIns="91425" rIns="91425" bIns="91425" anchor="ctr" anchorCtr="0">
          <a:no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lvl="0" indent="0" algn="l" rtl="0">
            <a:lnSpc>
              <a:spcPct val="115000"/>
            </a:lnSpc>
            <a:spcBef>
              <a:spcPts val="0"/>
            </a:spcBef>
            <a:spcAft>
              <a:spcPts val="0"/>
            </a:spcAft>
            <a:buClr>
              <a:schemeClr val="dk1"/>
            </a:buClr>
            <a:buSzPts val="1100"/>
            <a:buFont typeface="Arial"/>
            <a:buNone/>
          </a:pPr>
          <a:r>
            <a:rPr lang="id" sz="1200">
              <a:solidFill>
                <a:schemeClr val="dk1"/>
              </a:solidFill>
              <a:latin typeface="Roboto"/>
              <a:ea typeface="Roboto"/>
              <a:cs typeface="Roboto"/>
              <a:sym typeface="Roboto"/>
            </a:rPr>
            <a:t>PT. Sinar Tani menerbitkan obligasi dengan nilai 98 % atau 103 %, yang akan jatuh tempo 10 tahun, dengan nilai nominal Rp. 200.000.000 tertanggal 1 Januari 2023. bunga ditetapkan sebesar 10 % dengan jatuh tempo bunga setiap 1 Januari dan 1 Juli.</a:t>
          </a:r>
          <a:endParaRPr sz="1200">
            <a:solidFill>
              <a:schemeClr val="dk1"/>
            </a:solidFill>
            <a:latin typeface="Roboto"/>
            <a:ea typeface="Roboto"/>
            <a:cs typeface="Roboto"/>
            <a:sym typeface="Roboto"/>
          </a:endParaRPr>
        </a:p>
        <a:p>
          <a:pPr marL="0" lvl="0" indent="0" algn="l" rtl="0">
            <a:lnSpc>
              <a:spcPct val="115000"/>
            </a:lnSpc>
            <a:spcBef>
              <a:spcPts val="1000"/>
            </a:spcBef>
            <a:spcAft>
              <a:spcPts val="0"/>
            </a:spcAft>
            <a:buClr>
              <a:schemeClr val="dk1"/>
            </a:buClr>
            <a:buSzPts val="1100"/>
            <a:buFont typeface="Arial"/>
            <a:buNone/>
          </a:pPr>
          <a:r>
            <a:rPr lang="id" sz="1200">
              <a:solidFill>
                <a:schemeClr val="dk1"/>
              </a:solidFill>
              <a:latin typeface="Roboto"/>
              <a:ea typeface="Roboto"/>
              <a:cs typeface="Roboto"/>
              <a:sym typeface="Roboto"/>
            </a:rPr>
            <a:t>Sebagai akuntan di perusahaan tersebut, kamu ditugaskan untuk :</a:t>
          </a:r>
          <a:endParaRPr sz="1200">
            <a:solidFill>
              <a:schemeClr val="dk1"/>
            </a:solidFill>
            <a:latin typeface="Roboto"/>
            <a:ea typeface="Roboto"/>
            <a:cs typeface="Roboto"/>
            <a:sym typeface="Roboto"/>
          </a:endParaRPr>
        </a:p>
        <a:p>
          <a:pPr marL="179999" lvl="0" indent="-190500" algn="l" rtl="0">
            <a:lnSpc>
              <a:spcPct val="115000"/>
            </a:lnSpc>
            <a:spcBef>
              <a:spcPts val="1000"/>
            </a:spcBef>
            <a:spcAft>
              <a:spcPts val="0"/>
            </a:spcAft>
            <a:buClr>
              <a:schemeClr val="dk1"/>
            </a:buClr>
            <a:buSzPts val="1500"/>
            <a:buFont typeface="Roboto"/>
            <a:buChar char="●"/>
          </a:pPr>
          <a:r>
            <a:rPr lang="id" sz="1200">
              <a:solidFill>
                <a:schemeClr val="dk1"/>
              </a:solidFill>
              <a:latin typeface="Roboto"/>
              <a:ea typeface="Roboto"/>
              <a:cs typeface="Roboto"/>
              <a:sym typeface="Roboto"/>
            </a:rPr>
            <a:t>Menghitung dan membuat jurnal saat penerbitan obligasi</a:t>
          </a:r>
          <a:endParaRPr sz="1200">
            <a:solidFill>
              <a:schemeClr val="dk1"/>
            </a:solidFill>
            <a:latin typeface="Roboto"/>
            <a:ea typeface="Roboto"/>
            <a:cs typeface="Roboto"/>
            <a:sym typeface="Roboto"/>
          </a:endParaRPr>
        </a:p>
        <a:p>
          <a:pPr marL="179999" lvl="0" indent="-190500" algn="l" rtl="0">
            <a:lnSpc>
              <a:spcPct val="115000"/>
            </a:lnSpc>
            <a:spcBef>
              <a:spcPts val="0"/>
            </a:spcBef>
            <a:spcAft>
              <a:spcPts val="0"/>
            </a:spcAft>
            <a:buClr>
              <a:schemeClr val="dk1"/>
            </a:buClr>
            <a:buSzPts val="1500"/>
            <a:buFont typeface="Roboto"/>
            <a:buChar char="●"/>
          </a:pPr>
          <a:r>
            <a:rPr lang="id" sz="1200">
              <a:solidFill>
                <a:schemeClr val="dk1"/>
              </a:solidFill>
              <a:latin typeface="Roboto"/>
              <a:ea typeface="Roboto"/>
              <a:cs typeface="Roboto"/>
              <a:sym typeface="Roboto"/>
            </a:rPr>
            <a:t>Pembayaran bunga pertama </a:t>
          </a:r>
          <a:endParaRPr sz="1200">
            <a:solidFill>
              <a:schemeClr val="dk1"/>
            </a:solidFill>
            <a:latin typeface="Roboto"/>
            <a:ea typeface="Roboto"/>
            <a:cs typeface="Roboto"/>
            <a:sym typeface="Roboto"/>
          </a:endParaRPr>
        </a:p>
        <a:p>
          <a:pPr marL="179999" lvl="0" indent="-190500" algn="l" rtl="0">
            <a:lnSpc>
              <a:spcPct val="115000"/>
            </a:lnSpc>
            <a:spcBef>
              <a:spcPts val="0"/>
            </a:spcBef>
            <a:spcAft>
              <a:spcPts val="0"/>
            </a:spcAft>
            <a:buClr>
              <a:schemeClr val="dk1"/>
            </a:buClr>
            <a:buSzPts val="1500"/>
            <a:buFont typeface="Roboto"/>
            <a:buChar char="●"/>
          </a:pPr>
          <a:r>
            <a:rPr lang="id" sz="1200">
              <a:solidFill>
                <a:schemeClr val="dk1"/>
              </a:solidFill>
              <a:latin typeface="Roboto"/>
              <a:ea typeface="Roboto"/>
              <a:cs typeface="Roboto"/>
              <a:sym typeface="Roboto"/>
            </a:rPr>
            <a:t>Jurnal penyesuaian untuk tanggal 31 Desember 2006</a:t>
          </a:r>
          <a:endParaRPr sz="1200">
            <a:solidFill>
              <a:schemeClr val="dk1"/>
            </a:solidFill>
            <a:latin typeface="Roboto"/>
            <a:ea typeface="Roboto"/>
            <a:cs typeface="Roboto"/>
            <a:sym typeface="Roboto"/>
          </a:endParaRPr>
        </a:p>
      </xdr:txBody>
    </xdr:sp>
    <xdr:clientData/>
  </xdr:twoCellAnchor>
  <xdr:twoCellAnchor>
    <xdr:from>
      <xdr:col>0</xdr:col>
      <xdr:colOff>0</xdr:colOff>
      <xdr:row>0</xdr:row>
      <xdr:rowOff>123825</xdr:rowOff>
    </xdr:from>
    <xdr:to>
      <xdr:col>2</xdr:col>
      <xdr:colOff>1428750</xdr:colOff>
      <xdr:row>2</xdr:row>
      <xdr:rowOff>186601</xdr:rowOff>
    </xdr:to>
    <xdr:sp macro="" textlink="">
      <xdr:nvSpPr>
        <xdr:cNvPr id="4" name="Google Shape;85;g2e4f83b35c5_0_6">
          <a:extLst>
            <a:ext uri="{FF2B5EF4-FFF2-40B4-BE49-F238E27FC236}">
              <a16:creationId xmlns:a16="http://schemas.microsoft.com/office/drawing/2014/main" id="{6D1C8DED-914E-4994-992E-94C488DCA285}"/>
            </a:ext>
          </a:extLst>
        </xdr:cNvPr>
        <xdr:cNvSpPr txBox="1"/>
      </xdr:nvSpPr>
      <xdr:spPr>
        <a:xfrm>
          <a:off x="0" y="123825"/>
          <a:ext cx="3476625" cy="443776"/>
        </a:xfrm>
        <a:prstGeom prst="rect">
          <a:avLst/>
        </a:prstGeom>
        <a:solidFill>
          <a:schemeClr val="bg2"/>
        </a:solidFill>
        <a:ln>
          <a:noFill/>
        </a:ln>
      </xdr:spPr>
      <xdr:txBody>
        <a:bodyPr spcFirstLastPara="1" wrap="square" lIns="0" tIns="12700" rIns="0" bIns="0" anchor="t" anchorCtr="0">
          <a:sp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marR="0" lvl="0" indent="0" algn="l" rtl="0">
            <a:lnSpc>
              <a:spcPct val="100000"/>
            </a:lnSpc>
            <a:spcBef>
              <a:spcPts val="0"/>
            </a:spcBef>
            <a:spcAft>
              <a:spcPts val="0"/>
            </a:spcAft>
            <a:buClr>
              <a:schemeClr val="dk1"/>
            </a:buClr>
            <a:buSzPts val="1100"/>
            <a:buFont typeface="Arial"/>
            <a:buNone/>
          </a:pPr>
          <a:r>
            <a:rPr lang="en-US" sz="2800" b="1" i="0" u="none" strike="noStrike" cap="none">
              <a:solidFill>
                <a:schemeClr val="tx1"/>
              </a:solidFill>
              <a:latin typeface="Roboto"/>
              <a:ea typeface="Roboto"/>
              <a:cs typeface="Roboto"/>
              <a:sym typeface="Roboto"/>
            </a:rPr>
            <a:t>Premium</a:t>
          </a:r>
          <a:r>
            <a:rPr lang="en-US" sz="2800" b="1" i="0" u="none" strike="noStrike" cap="none" baseline="0">
              <a:solidFill>
                <a:schemeClr val="tx1"/>
              </a:solidFill>
              <a:latin typeface="Roboto"/>
              <a:ea typeface="Roboto"/>
              <a:cs typeface="Roboto"/>
              <a:sym typeface="Roboto"/>
            </a:rPr>
            <a:t> dan diskon</a:t>
          </a:r>
          <a:endParaRPr sz="2800" b="1" i="0" u="none" strike="noStrike" cap="none">
            <a:solidFill>
              <a:schemeClr val="tx1"/>
            </a:solidFill>
            <a:latin typeface="Roboto"/>
            <a:ea typeface="Roboto"/>
            <a:cs typeface="Roboto"/>
            <a:sym typeface="Roboto"/>
          </a:endParaRPr>
        </a:p>
      </xdr:txBody>
    </xdr:sp>
    <xdr:clientData/>
  </xdr:twoCellAnchor>
</xdr:wsDr>
</file>

<file path=xl/drawings/drawing14.xml><?xml version="1.0" encoding="utf-8"?>
<xdr:wsDr xmlns:xdr="http://schemas.openxmlformats.org/drawingml/2006/spreadsheetDrawing" xmlns:a="http://schemas.openxmlformats.org/drawingml/2006/main">
  <xdr:twoCellAnchor>
    <xdr:from>
      <xdr:col>0</xdr:col>
      <xdr:colOff>0</xdr:colOff>
      <xdr:row>3</xdr:row>
      <xdr:rowOff>28575</xdr:rowOff>
    </xdr:from>
    <xdr:to>
      <xdr:col>8</xdr:col>
      <xdr:colOff>428400</xdr:colOff>
      <xdr:row>17</xdr:row>
      <xdr:rowOff>85724</xdr:rowOff>
    </xdr:to>
    <xdr:sp macro="" textlink="">
      <xdr:nvSpPr>
        <xdr:cNvPr id="3" name="Google Shape;87;p15">
          <a:extLst>
            <a:ext uri="{FF2B5EF4-FFF2-40B4-BE49-F238E27FC236}">
              <a16:creationId xmlns:a16="http://schemas.microsoft.com/office/drawing/2014/main" id="{4E714391-4BB6-090B-D3B3-67D5B64F56EC}"/>
            </a:ext>
          </a:extLst>
        </xdr:cNvPr>
        <xdr:cNvSpPr txBox="1"/>
      </xdr:nvSpPr>
      <xdr:spPr>
        <a:xfrm>
          <a:off x="0" y="600075"/>
          <a:ext cx="9210450" cy="2724149"/>
        </a:xfrm>
        <a:prstGeom prst="rect">
          <a:avLst/>
        </a:prstGeom>
        <a:solidFill>
          <a:schemeClr val="bg2"/>
        </a:solidFill>
        <a:ln>
          <a:noFill/>
        </a:ln>
      </xdr:spPr>
      <xdr:txBody>
        <a:bodyPr spcFirstLastPara="1" wrap="square" lIns="91425" tIns="91425" rIns="91425" bIns="91425" anchor="ctr" anchorCtr="0">
          <a:no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lvl="0" indent="0" algn="l" rtl="0">
            <a:lnSpc>
              <a:spcPct val="115000"/>
            </a:lnSpc>
            <a:spcBef>
              <a:spcPts val="0"/>
            </a:spcBef>
            <a:spcAft>
              <a:spcPts val="0"/>
            </a:spcAft>
            <a:buClr>
              <a:schemeClr val="dk1"/>
            </a:buClr>
            <a:buSzPts val="1100"/>
            <a:buFont typeface="Arial"/>
            <a:buNone/>
          </a:pPr>
          <a:r>
            <a:rPr lang="id" sz="1300">
              <a:solidFill>
                <a:schemeClr val="dk1"/>
              </a:solidFill>
              <a:latin typeface="Roboto"/>
              <a:ea typeface="Roboto"/>
              <a:cs typeface="Roboto"/>
              <a:sym typeface="Roboto"/>
            </a:rPr>
            <a:t>PT ABF menukarkan sejumlah mobil bekasnya ditambah kas untuk memperoleh sebidang tanah kosong sebagai tempat pabrik barunya dimasa mendatang. Mobil mempunyai nilai buku gabungan Rp 64.000.000 yang terdiri dari harga perolehan mobil Rp 100.000.000 dan akumulasi penyusutan truk Rp 36.000.000.</a:t>
          </a:r>
          <a:endParaRPr sz="1300">
            <a:solidFill>
              <a:schemeClr val="dk1"/>
            </a:solidFill>
            <a:latin typeface="Roboto"/>
            <a:ea typeface="Roboto"/>
            <a:cs typeface="Roboto"/>
            <a:sym typeface="Roboto"/>
          </a:endParaRPr>
        </a:p>
        <a:p>
          <a:pPr marL="0" lvl="0" indent="0" algn="l" rtl="0">
            <a:lnSpc>
              <a:spcPct val="115000"/>
            </a:lnSpc>
            <a:spcBef>
              <a:spcPts val="1000"/>
            </a:spcBef>
            <a:spcAft>
              <a:spcPts val="0"/>
            </a:spcAft>
            <a:buClr>
              <a:schemeClr val="dk1"/>
            </a:buClr>
            <a:buSzPts val="1100"/>
            <a:buFont typeface="Arial"/>
            <a:buNone/>
          </a:pPr>
          <a:r>
            <a:rPr lang="id" sz="1300">
              <a:solidFill>
                <a:schemeClr val="dk1"/>
              </a:solidFill>
              <a:latin typeface="Roboto"/>
              <a:ea typeface="Roboto"/>
              <a:cs typeface="Roboto"/>
              <a:sym typeface="Roboto"/>
            </a:rPr>
            <a:t>Berdasarkan pihak yang ahli dalam mobil bekas menyatakan bahwa nilai wajar (harga pasar) mobil tersebut sebesar Rp 50.000.000 Selain mobil, PT ABF juga harus menyerahkan sejumlah kas senilai Rp 25.000.000 tunai untuk memperoleh tanah tersebut.</a:t>
          </a:r>
          <a:endParaRPr sz="1300">
            <a:solidFill>
              <a:schemeClr val="dk1"/>
            </a:solidFill>
            <a:latin typeface="Roboto"/>
            <a:ea typeface="Roboto"/>
            <a:cs typeface="Roboto"/>
            <a:sym typeface="Roboto"/>
          </a:endParaRPr>
        </a:p>
        <a:p>
          <a:pPr marL="179999" lvl="0" indent="-177800" algn="l" rtl="0">
            <a:lnSpc>
              <a:spcPct val="115000"/>
            </a:lnSpc>
            <a:spcBef>
              <a:spcPts val="1000"/>
            </a:spcBef>
            <a:spcAft>
              <a:spcPts val="0"/>
            </a:spcAft>
            <a:buClr>
              <a:schemeClr val="dk1"/>
            </a:buClr>
            <a:buSzPts val="1300"/>
            <a:buFont typeface="Roboto"/>
            <a:buChar char="●"/>
          </a:pPr>
          <a:r>
            <a:rPr lang="id" sz="1300">
              <a:solidFill>
                <a:schemeClr val="dk1"/>
              </a:solidFill>
              <a:latin typeface="Roboto"/>
              <a:ea typeface="Roboto"/>
              <a:cs typeface="Roboto"/>
              <a:sym typeface="Roboto"/>
            </a:rPr>
            <a:t>Hitung berapa besar harga perolehan tanah</a:t>
          </a:r>
          <a:endParaRPr sz="1300">
            <a:solidFill>
              <a:schemeClr val="dk1"/>
            </a:solidFill>
            <a:latin typeface="Roboto"/>
            <a:ea typeface="Roboto"/>
            <a:cs typeface="Roboto"/>
            <a:sym typeface="Roboto"/>
          </a:endParaRPr>
        </a:p>
        <a:p>
          <a:pPr marL="179999" lvl="0" indent="-177800" algn="l" rtl="0">
            <a:lnSpc>
              <a:spcPct val="115000"/>
            </a:lnSpc>
            <a:spcBef>
              <a:spcPts val="0"/>
            </a:spcBef>
            <a:spcAft>
              <a:spcPts val="0"/>
            </a:spcAft>
            <a:buClr>
              <a:schemeClr val="dk1"/>
            </a:buClr>
            <a:buSzPts val="1300"/>
            <a:buFont typeface="Roboto"/>
            <a:buChar char="●"/>
          </a:pPr>
          <a:r>
            <a:rPr lang="id" sz="1300">
              <a:solidFill>
                <a:schemeClr val="dk1"/>
              </a:solidFill>
              <a:latin typeface="Roboto"/>
              <a:ea typeface="Roboto"/>
              <a:cs typeface="Roboto"/>
              <a:sym typeface="Roboto"/>
            </a:rPr>
            <a:t>Hitung berapa besar keuntungan/kerugian yang akan dialami oleh PT ABF dalam transaksi pertukaran tersebut</a:t>
          </a:r>
          <a:endParaRPr sz="1300">
            <a:solidFill>
              <a:schemeClr val="dk1"/>
            </a:solidFill>
            <a:latin typeface="Roboto"/>
            <a:ea typeface="Roboto"/>
            <a:cs typeface="Roboto"/>
            <a:sym typeface="Roboto"/>
          </a:endParaRPr>
        </a:p>
        <a:p>
          <a:pPr marL="179999" lvl="0" indent="-177800" algn="l" rtl="0">
            <a:lnSpc>
              <a:spcPct val="115000"/>
            </a:lnSpc>
            <a:spcBef>
              <a:spcPts val="0"/>
            </a:spcBef>
            <a:spcAft>
              <a:spcPts val="0"/>
            </a:spcAft>
            <a:buClr>
              <a:schemeClr val="dk1"/>
            </a:buClr>
            <a:buSzPts val="1300"/>
            <a:buFont typeface="Roboto"/>
            <a:buChar char="●"/>
          </a:pPr>
          <a:r>
            <a:rPr lang="id" sz="1300">
              <a:solidFill>
                <a:schemeClr val="dk1"/>
              </a:solidFill>
              <a:latin typeface="Roboto"/>
              <a:ea typeface="Roboto"/>
              <a:cs typeface="Roboto"/>
              <a:sym typeface="Roboto"/>
            </a:rPr>
            <a:t>Buat jurnal pertukaran tersebut.</a:t>
          </a:r>
          <a:endParaRPr sz="1300">
            <a:solidFill>
              <a:schemeClr val="dk1"/>
            </a:solidFill>
            <a:latin typeface="Roboto"/>
            <a:ea typeface="Roboto"/>
            <a:cs typeface="Roboto"/>
            <a:sym typeface="Roboto"/>
          </a:endParaRPr>
        </a:p>
      </xdr:txBody>
    </xdr:sp>
    <xdr:clientData/>
  </xdr:twoCellAnchor>
  <xdr:twoCellAnchor>
    <xdr:from>
      <xdr:col>0</xdr:col>
      <xdr:colOff>0</xdr:colOff>
      <xdr:row>0</xdr:row>
      <xdr:rowOff>19050</xdr:rowOff>
    </xdr:from>
    <xdr:to>
      <xdr:col>5</xdr:col>
      <xdr:colOff>85725</xdr:colOff>
      <xdr:row>2</xdr:row>
      <xdr:rowOff>143317</xdr:rowOff>
    </xdr:to>
    <xdr:sp macro="" textlink="">
      <xdr:nvSpPr>
        <xdr:cNvPr id="7" name="TextBox 4">
          <a:extLst>
            <a:ext uri="{FF2B5EF4-FFF2-40B4-BE49-F238E27FC236}">
              <a16:creationId xmlns:a16="http://schemas.microsoft.com/office/drawing/2014/main" id="{5092D306-C185-4561-CA99-B8F371E6EF8D}"/>
            </a:ext>
          </a:extLst>
        </xdr:cNvPr>
        <xdr:cNvSpPr txBox="1"/>
      </xdr:nvSpPr>
      <xdr:spPr>
        <a:xfrm>
          <a:off x="0" y="19050"/>
          <a:ext cx="7038975" cy="505267"/>
        </a:xfrm>
        <a:prstGeom prst="rect">
          <a:avLst/>
        </a:prstGeom>
        <a:solidFill>
          <a:schemeClr val="bg2"/>
        </a:solidFill>
      </xdr:spPr>
      <xdr:txBody>
        <a:bodyPr wrap="square" rtlCol="0">
          <a:sp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r>
            <a:rPr lang="en-US" sz="2800" b="1">
              <a:solidFill>
                <a:schemeClr val="tx1"/>
              </a:solidFill>
            </a:rPr>
            <a:t>Fixed</a:t>
          </a:r>
          <a:r>
            <a:rPr lang="en-US" sz="2800" b="1" baseline="0">
              <a:solidFill>
                <a:schemeClr val="tx1"/>
              </a:solidFill>
            </a:rPr>
            <a:t> asset, </a:t>
          </a:r>
          <a:r>
            <a:rPr lang="en-US" sz="2800" b="1">
              <a:solidFill>
                <a:schemeClr val="tx1"/>
              </a:solidFill>
            </a:rPr>
            <a:t>Kerugian Pertukaran Tanah</a:t>
          </a:r>
          <a:endParaRPr lang="en-ID" sz="2800" b="1">
            <a:solidFill>
              <a:schemeClr val="tx1"/>
            </a:solidFill>
          </a:endParaRPr>
        </a:p>
      </xdr:txBody>
    </xdr:sp>
    <xdr:clientData/>
  </xdr:twoCellAnchor>
</xdr:wsDr>
</file>

<file path=xl/drawings/drawing15.xml><?xml version="1.0" encoding="utf-8"?>
<xdr:wsDr xmlns:xdr="http://schemas.openxmlformats.org/drawingml/2006/spreadsheetDrawing" xmlns:a="http://schemas.openxmlformats.org/drawingml/2006/main">
  <xdr:twoCellAnchor>
    <xdr:from>
      <xdr:col>0</xdr:col>
      <xdr:colOff>9526</xdr:colOff>
      <xdr:row>0</xdr:row>
      <xdr:rowOff>28575</xdr:rowOff>
    </xdr:from>
    <xdr:to>
      <xdr:col>4</xdr:col>
      <xdr:colOff>171450</xdr:colOff>
      <xdr:row>2</xdr:row>
      <xdr:rowOff>91351</xdr:rowOff>
    </xdr:to>
    <xdr:sp macro="" textlink="">
      <xdr:nvSpPr>
        <xdr:cNvPr id="5" name="Google Shape;108;p16">
          <a:extLst>
            <a:ext uri="{FF2B5EF4-FFF2-40B4-BE49-F238E27FC236}">
              <a16:creationId xmlns:a16="http://schemas.microsoft.com/office/drawing/2014/main" id="{08815FB7-33D6-F1ED-A7E7-B3B9E67C723F}"/>
            </a:ext>
          </a:extLst>
        </xdr:cNvPr>
        <xdr:cNvSpPr txBox="1"/>
      </xdr:nvSpPr>
      <xdr:spPr>
        <a:xfrm>
          <a:off x="9526" y="28575"/>
          <a:ext cx="5276849" cy="443776"/>
        </a:xfrm>
        <a:prstGeom prst="rect">
          <a:avLst/>
        </a:prstGeom>
        <a:solidFill>
          <a:schemeClr val="bg2"/>
        </a:solidFill>
        <a:ln>
          <a:noFill/>
        </a:ln>
      </xdr:spPr>
      <xdr:txBody>
        <a:bodyPr spcFirstLastPara="1" wrap="square" lIns="0" tIns="12700" rIns="0" bIns="0" anchor="t" anchorCtr="0">
          <a:sp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12700" lvl="0" indent="0" algn="l" rtl="0">
            <a:spcBef>
              <a:spcPts val="0"/>
            </a:spcBef>
            <a:spcAft>
              <a:spcPts val="0"/>
            </a:spcAft>
            <a:buClr>
              <a:schemeClr val="dk1"/>
            </a:buClr>
            <a:buSzPts val="1100"/>
            <a:buFont typeface="Arial"/>
            <a:buNone/>
          </a:pPr>
          <a:r>
            <a:rPr lang="id" sz="2800" b="1">
              <a:solidFill>
                <a:schemeClr val="tx1"/>
              </a:solidFill>
              <a:latin typeface="Roboto"/>
              <a:ea typeface="Roboto"/>
              <a:cs typeface="Roboto"/>
              <a:sym typeface="Roboto"/>
            </a:rPr>
            <a:t>Pertukaran Aktiva Tetap Sejenis</a:t>
          </a:r>
          <a:endParaRPr sz="2800" b="1">
            <a:solidFill>
              <a:schemeClr val="tx1"/>
            </a:solidFill>
            <a:latin typeface="Roboto"/>
            <a:ea typeface="Roboto"/>
            <a:cs typeface="Roboto"/>
            <a:sym typeface="Roboto"/>
          </a:endParaRPr>
        </a:p>
      </xdr:txBody>
    </xdr:sp>
    <xdr:clientData/>
  </xdr:twoCellAnchor>
  <xdr:twoCellAnchor>
    <xdr:from>
      <xdr:col>0</xdr:col>
      <xdr:colOff>0</xdr:colOff>
      <xdr:row>3</xdr:row>
      <xdr:rowOff>114300</xdr:rowOff>
    </xdr:from>
    <xdr:to>
      <xdr:col>7</xdr:col>
      <xdr:colOff>247650</xdr:colOff>
      <xdr:row>18</xdr:row>
      <xdr:rowOff>142875</xdr:rowOff>
    </xdr:to>
    <xdr:sp macro="" textlink="">
      <xdr:nvSpPr>
        <xdr:cNvPr id="13" name="Google Shape;109;p16">
          <a:extLst>
            <a:ext uri="{FF2B5EF4-FFF2-40B4-BE49-F238E27FC236}">
              <a16:creationId xmlns:a16="http://schemas.microsoft.com/office/drawing/2014/main" id="{E7B91B4E-028F-DFFE-ED3F-F03CB1DBEBB1}"/>
            </a:ext>
          </a:extLst>
        </xdr:cNvPr>
        <xdr:cNvSpPr txBox="1"/>
      </xdr:nvSpPr>
      <xdr:spPr>
        <a:xfrm>
          <a:off x="0" y="685800"/>
          <a:ext cx="9191625" cy="2886075"/>
        </a:xfrm>
        <a:prstGeom prst="rect">
          <a:avLst/>
        </a:prstGeom>
        <a:solidFill>
          <a:schemeClr val="bg2"/>
        </a:solidFill>
        <a:ln>
          <a:noFill/>
        </a:ln>
      </xdr:spPr>
      <xdr:txBody>
        <a:bodyPr spcFirstLastPara="1" wrap="square" lIns="91425" tIns="91425" rIns="91425" bIns="91425" anchor="ctr" anchorCtr="0">
          <a:no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lvl="0" indent="0" algn="l" rtl="0">
            <a:lnSpc>
              <a:spcPct val="115000"/>
            </a:lnSpc>
            <a:spcBef>
              <a:spcPts val="0"/>
            </a:spcBef>
            <a:spcAft>
              <a:spcPts val="0"/>
            </a:spcAft>
            <a:buClr>
              <a:schemeClr val="dk1"/>
            </a:buClr>
            <a:buSzPts val="1100"/>
            <a:buFont typeface="Arial"/>
            <a:buNone/>
          </a:pPr>
          <a:r>
            <a:rPr lang="id" sz="1300">
              <a:solidFill>
                <a:schemeClr val="dk1"/>
              </a:solidFill>
              <a:latin typeface="Roboto"/>
              <a:ea typeface="Roboto"/>
              <a:cs typeface="Roboto"/>
              <a:sym typeface="Roboto"/>
            </a:rPr>
            <a:t>PT Raja Sistem melakukan pertukaran aktiva tetapnya terdiri dari laptop bekas menjadi laptop baru. Harga perolehan laptop bekas Rp 30.000.000 akumulasi penyusutan Rp 12.000.000 Setelah berkonsultasi dengan yang ahli terhadap laptop &amp; komputer bahwa ditetapkan harga pasar laptop bekas sebesar Rp 14.000.000. </a:t>
          </a:r>
          <a:endParaRPr sz="1300">
            <a:solidFill>
              <a:schemeClr val="dk1"/>
            </a:solidFill>
            <a:latin typeface="Roboto"/>
            <a:ea typeface="Roboto"/>
            <a:cs typeface="Roboto"/>
            <a:sym typeface="Roboto"/>
          </a:endParaRPr>
        </a:p>
        <a:p>
          <a:pPr marL="0" lvl="0" indent="0" algn="l" rtl="0">
            <a:lnSpc>
              <a:spcPct val="115000"/>
            </a:lnSpc>
            <a:spcBef>
              <a:spcPts val="1000"/>
            </a:spcBef>
            <a:spcAft>
              <a:spcPts val="0"/>
            </a:spcAft>
            <a:buClr>
              <a:schemeClr val="dk1"/>
            </a:buClr>
            <a:buSzPts val="1100"/>
            <a:buFont typeface="Arial"/>
            <a:buNone/>
          </a:pPr>
          <a:r>
            <a:rPr lang="id" sz="1300">
              <a:solidFill>
                <a:schemeClr val="dk1"/>
              </a:solidFill>
              <a:latin typeface="Roboto"/>
              <a:ea typeface="Roboto"/>
              <a:cs typeface="Roboto"/>
              <a:sym typeface="Roboto"/>
            </a:rPr>
            <a:t>Sedangkan laptop baru berdasarkan harga katalog yang ada di toko laptop tersebut sebesar Rp 35.000.000 Dalam tawar menawar (Trade-In Allowance) dengan pihak toko disepakati harga laptop PT Raja Sistem adalah sebesar Rp 17.000.000.</a:t>
          </a:r>
          <a:endParaRPr sz="1300">
            <a:solidFill>
              <a:schemeClr val="dk1"/>
            </a:solidFill>
            <a:latin typeface="Roboto"/>
            <a:ea typeface="Roboto"/>
            <a:cs typeface="Roboto"/>
            <a:sym typeface="Roboto"/>
          </a:endParaRPr>
        </a:p>
        <a:p>
          <a:pPr marL="0" lvl="0" indent="0" algn="l" rtl="0">
            <a:lnSpc>
              <a:spcPct val="115000"/>
            </a:lnSpc>
            <a:spcBef>
              <a:spcPts val="1000"/>
            </a:spcBef>
            <a:spcAft>
              <a:spcPts val="0"/>
            </a:spcAft>
            <a:buClr>
              <a:schemeClr val="dk1"/>
            </a:buClr>
            <a:buSzPts val="1100"/>
            <a:buFont typeface="Arial"/>
            <a:buNone/>
          </a:pPr>
          <a:r>
            <a:rPr lang="id" sz="1300" b="1">
              <a:solidFill>
                <a:schemeClr val="dk1"/>
              </a:solidFill>
              <a:latin typeface="Roboto"/>
              <a:ea typeface="Roboto"/>
              <a:cs typeface="Roboto"/>
              <a:sym typeface="Roboto"/>
            </a:rPr>
            <a:t>Diminta :</a:t>
          </a:r>
          <a:endParaRPr sz="1300" b="1">
            <a:solidFill>
              <a:schemeClr val="dk1"/>
            </a:solidFill>
            <a:latin typeface="Roboto"/>
            <a:ea typeface="Roboto"/>
            <a:cs typeface="Roboto"/>
            <a:sym typeface="Roboto"/>
          </a:endParaRPr>
        </a:p>
        <a:p>
          <a:pPr marL="179999" lvl="0" indent="-177800" algn="l" rtl="0">
            <a:lnSpc>
              <a:spcPct val="115000"/>
            </a:lnSpc>
            <a:spcBef>
              <a:spcPts val="1000"/>
            </a:spcBef>
            <a:spcAft>
              <a:spcPts val="0"/>
            </a:spcAft>
            <a:buClr>
              <a:schemeClr val="dk1"/>
            </a:buClr>
            <a:buSzPts val="1300"/>
            <a:buFont typeface="Roboto"/>
            <a:buChar char="●"/>
          </a:pPr>
          <a:r>
            <a:rPr lang="id" sz="1300">
              <a:solidFill>
                <a:schemeClr val="dk1"/>
              </a:solidFill>
              <a:latin typeface="Roboto"/>
              <a:ea typeface="Roboto"/>
              <a:cs typeface="Roboto"/>
              <a:sym typeface="Roboto"/>
            </a:rPr>
            <a:t>Hitung nilai buku laptop bekas dan harga perolehan laptop baru</a:t>
          </a:r>
          <a:endParaRPr sz="1300">
            <a:solidFill>
              <a:schemeClr val="dk1"/>
            </a:solidFill>
            <a:latin typeface="Roboto"/>
            <a:ea typeface="Roboto"/>
            <a:cs typeface="Roboto"/>
            <a:sym typeface="Roboto"/>
          </a:endParaRPr>
        </a:p>
        <a:p>
          <a:pPr marL="179999" lvl="0" indent="-177800" algn="l" rtl="0">
            <a:lnSpc>
              <a:spcPct val="115000"/>
            </a:lnSpc>
            <a:spcBef>
              <a:spcPts val="0"/>
            </a:spcBef>
            <a:spcAft>
              <a:spcPts val="0"/>
            </a:spcAft>
            <a:buClr>
              <a:schemeClr val="dk1"/>
            </a:buClr>
            <a:buSzPts val="1300"/>
            <a:buFont typeface="Roboto"/>
            <a:buChar char="●"/>
          </a:pPr>
          <a:r>
            <a:rPr lang="id" sz="1300">
              <a:solidFill>
                <a:schemeClr val="dk1"/>
              </a:solidFill>
              <a:latin typeface="Roboto"/>
              <a:ea typeface="Roboto"/>
              <a:cs typeface="Roboto"/>
              <a:sym typeface="Roboto"/>
            </a:rPr>
            <a:t>Hitung berapa besar kerugian pertukaran laptop bekas</a:t>
          </a:r>
          <a:endParaRPr sz="1300">
            <a:solidFill>
              <a:schemeClr val="dk1"/>
            </a:solidFill>
            <a:latin typeface="Roboto"/>
            <a:ea typeface="Roboto"/>
            <a:cs typeface="Roboto"/>
            <a:sym typeface="Roboto"/>
          </a:endParaRPr>
        </a:p>
        <a:p>
          <a:pPr marL="179999" lvl="0" indent="-177800" algn="l" rtl="0">
            <a:lnSpc>
              <a:spcPct val="115000"/>
            </a:lnSpc>
            <a:spcBef>
              <a:spcPts val="0"/>
            </a:spcBef>
            <a:spcAft>
              <a:spcPts val="0"/>
            </a:spcAft>
            <a:buClr>
              <a:schemeClr val="dk1"/>
            </a:buClr>
            <a:buSzPts val="1300"/>
            <a:buFont typeface="Roboto"/>
            <a:buChar char="●"/>
          </a:pPr>
          <a:r>
            <a:rPr lang="id" sz="1300">
              <a:solidFill>
                <a:schemeClr val="dk1"/>
              </a:solidFill>
              <a:latin typeface="Roboto"/>
              <a:ea typeface="Roboto"/>
              <a:cs typeface="Roboto"/>
              <a:sym typeface="Roboto"/>
            </a:rPr>
            <a:t>Buatlah jurnal atas pertukaran tersebut.</a:t>
          </a:r>
          <a:endParaRPr sz="1300">
            <a:solidFill>
              <a:schemeClr val="dk1"/>
            </a:solidFill>
            <a:latin typeface="Roboto"/>
            <a:ea typeface="Roboto"/>
            <a:cs typeface="Roboto"/>
            <a:sym typeface="Roboto"/>
          </a:endParaRPr>
        </a:p>
      </xdr:txBody>
    </xdr:sp>
    <xdr:clientData/>
  </xdr:twoCellAnchor>
</xdr:wsDr>
</file>

<file path=xl/drawings/drawing16.xml><?xml version="1.0" encoding="utf-8"?>
<xdr:wsDr xmlns:xdr="http://schemas.openxmlformats.org/drawingml/2006/spreadsheetDrawing" xmlns:a="http://schemas.openxmlformats.org/drawingml/2006/main">
  <xdr:twoCellAnchor>
    <xdr:from>
      <xdr:col>0</xdr:col>
      <xdr:colOff>76200</xdr:colOff>
      <xdr:row>3</xdr:row>
      <xdr:rowOff>28575</xdr:rowOff>
    </xdr:from>
    <xdr:to>
      <xdr:col>8</xdr:col>
      <xdr:colOff>504600</xdr:colOff>
      <xdr:row>18</xdr:row>
      <xdr:rowOff>104775</xdr:rowOff>
    </xdr:to>
    <xdr:sp macro="" textlink="">
      <xdr:nvSpPr>
        <xdr:cNvPr id="3" name="Google Shape;132;p17">
          <a:extLst>
            <a:ext uri="{FF2B5EF4-FFF2-40B4-BE49-F238E27FC236}">
              <a16:creationId xmlns:a16="http://schemas.microsoft.com/office/drawing/2014/main" id="{5C7C066D-9503-8D1F-32FF-CCBF926A7FFE}"/>
            </a:ext>
          </a:extLst>
        </xdr:cNvPr>
        <xdr:cNvSpPr txBox="1"/>
      </xdr:nvSpPr>
      <xdr:spPr>
        <a:xfrm>
          <a:off x="76200" y="600075"/>
          <a:ext cx="8429400" cy="2933700"/>
        </a:xfrm>
        <a:prstGeom prst="rect">
          <a:avLst/>
        </a:prstGeom>
        <a:solidFill>
          <a:schemeClr val="bg2"/>
        </a:solidFill>
        <a:ln>
          <a:noFill/>
        </a:ln>
      </xdr:spPr>
      <xdr:txBody>
        <a:bodyPr spcFirstLastPara="1" wrap="square" lIns="91425" tIns="91425" rIns="91425" bIns="91425" anchor="ctr" anchorCtr="0">
          <a:no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lvl="0" indent="0" algn="l" rtl="0">
            <a:lnSpc>
              <a:spcPct val="115000"/>
            </a:lnSpc>
            <a:spcBef>
              <a:spcPts val="0"/>
            </a:spcBef>
            <a:spcAft>
              <a:spcPts val="0"/>
            </a:spcAft>
            <a:buClr>
              <a:srgbClr val="000000"/>
            </a:buClr>
            <a:buSzPts val="1100"/>
            <a:buFont typeface="Arial"/>
            <a:buNone/>
          </a:pPr>
          <a:r>
            <a:rPr lang="id" sz="1300">
              <a:solidFill>
                <a:srgbClr val="000000"/>
              </a:solidFill>
              <a:latin typeface="Roboto"/>
              <a:ea typeface="Roboto"/>
              <a:cs typeface="Roboto"/>
              <a:sym typeface="Roboto"/>
            </a:rPr>
            <a:t>Pada awal tahun 2015, PT. Banyak Karya membeli sebuah mesin dengan harga perolehan Rp. 100.000.000 dengan umur ekonomisnya 10 tahun. Nilai residu Rp. 10.000.000 dan metode penyusutan yang digunakan adalah garis lurus. Kemudian pada tanggal 1 Juli 2022, PT. Banyak Karya melakukan perbaikan atas mesin tersebut dengan biaya yang dikeluarkan Rp 27.500.000 dan diprediksi akan menambah umur ekonomi 1,5 tahun.</a:t>
          </a:r>
          <a:endParaRPr sz="1300">
            <a:solidFill>
              <a:srgbClr val="000000"/>
            </a:solidFill>
            <a:latin typeface="Roboto"/>
            <a:ea typeface="Roboto"/>
            <a:cs typeface="Roboto"/>
            <a:sym typeface="Roboto"/>
          </a:endParaRPr>
        </a:p>
        <a:p>
          <a:pPr marL="0" lvl="0" indent="0" algn="l" rtl="0">
            <a:lnSpc>
              <a:spcPct val="115000"/>
            </a:lnSpc>
            <a:spcBef>
              <a:spcPts val="1000"/>
            </a:spcBef>
            <a:spcAft>
              <a:spcPts val="0"/>
            </a:spcAft>
            <a:buClr>
              <a:srgbClr val="000000"/>
            </a:buClr>
            <a:buSzPts val="1100"/>
            <a:buFont typeface="Arial"/>
            <a:buNone/>
          </a:pPr>
          <a:r>
            <a:rPr lang="id" sz="1300" b="1">
              <a:solidFill>
                <a:srgbClr val="000000"/>
              </a:solidFill>
              <a:latin typeface="Roboto"/>
              <a:ea typeface="Roboto"/>
              <a:cs typeface="Roboto"/>
              <a:sym typeface="Roboto"/>
            </a:rPr>
            <a:t>Diminta :</a:t>
          </a:r>
          <a:endParaRPr sz="1300" b="1">
            <a:solidFill>
              <a:srgbClr val="000000"/>
            </a:solidFill>
            <a:latin typeface="Roboto"/>
            <a:ea typeface="Roboto"/>
            <a:cs typeface="Roboto"/>
            <a:sym typeface="Roboto"/>
          </a:endParaRPr>
        </a:p>
        <a:p>
          <a:pPr marL="179999" lvl="0" indent="-177800" algn="l" rtl="0">
            <a:lnSpc>
              <a:spcPct val="115000"/>
            </a:lnSpc>
            <a:spcBef>
              <a:spcPts val="1000"/>
            </a:spcBef>
            <a:spcAft>
              <a:spcPts val="0"/>
            </a:spcAft>
            <a:buClr>
              <a:srgbClr val="000000"/>
            </a:buClr>
            <a:buSzPts val="1300"/>
            <a:buFont typeface="Roboto"/>
            <a:buChar char="●"/>
          </a:pPr>
          <a:r>
            <a:rPr lang="id" sz="1300">
              <a:solidFill>
                <a:srgbClr val="000000"/>
              </a:solidFill>
              <a:latin typeface="Roboto"/>
              <a:ea typeface="Roboto"/>
              <a:cs typeface="Roboto"/>
              <a:sym typeface="Roboto"/>
            </a:rPr>
            <a:t>Hitung dan buat jurnal penyusutan mesin tersebut</a:t>
          </a:r>
          <a:endParaRPr sz="1300">
            <a:solidFill>
              <a:srgbClr val="000000"/>
            </a:solidFill>
            <a:latin typeface="Roboto"/>
            <a:ea typeface="Roboto"/>
            <a:cs typeface="Roboto"/>
            <a:sym typeface="Roboto"/>
          </a:endParaRPr>
        </a:p>
        <a:p>
          <a:pPr marL="179999" lvl="0" indent="-177800" algn="l" rtl="0">
            <a:lnSpc>
              <a:spcPct val="115000"/>
            </a:lnSpc>
            <a:spcBef>
              <a:spcPts val="0"/>
            </a:spcBef>
            <a:spcAft>
              <a:spcPts val="0"/>
            </a:spcAft>
            <a:buClr>
              <a:srgbClr val="000000"/>
            </a:buClr>
            <a:buSzPts val="1300"/>
            <a:buFont typeface="Roboto"/>
            <a:buChar char="●"/>
          </a:pPr>
          <a:r>
            <a:rPr lang="id" sz="1300">
              <a:solidFill>
                <a:srgbClr val="000000"/>
              </a:solidFill>
              <a:latin typeface="Roboto"/>
              <a:ea typeface="Roboto"/>
              <a:cs typeface="Roboto"/>
              <a:sym typeface="Roboto"/>
            </a:rPr>
            <a:t>Hitung berapa besar nilai buku mesin sebelum dilakukan perbaikan</a:t>
          </a:r>
          <a:endParaRPr sz="1300">
            <a:solidFill>
              <a:srgbClr val="000000"/>
            </a:solidFill>
            <a:latin typeface="Roboto"/>
            <a:ea typeface="Roboto"/>
            <a:cs typeface="Roboto"/>
            <a:sym typeface="Roboto"/>
          </a:endParaRPr>
        </a:p>
        <a:p>
          <a:pPr marL="179999" lvl="0" indent="-177800" algn="l" rtl="0">
            <a:lnSpc>
              <a:spcPct val="115000"/>
            </a:lnSpc>
            <a:spcBef>
              <a:spcPts val="0"/>
            </a:spcBef>
            <a:spcAft>
              <a:spcPts val="0"/>
            </a:spcAft>
            <a:buClr>
              <a:srgbClr val="000000"/>
            </a:buClr>
            <a:buSzPts val="1300"/>
            <a:buFont typeface="Roboto"/>
            <a:buChar char="●"/>
          </a:pPr>
          <a:r>
            <a:rPr lang="id" sz="1300">
              <a:solidFill>
                <a:srgbClr val="000000"/>
              </a:solidFill>
              <a:latin typeface="Roboto"/>
              <a:ea typeface="Roboto"/>
              <a:cs typeface="Roboto"/>
              <a:sym typeface="Roboto"/>
            </a:rPr>
            <a:t>Buatlah jurnal atas pengeluaran dana untuk memperbaiki mesin tersebut</a:t>
          </a:r>
          <a:endParaRPr sz="1300">
            <a:solidFill>
              <a:srgbClr val="000000"/>
            </a:solidFill>
            <a:latin typeface="Roboto"/>
            <a:ea typeface="Roboto"/>
            <a:cs typeface="Roboto"/>
            <a:sym typeface="Roboto"/>
          </a:endParaRPr>
        </a:p>
        <a:p>
          <a:pPr marL="179999" lvl="0" indent="-177800" algn="l" rtl="0">
            <a:lnSpc>
              <a:spcPct val="115000"/>
            </a:lnSpc>
            <a:spcBef>
              <a:spcPts val="0"/>
            </a:spcBef>
            <a:spcAft>
              <a:spcPts val="0"/>
            </a:spcAft>
            <a:buClr>
              <a:srgbClr val="000000"/>
            </a:buClr>
            <a:buSzPts val="1300"/>
            <a:buFont typeface="Roboto"/>
            <a:buChar char="●"/>
          </a:pPr>
          <a:r>
            <a:rPr lang="id" sz="1300">
              <a:solidFill>
                <a:srgbClr val="000000"/>
              </a:solidFill>
              <a:latin typeface="Roboto"/>
              <a:ea typeface="Roboto"/>
              <a:cs typeface="Roboto"/>
              <a:sym typeface="Roboto"/>
            </a:rPr>
            <a:t>Hitung dan buatlah jurnal penyusutan setelah dilakukan perbaikan pada akhir tahun 2022</a:t>
          </a:r>
          <a:endParaRPr sz="1300">
            <a:solidFill>
              <a:srgbClr val="000000"/>
            </a:solidFill>
            <a:latin typeface="Roboto"/>
            <a:ea typeface="Roboto"/>
            <a:cs typeface="Roboto"/>
            <a:sym typeface="Roboto"/>
          </a:endParaRPr>
        </a:p>
        <a:p>
          <a:pPr marL="179999" lvl="0" indent="-177800" algn="l" rtl="0">
            <a:lnSpc>
              <a:spcPct val="115000"/>
            </a:lnSpc>
            <a:spcBef>
              <a:spcPts val="0"/>
            </a:spcBef>
            <a:spcAft>
              <a:spcPts val="0"/>
            </a:spcAft>
            <a:buClr>
              <a:srgbClr val="000000"/>
            </a:buClr>
            <a:buSzPts val="1300"/>
            <a:buFont typeface="Roboto"/>
            <a:buChar char="●"/>
          </a:pPr>
          <a:r>
            <a:rPr lang="id" sz="1300">
              <a:solidFill>
                <a:srgbClr val="000000"/>
              </a:solidFill>
              <a:latin typeface="Roboto"/>
              <a:ea typeface="Roboto"/>
              <a:cs typeface="Roboto"/>
              <a:sym typeface="Roboto"/>
            </a:rPr>
            <a:t>Buatlah jurnal penyusutan pada akhir tahun 2022</a:t>
          </a:r>
          <a:endParaRPr sz="1300">
            <a:solidFill>
              <a:srgbClr val="000000"/>
            </a:solidFill>
            <a:latin typeface="Roboto"/>
            <a:ea typeface="Roboto"/>
            <a:cs typeface="Roboto"/>
            <a:sym typeface="Roboto"/>
          </a:endParaRPr>
        </a:p>
      </xdr:txBody>
    </xdr:sp>
    <xdr:clientData/>
  </xdr:twoCellAnchor>
  <xdr:twoCellAnchor>
    <xdr:from>
      <xdr:col>0</xdr:col>
      <xdr:colOff>104775</xdr:colOff>
      <xdr:row>0</xdr:row>
      <xdr:rowOff>76200</xdr:rowOff>
    </xdr:from>
    <xdr:to>
      <xdr:col>2</xdr:col>
      <xdr:colOff>323850</xdr:colOff>
      <xdr:row>2</xdr:row>
      <xdr:rowOff>138976</xdr:rowOff>
    </xdr:to>
    <xdr:sp macro="" textlink="">
      <xdr:nvSpPr>
        <xdr:cNvPr id="5" name="Google Shape;131;p17">
          <a:extLst>
            <a:ext uri="{FF2B5EF4-FFF2-40B4-BE49-F238E27FC236}">
              <a16:creationId xmlns:a16="http://schemas.microsoft.com/office/drawing/2014/main" id="{26CB4246-60CB-B328-A19A-8665C2305B74}"/>
            </a:ext>
          </a:extLst>
        </xdr:cNvPr>
        <xdr:cNvSpPr txBox="1"/>
      </xdr:nvSpPr>
      <xdr:spPr>
        <a:xfrm>
          <a:off x="104775" y="76200"/>
          <a:ext cx="3629025" cy="443776"/>
        </a:xfrm>
        <a:prstGeom prst="rect">
          <a:avLst/>
        </a:prstGeom>
        <a:solidFill>
          <a:schemeClr val="bg2"/>
        </a:solidFill>
        <a:ln>
          <a:noFill/>
        </a:ln>
      </xdr:spPr>
      <xdr:txBody>
        <a:bodyPr spcFirstLastPara="1" wrap="square" lIns="0" tIns="12700" rIns="0" bIns="0" anchor="t" anchorCtr="0">
          <a:sp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12700" lvl="0" indent="0" algn="l" rtl="0">
            <a:spcBef>
              <a:spcPts val="0"/>
            </a:spcBef>
            <a:spcAft>
              <a:spcPts val="0"/>
            </a:spcAft>
            <a:buClr>
              <a:schemeClr val="dk1"/>
            </a:buClr>
            <a:buSzPts val="1100"/>
            <a:buFont typeface="Arial"/>
            <a:buNone/>
          </a:pPr>
          <a:r>
            <a:rPr lang="id" sz="2800" b="1">
              <a:solidFill>
                <a:schemeClr val="tx1"/>
              </a:solidFill>
              <a:latin typeface="Roboto"/>
              <a:ea typeface="Roboto"/>
              <a:cs typeface="Roboto"/>
              <a:sym typeface="Roboto"/>
            </a:rPr>
            <a:t>Pengeluaran Modal</a:t>
          </a:r>
          <a:endParaRPr sz="2800" b="1">
            <a:solidFill>
              <a:schemeClr val="tx1"/>
            </a:solidFill>
            <a:latin typeface="Roboto"/>
            <a:ea typeface="Roboto"/>
            <a:cs typeface="Roboto"/>
            <a:sym typeface="Roboto"/>
          </a:endParaRPr>
        </a:p>
      </xdr:txBody>
    </xdr:sp>
    <xdr:clientData/>
  </xdr:twoCellAnchor>
</xdr:wsDr>
</file>

<file path=xl/drawings/drawing17.xml><?xml version="1.0" encoding="utf-8"?>
<xdr:wsDr xmlns:xdr="http://schemas.openxmlformats.org/drawingml/2006/spreadsheetDrawing" xmlns:a="http://schemas.openxmlformats.org/drawingml/2006/main">
  <xdr:twoCellAnchor>
    <xdr:from>
      <xdr:col>0</xdr:col>
      <xdr:colOff>0</xdr:colOff>
      <xdr:row>4</xdr:row>
      <xdr:rowOff>57150</xdr:rowOff>
    </xdr:from>
    <xdr:to>
      <xdr:col>11</xdr:col>
      <xdr:colOff>533400</xdr:colOff>
      <xdr:row>10</xdr:row>
      <xdr:rowOff>175575</xdr:rowOff>
    </xdr:to>
    <xdr:sp macro="" textlink="">
      <xdr:nvSpPr>
        <xdr:cNvPr id="10" name="Google Shape;155;p18">
          <a:extLst>
            <a:ext uri="{FF2B5EF4-FFF2-40B4-BE49-F238E27FC236}">
              <a16:creationId xmlns:a16="http://schemas.microsoft.com/office/drawing/2014/main" id="{7DEFB84C-55B2-6849-78C4-6BF133935D28}"/>
            </a:ext>
          </a:extLst>
        </xdr:cNvPr>
        <xdr:cNvSpPr txBox="1"/>
      </xdr:nvSpPr>
      <xdr:spPr>
        <a:xfrm>
          <a:off x="0" y="819150"/>
          <a:ext cx="10982325" cy="1261425"/>
        </a:xfrm>
        <a:prstGeom prst="rect">
          <a:avLst/>
        </a:prstGeom>
        <a:solidFill>
          <a:schemeClr val="bg2"/>
        </a:solidFill>
        <a:ln>
          <a:noFill/>
        </a:ln>
      </xdr:spPr>
      <xdr:txBody>
        <a:bodyPr spcFirstLastPara="1" wrap="square" lIns="91425" tIns="91425" rIns="91425" bIns="91425" anchor="ctr" anchorCtr="0">
          <a:no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lvl="0" indent="0" algn="l" rtl="0">
            <a:lnSpc>
              <a:spcPct val="115000"/>
            </a:lnSpc>
            <a:spcBef>
              <a:spcPts val="0"/>
            </a:spcBef>
            <a:spcAft>
              <a:spcPts val="0"/>
            </a:spcAft>
            <a:buNone/>
          </a:pPr>
          <a:r>
            <a:rPr lang="id" sz="1100">
              <a:solidFill>
                <a:schemeClr val="dk1"/>
              </a:solidFill>
              <a:latin typeface="Roboto"/>
              <a:ea typeface="Roboto"/>
              <a:cs typeface="Roboto"/>
              <a:sym typeface="Roboto"/>
            </a:rPr>
            <a:t>Sebuah mesin produksi diperoleh PT Manufaktur Jaya pada awal tahun 2020, dengan harga pembelian Rp 250.000.000 dan umur ekonomis 5 tahun dan metode penyusutan yang diberikan adalah metode garis lurus. </a:t>
          </a:r>
          <a:endParaRPr sz="1100">
            <a:solidFill>
              <a:schemeClr val="dk1"/>
            </a:solidFill>
            <a:latin typeface="Roboto"/>
            <a:ea typeface="Roboto"/>
            <a:cs typeface="Roboto"/>
            <a:sym typeface="Roboto"/>
          </a:endParaRPr>
        </a:p>
        <a:p>
          <a:pPr marL="0" lvl="0" indent="0" algn="l" rtl="0">
            <a:lnSpc>
              <a:spcPct val="115000"/>
            </a:lnSpc>
            <a:spcBef>
              <a:spcPts val="1000"/>
            </a:spcBef>
            <a:spcAft>
              <a:spcPts val="0"/>
            </a:spcAft>
            <a:buClr>
              <a:schemeClr val="dk1"/>
            </a:buClr>
            <a:buSzPts val="1100"/>
            <a:buFont typeface="Arial"/>
            <a:buNone/>
          </a:pPr>
          <a:r>
            <a:rPr lang="id" sz="1100">
              <a:solidFill>
                <a:schemeClr val="dk1"/>
              </a:solidFill>
              <a:latin typeface="Roboto"/>
              <a:ea typeface="Roboto"/>
              <a:cs typeface="Roboto"/>
              <a:sym typeface="Roboto"/>
            </a:rPr>
            <a:t>Kemudian mesin tersebut dihentikan karena sudah tidak bisa lagi digunakan (rusak berat) pada tanggal 1 Januari 2023. </a:t>
          </a:r>
          <a:endParaRPr sz="1100" b="1">
            <a:solidFill>
              <a:schemeClr val="dk1"/>
            </a:solidFill>
            <a:latin typeface="Roboto"/>
            <a:ea typeface="Roboto"/>
            <a:cs typeface="Roboto"/>
            <a:sym typeface="Roboto"/>
          </a:endParaRPr>
        </a:p>
        <a:p>
          <a:pPr marL="0" lvl="0" indent="0" algn="l" rtl="0">
            <a:lnSpc>
              <a:spcPct val="115000"/>
            </a:lnSpc>
            <a:spcBef>
              <a:spcPts val="1000"/>
            </a:spcBef>
            <a:spcAft>
              <a:spcPts val="1000"/>
            </a:spcAft>
            <a:buNone/>
          </a:pPr>
          <a:r>
            <a:rPr lang="id" sz="1100" b="1">
              <a:solidFill>
                <a:schemeClr val="dk1"/>
              </a:solidFill>
              <a:latin typeface="Roboto"/>
              <a:ea typeface="Roboto"/>
              <a:cs typeface="Roboto"/>
              <a:sym typeface="Roboto"/>
            </a:rPr>
            <a:t>Buatlah jurnal untuk penghentian aktiva tetap tersebut di Google Sheet.</a:t>
          </a:r>
          <a:endParaRPr sz="1100" b="1">
            <a:solidFill>
              <a:schemeClr val="dk1"/>
            </a:solidFill>
            <a:latin typeface="Roboto"/>
            <a:ea typeface="Roboto"/>
            <a:cs typeface="Roboto"/>
            <a:sym typeface="Roboto"/>
          </a:endParaRPr>
        </a:p>
      </xdr:txBody>
    </xdr:sp>
    <xdr:clientData/>
  </xdr:twoCellAnchor>
  <xdr:twoCellAnchor>
    <xdr:from>
      <xdr:col>0</xdr:col>
      <xdr:colOff>0</xdr:colOff>
      <xdr:row>1</xdr:row>
      <xdr:rowOff>38100</xdr:rowOff>
    </xdr:from>
    <xdr:to>
      <xdr:col>1</xdr:col>
      <xdr:colOff>1009650</xdr:colOff>
      <xdr:row>3</xdr:row>
      <xdr:rowOff>100876</xdr:rowOff>
    </xdr:to>
    <xdr:sp macro="" textlink="">
      <xdr:nvSpPr>
        <xdr:cNvPr id="16" name="Google Shape;154;p18">
          <a:extLst>
            <a:ext uri="{FF2B5EF4-FFF2-40B4-BE49-F238E27FC236}">
              <a16:creationId xmlns:a16="http://schemas.microsoft.com/office/drawing/2014/main" id="{F6EA79D4-5674-CD65-B312-35D3B9AB5925}"/>
            </a:ext>
          </a:extLst>
        </xdr:cNvPr>
        <xdr:cNvSpPr txBox="1"/>
      </xdr:nvSpPr>
      <xdr:spPr>
        <a:xfrm>
          <a:off x="0" y="228600"/>
          <a:ext cx="3381375" cy="443776"/>
        </a:xfrm>
        <a:prstGeom prst="rect">
          <a:avLst/>
        </a:prstGeom>
        <a:solidFill>
          <a:schemeClr val="bg2"/>
        </a:solidFill>
        <a:ln>
          <a:noFill/>
        </a:ln>
      </xdr:spPr>
      <xdr:txBody>
        <a:bodyPr spcFirstLastPara="1" wrap="square" lIns="0" tIns="12700" rIns="0" bIns="0" anchor="t" anchorCtr="0">
          <a:sp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12700" lvl="0" indent="0" algn="l" rtl="0">
            <a:spcBef>
              <a:spcPts val="0"/>
            </a:spcBef>
            <a:spcAft>
              <a:spcPts val="0"/>
            </a:spcAft>
            <a:buClr>
              <a:schemeClr val="dk1"/>
            </a:buClr>
            <a:buSzPts val="1100"/>
            <a:buFont typeface="Arial"/>
            <a:buNone/>
          </a:pPr>
          <a:r>
            <a:rPr lang="id" sz="2800" b="1">
              <a:solidFill>
                <a:schemeClr val="tx1"/>
              </a:solidFill>
              <a:latin typeface="Roboto"/>
              <a:ea typeface="Roboto"/>
              <a:cs typeface="Roboto"/>
              <a:sym typeface="Roboto"/>
            </a:rPr>
            <a:t>Pengeluaran Modal</a:t>
          </a:r>
          <a:endParaRPr sz="2800" b="1">
            <a:solidFill>
              <a:schemeClr val="tx1"/>
            </a:solidFill>
            <a:latin typeface="Roboto"/>
            <a:ea typeface="Roboto"/>
            <a:cs typeface="Roboto"/>
            <a:sym typeface="Roboto"/>
          </a:endParaRPr>
        </a:p>
      </xdr:txBody>
    </xdr:sp>
    <xdr:clientData/>
  </xdr:twoCellAnchor>
</xdr:wsDr>
</file>

<file path=xl/drawings/drawing18.xml><?xml version="1.0" encoding="utf-8"?>
<xdr:wsDr xmlns:xdr="http://schemas.openxmlformats.org/drawingml/2006/spreadsheetDrawing" xmlns:a="http://schemas.openxmlformats.org/drawingml/2006/main">
  <xdr:twoCellAnchor>
    <xdr:from>
      <xdr:col>0</xdr:col>
      <xdr:colOff>9524</xdr:colOff>
      <xdr:row>4</xdr:row>
      <xdr:rowOff>9525</xdr:rowOff>
    </xdr:from>
    <xdr:to>
      <xdr:col>7</xdr:col>
      <xdr:colOff>342900</xdr:colOff>
      <xdr:row>12</xdr:row>
      <xdr:rowOff>4124</xdr:rowOff>
    </xdr:to>
    <xdr:sp macro="" textlink="">
      <xdr:nvSpPr>
        <xdr:cNvPr id="5" name="Google Shape;178;p19">
          <a:extLst>
            <a:ext uri="{FF2B5EF4-FFF2-40B4-BE49-F238E27FC236}">
              <a16:creationId xmlns:a16="http://schemas.microsoft.com/office/drawing/2014/main" id="{14106435-54CE-E61D-09FB-D44BA6C16D95}"/>
            </a:ext>
          </a:extLst>
        </xdr:cNvPr>
        <xdr:cNvSpPr txBox="1"/>
      </xdr:nvSpPr>
      <xdr:spPr>
        <a:xfrm>
          <a:off x="9524" y="771525"/>
          <a:ext cx="8496301" cy="1518599"/>
        </a:xfrm>
        <a:prstGeom prst="rect">
          <a:avLst/>
        </a:prstGeom>
        <a:solidFill>
          <a:schemeClr val="bg2"/>
        </a:solidFill>
        <a:ln>
          <a:noFill/>
        </a:ln>
      </xdr:spPr>
      <xdr:txBody>
        <a:bodyPr spcFirstLastPara="1" wrap="square" lIns="91425" tIns="91425" rIns="91425" bIns="91425" anchor="ctr" anchorCtr="0">
          <a:no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lvl="0" indent="0" algn="l" rtl="0">
            <a:lnSpc>
              <a:spcPct val="115000"/>
            </a:lnSpc>
            <a:spcBef>
              <a:spcPts val="0"/>
            </a:spcBef>
            <a:spcAft>
              <a:spcPts val="0"/>
            </a:spcAft>
            <a:buNone/>
          </a:pPr>
          <a:r>
            <a:rPr lang="id" sz="1100">
              <a:solidFill>
                <a:schemeClr val="dk1"/>
              </a:solidFill>
              <a:latin typeface="Roboto"/>
              <a:ea typeface="Roboto"/>
              <a:cs typeface="Roboto"/>
              <a:sym typeface="Roboto"/>
            </a:rPr>
            <a:t>Sebuah kendaraan diperoleh PT. Laju Cepat pada awal tahun 2017, dengan harga pembelian Rp 120.000.000 dan umur ekonomis 10, nilai residu Rp 10.000.000 dan metode penyusutan yang digunakan adalah metode garis lurus. Kemudian kendaraan tersebut dijual tanggal 1 Juli 2019. </a:t>
          </a:r>
          <a:endParaRPr sz="1100">
            <a:solidFill>
              <a:schemeClr val="dk1"/>
            </a:solidFill>
            <a:latin typeface="Roboto"/>
            <a:ea typeface="Roboto"/>
            <a:cs typeface="Roboto"/>
            <a:sym typeface="Roboto"/>
          </a:endParaRPr>
        </a:p>
        <a:p>
          <a:pPr marL="0" lvl="0" indent="0" algn="l" rtl="0">
            <a:lnSpc>
              <a:spcPct val="115000"/>
            </a:lnSpc>
            <a:spcBef>
              <a:spcPts val="1000"/>
            </a:spcBef>
            <a:spcAft>
              <a:spcPts val="1000"/>
            </a:spcAft>
            <a:buNone/>
          </a:pPr>
          <a:r>
            <a:rPr lang="id" sz="1100" b="1">
              <a:solidFill>
                <a:schemeClr val="dk1"/>
              </a:solidFill>
              <a:latin typeface="Roboto"/>
              <a:ea typeface="Roboto"/>
              <a:cs typeface="Roboto"/>
              <a:sym typeface="Roboto"/>
            </a:rPr>
            <a:t>Buatlah jurnal untuk penghentian aktiva tetap tersebut di Google Sheet</a:t>
          </a:r>
          <a:r>
            <a:rPr lang="id" sz="1100">
              <a:solidFill>
                <a:schemeClr val="dk1"/>
              </a:solidFill>
              <a:latin typeface="Roboto"/>
              <a:ea typeface="Roboto"/>
              <a:cs typeface="Roboto"/>
              <a:sym typeface="Roboto"/>
            </a:rPr>
            <a:t> melalui penjualan, apabila harga jual kendaraan tersebut sebesar 87.000.000 dan apabila kendaraan tersebut dijual dengan harga 70.000.000</a:t>
          </a:r>
          <a:endParaRPr sz="1100">
            <a:solidFill>
              <a:schemeClr val="dk1"/>
            </a:solidFill>
            <a:latin typeface="Roboto"/>
            <a:ea typeface="Roboto"/>
            <a:cs typeface="Roboto"/>
            <a:sym typeface="Roboto"/>
          </a:endParaRPr>
        </a:p>
      </xdr:txBody>
    </xdr:sp>
    <xdr:clientData/>
  </xdr:twoCellAnchor>
  <xdr:twoCellAnchor>
    <xdr:from>
      <xdr:col>0</xdr:col>
      <xdr:colOff>114301</xdr:colOff>
      <xdr:row>1</xdr:row>
      <xdr:rowOff>9525</xdr:rowOff>
    </xdr:from>
    <xdr:to>
      <xdr:col>5</xdr:col>
      <xdr:colOff>304800</xdr:colOff>
      <xdr:row>3</xdr:row>
      <xdr:rowOff>72301</xdr:rowOff>
    </xdr:to>
    <xdr:sp macro="" textlink="">
      <xdr:nvSpPr>
        <xdr:cNvPr id="7" name="Google Shape;177;p19">
          <a:extLst>
            <a:ext uri="{FF2B5EF4-FFF2-40B4-BE49-F238E27FC236}">
              <a16:creationId xmlns:a16="http://schemas.microsoft.com/office/drawing/2014/main" id="{5F37558A-0A61-7B75-F24D-F2D5327FA9AB}"/>
            </a:ext>
          </a:extLst>
        </xdr:cNvPr>
        <xdr:cNvSpPr txBox="1"/>
      </xdr:nvSpPr>
      <xdr:spPr>
        <a:xfrm>
          <a:off x="114301" y="200025"/>
          <a:ext cx="7229474" cy="443776"/>
        </a:xfrm>
        <a:prstGeom prst="rect">
          <a:avLst/>
        </a:prstGeom>
        <a:solidFill>
          <a:schemeClr val="bg2"/>
        </a:solidFill>
        <a:ln>
          <a:noFill/>
        </a:ln>
      </xdr:spPr>
      <xdr:txBody>
        <a:bodyPr spcFirstLastPara="1" wrap="square" lIns="0" tIns="12700" rIns="0" bIns="0" anchor="t" anchorCtr="0">
          <a:sp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12700" lvl="0" indent="0" algn="l" rtl="0">
            <a:spcBef>
              <a:spcPts val="0"/>
            </a:spcBef>
            <a:spcAft>
              <a:spcPts val="0"/>
            </a:spcAft>
            <a:buClr>
              <a:schemeClr val="dk1"/>
            </a:buClr>
            <a:buSzPts val="1100"/>
            <a:buFont typeface="Arial"/>
            <a:buNone/>
          </a:pPr>
          <a:r>
            <a:rPr lang="id" sz="2800" b="1">
              <a:solidFill>
                <a:schemeClr val="tx1"/>
              </a:solidFill>
              <a:latin typeface="Roboto"/>
              <a:ea typeface="Roboto"/>
              <a:cs typeface="Roboto"/>
              <a:sym typeface="Roboto"/>
            </a:rPr>
            <a:t>Penghentian Aktiva Tetap Melalui Penjualan</a:t>
          </a:r>
          <a:endParaRPr sz="2800" b="1">
            <a:solidFill>
              <a:schemeClr val="tx1"/>
            </a:solidFill>
            <a:latin typeface="Roboto"/>
            <a:ea typeface="Roboto"/>
            <a:cs typeface="Roboto"/>
            <a:sym typeface="Roboto"/>
          </a:endParaRPr>
        </a:p>
      </xdr:txBody>
    </xdr:sp>
    <xdr:clientData/>
  </xdr:twoCellAnchor>
</xdr:wsDr>
</file>

<file path=xl/drawings/drawing19.xml><?xml version="1.0" encoding="utf-8"?>
<xdr:wsDr xmlns:xdr="http://schemas.openxmlformats.org/drawingml/2006/spreadsheetDrawing" xmlns:a="http://schemas.openxmlformats.org/drawingml/2006/main">
  <xdr:twoCellAnchor>
    <xdr:from>
      <xdr:col>0</xdr:col>
      <xdr:colOff>0</xdr:colOff>
      <xdr:row>5</xdr:row>
      <xdr:rowOff>171450</xdr:rowOff>
    </xdr:from>
    <xdr:to>
      <xdr:col>12</xdr:col>
      <xdr:colOff>200024</xdr:colOff>
      <xdr:row>18</xdr:row>
      <xdr:rowOff>22350</xdr:rowOff>
    </xdr:to>
    <xdr:sp macro="" textlink="">
      <xdr:nvSpPr>
        <xdr:cNvPr id="4" name="Google Shape;87;g274a6b38a16_0_0">
          <a:extLst>
            <a:ext uri="{FF2B5EF4-FFF2-40B4-BE49-F238E27FC236}">
              <a16:creationId xmlns:a16="http://schemas.microsoft.com/office/drawing/2014/main" id="{1547C059-94F1-D87C-0EC5-89A747A81981}"/>
            </a:ext>
          </a:extLst>
        </xdr:cNvPr>
        <xdr:cNvSpPr txBox="1"/>
      </xdr:nvSpPr>
      <xdr:spPr>
        <a:xfrm>
          <a:off x="0" y="1123950"/>
          <a:ext cx="7515224" cy="2327400"/>
        </a:xfrm>
        <a:prstGeom prst="rect">
          <a:avLst/>
        </a:prstGeom>
        <a:solidFill>
          <a:schemeClr val="bg2"/>
        </a:solidFill>
        <a:ln>
          <a:noFill/>
        </a:ln>
      </xdr:spPr>
      <xdr:txBody>
        <a:bodyPr spcFirstLastPara="1" wrap="square" lIns="91425" tIns="91425" rIns="91425" bIns="91425" anchor="ctr" anchorCtr="0">
          <a:no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marR="0" lvl="0" indent="0" algn="l" rtl="0">
            <a:lnSpc>
              <a:spcPct val="115000"/>
            </a:lnSpc>
            <a:spcBef>
              <a:spcPts val="1200"/>
            </a:spcBef>
            <a:spcAft>
              <a:spcPts val="0"/>
            </a:spcAft>
            <a:buClr>
              <a:schemeClr val="dk1"/>
            </a:buClr>
            <a:buSzPts val="1100"/>
            <a:buFont typeface="Arial"/>
            <a:buNone/>
          </a:pPr>
          <a:r>
            <a:rPr lang="id" sz="1200" b="0" i="0" u="none" strike="noStrike" cap="none">
              <a:solidFill>
                <a:schemeClr val="dk1"/>
              </a:solidFill>
              <a:latin typeface="Roboto"/>
              <a:ea typeface="Roboto"/>
              <a:cs typeface="Roboto"/>
              <a:sym typeface="Roboto"/>
            </a:rPr>
            <a:t>Ibu Sarah adalah  pemilik usaha sembako yang sudah berjalan selama 4 tahun. Ibu Sarah tinggal dengan suami dan 2 anaknya di rumah milik pribadi. Pendapatan rata-rata Ibu Sarah sebulan adalah sebesar Rp. 3.500.000.</a:t>
          </a:r>
          <a:endParaRPr sz="1200" b="0" i="0" u="none" strike="noStrike" cap="none">
            <a:solidFill>
              <a:schemeClr val="dk1"/>
            </a:solidFill>
            <a:latin typeface="Roboto"/>
            <a:ea typeface="Roboto"/>
            <a:cs typeface="Roboto"/>
            <a:sym typeface="Roboto"/>
          </a:endParaRPr>
        </a:p>
        <a:p>
          <a:pPr marL="0" marR="0" lvl="0" indent="0" algn="l" rtl="0">
            <a:lnSpc>
              <a:spcPct val="115000"/>
            </a:lnSpc>
            <a:spcBef>
              <a:spcPts val="1200"/>
            </a:spcBef>
            <a:spcAft>
              <a:spcPts val="0"/>
            </a:spcAft>
            <a:buClr>
              <a:schemeClr val="dk1"/>
            </a:buClr>
            <a:buSzPts val="1100"/>
            <a:buFont typeface="Arial"/>
            <a:buNone/>
          </a:pPr>
          <a:r>
            <a:rPr lang="id" sz="1200" b="0" i="0" u="none" strike="noStrike" cap="none">
              <a:solidFill>
                <a:schemeClr val="dk1"/>
              </a:solidFill>
              <a:latin typeface="Roboto"/>
              <a:ea typeface="Roboto"/>
              <a:cs typeface="Roboto"/>
              <a:sym typeface="Roboto"/>
            </a:rPr>
            <a:t>Ibu Sarah berencana ingin merenovasi toko sembakonya dalam waktu dekat, oleh karena itu ia berencana untuk meminjam dana tersebut melalui Bank ABC dengan jaminan berupa BPKB kendaraan yang dulu ia beli seharga 18.000.000.</a:t>
          </a:r>
          <a:endParaRPr sz="1200" b="0" i="0" u="none" strike="noStrike" cap="none">
            <a:solidFill>
              <a:schemeClr val="dk1"/>
            </a:solidFill>
            <a:latin typeface="Roboto"/>
            <a:ea typeface="Roboto"/>
            <a:cs typeface="Roboto"/>
            <a:sym typeface="Roboto"/>
          </a:endParaRPr>
        </a:p>
        <a:p>
          <a:pPr marL="0" marR="0" lvl="0" indent="0" algn="l" rtl="0">
            <a:lnSpc>
              <a:spcPct val="115000"/>
            </a:lnSpc>
            <a:spcBef>
              <a:spcPts val="1200"/>
            </a:spcBef>
            <a:spcAft>
              <a:spcPts val="1200"/>
            </a:spcAft>
            <a:buClr>
              <a:schemeClr val="dk1"/>
            </a:buClr>
            <a:buSzPts val="1100"/>
            <a:buFont typeface="Arial"/>
            <a:buNone/>
          </a:pPr>
          <a:r>
            <a:rPr lang="id" sz="1200" b="0" i="0" u="none" strike="noStrike" cap="none">
              <a:solidFill>
                <a:schemeClr val="dk1"/>
              </a:solidFill>
              <a:latin typeface="Roboto"/>
              <a:ea typeface="Roboto"/>
              <a:cs typeface="Roboto"/>
              <a:sym typeface="Roboto"/>
            </a:rPr>
            <a:t>Ibu Sarah mengajukan pinjaman seharga keperluan renovasi sebesar Rp. 12.000.000 kepada Bank ABC dan akan diangsur dengan jangka waktu 24 bulan dan suku bunga flat 1,5%.</a:t>
          </a:r>
          <a:endParaRPr sz="1200" b="0" i="0" u="none" strike="noStrike" cap="none">
            <a:solidFill>
              <a:schemeClr val="dk1"/>
            </a:solidFill>
            <a:latin typeface="Roboto"/>
            <a:ea typeface="Roboto"/>
            <a:cs typeface="Roboto"/>
            <a:sym typeface="Roboto"/>
          </a:endParaRPr>
        </a:p>
      </xdr:txBody>
    </xdr:sp>
    <xdr:clientData/>
  </xdr:twoCellAnchor>
  <xdr:twoCellAnchor>
    <xdr:from>
      <xdr:col>0</xdr:col>
      <xdr:colOff>123825</xdr:colOff>
      <xdr:row>1</xdr:row>
      <xdr:rowOff>133350</xdr:rowOff>
    </xdr:from>
    <xdr:to>
      <xdr:col>2</xdr:col>
      <xdr:colOff>304800</xdr:colOff>
      <xdr:row>4</xdr:row>
      <xdr:rowOff>5626</xdr:rowOff>
    </xdr:to>
    <xdr:sp macro="" textlink="">
      <xdr:nvSpPr>
        <xdr:cNvPr id="6" name="Google Shape;85;g274a6b38a16_0_0">
          <a:extLst>
            <a:ext uri="{FF2B5EF4-FFF2-40B4-BE49-F238E27FC236}">
              <a16:creationId xmlns:a16="http://schemas.microsoft.com/office/drawing/2014/main" id="{495E28C7-8AA8-9FC2-EF36-96383127AC83}"/>
            </a:ext>
          </a:extLst>
        </xdr:cNvPr>
        <xdr:cNvSpPr txBox="1"/>
      </xdr:nvSpPr>
      <xdr:spPr>
        <a:xfrm>
          <a:off x="123825" y="323850"/>
          <a:ext cx="3228975" cy="443776"/>
        </a:xfrm>
        <a:prstGeom prst="rect">
          <a:avLst/>
        </a:prstGeom>
        <a:solidFill>
          <a:schemeClr val="bg2"/>
        </a:solidFill>
        <a:ln>
          <a:noFill/>
        </a:ln>
      </xdr:spPr>
      <xdr:txBody>
        <a:bodyPr spcFirstLastPara="1" wrap="square" lIns="0" tIns="12700" rIns="0" bIns="0" anchor="t" anchorCtr="0">
          <a:sp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12700" lvl="0" indent="0" algn="l" rtl="0">
            <a:spcBef>
              <a:spcPts val="0"/>
            </a:spcBef>
            <a:spcAft>
              <a:spcPts val="0"/>
            </a:spcAft>
            <a:buClr>
              <a:schemeClr val="dk1"/>
            </a:buClr>
            <a:buSzPts val="3600"/>
            <a:buFont typeface="Arial"/>
            <a:buNone/>
          </a:pPr>
          <a:r>
            <a:rPr lang="id" sz="2800" b="1">
              <a:solidFill>
                <a:schemeClr val="tx1"/>
              </a:solidFill>
              <a:latin typeface="Roboto"/>
              <a:ea typeface="Roboto"/>
              <a:cs typeface="Roboto"/>
              <a:sym typeface="Roboto"/>
            </a:rPr>
            <a:t>Analisis Kredit - 5C</a:t>
          </a:r>
          <a:endParaRPr sz="2800" b="1">
            <a:solidFill>
              <a:schemeClr val="tx1"/>
            </a:solidFill>
            <a:latin typeface="Roboto"/>
            <a:ea typeface="Roboto"/>
            <a:cs typeface="Roboto"/>
            <a:sym typeface="Roboto"/>
          </a:endParaRPr>
        </a:p>
      </xdr:txBody>
    </xdr:sp>
    <xdr:clientData/>
  </xdr:twoCellAnchor>
  <xdr:twoCellAnchor>
    <xdr:from>
      <xdr:col>0</xdr:col>
      <xdr:colOff>0</xdr:colOff>
      <xdr:row>19</xdr:row>
      <xdr:rowOff>95249</xdr:rowOff>
    </xdr:from>
    <xdr:to>
      <xdr:col>12</xdr:col>
      <xdr:colOff>219074</xdr:colOff>
      <xdr:row>34</xdr:row>
      <xdr:rowOff>165824</xdr:rowOff>
    </xdr:to>
    <xdr:sp macro="" textlink="">
      <xdr:nvSpPr>
        <xdr:cNvPr id="8" name="Google Shape;110;g276e8cb477a_0_339">
          <a:extLst>
            <a:ext uri="{FF2B5EF4-FFF2-40B4-BE49-F238E27FC236}">
              <a16:creationId xmlns:a16="http://schemas.microsoft.com/office/drawing/2014/main" id="{735AE795-ABAE-07DE-766E-FDC0D9A9F801}"/>
            </a:ext>
          </a:extLst>
        </xdr:cNvPr>
        <xdr:cNvSpPr txBox="1"/>
      </xdr:nvSpPr>
      <xdr:spPr>
        <a:xfrm>
          <a:off x="0" y="3714749"/>
          <a:ext cx="9363074" cy="2928075"/>
        </a:xfrm>
        <a:prstGeom prst="rect">
          <a:avLst/>
        </a:prstGeom>
        <a:solidFill>
          <a:schemeClr val="bg2"/>
        </a:solidFill>
        <a:ln>
          <a:noFill/>
        </a:ln>
      </xdr:spPr>
      <xdr:txBody>
        <a:bodyPr spcFirstLastPara="1" wrap="square" lIns="91425" tIns="91425" rIns="91425" bIns="91425" anchor="ctr" anchorCtr="0">
          <a:no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lvl="0" indent="0" algn="l" rtl="0">
            <a:lnSpc>
              <a:spcPct val="115000"/>
            </a:lnSpc>
            <a:spcBef>
              <a:spcPts val="1200"/>
            </a:spcBef>
            <a:spcAft>
              <a:spcPts val="0"/>
            </a:spcAft>
            <a:buClr>
              <a:schemeClr val="dk1"/>
            </a:buClr>
            <a:buSzPts val="1100"/>
            <a:buFont typeface="Arial"/>
            <a:buNone/>
          </a:pPr>
          <a:r>
            <a:rPr lang="id" sz="1200">
              <a:solidFill>
                <a:schemeClr val="dk1"/>
              </a:solidFill>
              <a:latin typeface="Roboto"/>
              <a:ea typeface="Roboto"/>
              <a:cs typeface="Roboto"/>
              <a:sym typeface="Roboto"/>
            </a:rPr>
            <a:t>Suami Ibu Sarah adalah seorang karyawan dan memiliki warung kopi dengan keuntungan rata-rata sebulan adalah sebesar Rp. 1.700.000. </a:t>
          </a:r>
          <a:endParaRPr sz="1200">
            <a:solidFill>
              <a:schemeClr val="dk1"/>
            </a:solidFill>
            <a:latin typeface="Roboto"/>
            <a:ea typeface="Roboto"/>
            <a:cs typeface="Roboto"/>
            <a:sym typeface="Roboto"/>
          </a:endParaRPr>
        </a:p>
        <a:p>
          <a:pPr marL="0" lvl="0" indent="0" algn="l" rtl="0">
            <a:lnSpc>
              <a:spcPct val="115000"/>
            </a:lnSpc>
            <a:spcBef>
              <a:spcPts val="1200"/>
            </a:spcBef>
            <a:spcAft>
              <a:spcPts val="0"/>
            </a:spcAft>
            <a:buClr>
              <a:schemeClr val="dk1"/>
            </a:buClr>
            <a:buSzPts val="1100"/>
            <a:buFont typeface="Arial"/>
            <a:buNone/>
          </a:pPr>
          <a:r>
            <a:rPr lang="id" sz="1200">
              <a:solidFill>
                <a:schemeClr val="dk1"/>
              </a:solidFill>
              <a:latin typeface="Roboto"/>
              <a:ea typeface="Roboto"/>
              <a:cs typeface="Roboto"/>
              <a:sym typeface="Roboto"/>
            </a:rPr>
            <a:t>Pengeluaran Ibu Sarah untuk biaya rumah tangga sebesar Rp. 1.200.000/bulan, untuk Air, Telp dan Listrik sebesar Rp. 350.000, untuk pendidikan Rp. 1.000.000, dan lain-lain sebesar Rp. 200.000.</a:t>
          </a:r>
          <a:endParaRPr sz="1200">
            <a:solidFill>
              <a:schemeClr val="dk1"/>
            </a:solidFill>
            <a:latin typeface="Roboto"/>
            <a:ea typeface="Roboto"/>
            <a:cs typeface="Roboto"/>
            <a:sym typeface="Roboto"/>
          </a:endParaRPr>
        </a:p>
        <a:p>
          <a:pPr marL="0" lvl="0" indent="0" algn="l" rtl="0">
            <a:lnSpc>
              <a:spcPct val="115000"/>
            </a:lnSpc>
            <a:spcBef>
              <a:spcPts val="1200"/>
            </a:spcBef>
            <a:spcAft>
              <a:spcPts val="0"/>
            </a:spcAft>
            <a:buClr>
              <a:schemeClr val="dk1"/>
            </a:buClr>
            <a:buSzPts val="1100"/>
            <a:buFont typeface="Arial"/>
            <a:buNone/>
          </a:pPr>
          <a:r>
            <a:rPr lang="id" sz="1200">
              <a:solidFill>
                <a:schemeClr val="dk1"/>
              </a:solidFill>
              <a:latin typeface="Roboto"/>
              <a:ea typeface="Roboto"/>
              <a:cs typeface="Roboto"/>
              <a:sym typeface="Roboto"/>
            </a:rPr>
            <a:t>Sebelumnya Ibu Sarah juga mempunyai pinjaman kredit di beberapa bank lain. Dengan angsuran perbulan sebesar Rp. 500.000. Info dari bank lain membuktikan bahwa skor kredit Ibu Sarah termasuk kategori lancar.</a:t>
          </a:r>
          <a:endParaRPr sz="1200">
            <a:solidFill>
              <a:schemeClr val="dk1"/>
            </a:solidFill>
            <a:latin typeface="Roboto"/>
            <a:ea typeface="Roboto"/>
            <a:cs typeface="Roboto"/>
            <a:sym typeface="Roboto"/>
          </a:endParaRPr>
        </a:p>
        <a:p>
          <a:pPr marL="0" lvl="0" indent="0" algn="l" rtl="0">
            <a:lnSpc>
              <a:spcPct val="115000"/>
            </a:lnSpc>
            <a:spcBef>
              <a:spcPts val="1200"/>
            </a:spcBef>
            <a:spcAft>
              <a:spcPts val="1200"/>
            </a:spcAft>
            <a:buClr>
              <a:schemeClr val="dk1"/>
            </a:buClr>
            <a:buSzPts val="1100"/>
            <a:buFont typeface="Arial"/>
            <a:buNone/>
          </a:pPr>
          <a:r>
            <a:rPr lang="id" sz="1200" b="1">
              <a:solidFill>
                <a:schemeClr val="dk1"/>
              </a:solidFill>
              <a:latin typeface="Roboto"/>
              <a:ea typeface="Roboto"/>
              <a:cs typeface="Roboto"/>
              <a:sym typeface="Roboto"/>
            </a:rPr>
            <a:t>Sebagai seorang Financial Analyst di Bank ABC, lakukan analisis terhadap</a:t>
          </a:r>
          <a:r>
            <a:rPr lang="id" sz="1200">
              <a:solidFill>
                <a:schemeClr val="dk1"/>
              </a:solidFill>
              <a:latin typeface="Roboto"/>
              <a:ea typeface="Roboto"/>
              <a:cs typeface="Roboto"/>
              <a:sym typeface="Roboto"/>
            </a:rPr>
            <a:t> pengajuan kredit Ibu Sarah menggunakan prinsip 5C. Berikanlah keputusan kredit beserta dengan alasan mengapa kamu menerima/menolak kredit Ibu Sarah.</a:t>
          </a:r>
          <a:endParaRPr sz="1200">
            <a:solidFill>
              <a:schemeClr val="dk1"/>
            </a:solidFill>
            <a:latin typeface="Roboto"/>
            <a:ea typeface="Roboto"/>
            <a:cs typeface="Roboto"/>
            <a:sym typeface="Roboto"/>
          </a:endParaRPr>
        </a:p>
      </xdr:txBody>
    </xdr:sp>
    <xdr:clientData/>
  </xdr:twoCellAnchor>
  <xdr:twoCellAnchor>
    <xdr:from>
      <xdr:col>0</xdr:col>
      <xdr:colOff>0</xdr:colOff>
      <xdr:row>36</xdr:row>
      <xdr:rowOff>123825</xdr:rowOff>
    </xdr:from>
    <xdr:to>
      <xdr:col>12</xdr:col>
      <xdr:colOff>247650</xdr:colOff>
      <xdr:row>46</xdr:row>
      <xdr:rowOff>104775</xdr:rowOff>
    </xdr:to>
    <xdr:sp macro="" textlink="">
      <xdr:nvSpPr>
        <xdr:cNvPr id="19" name="Google Shape;110;g276e8cb477a_0_339">
          <a:extLst>
            <a:ext uri="{FF2B5EF4-FFF2-40B4-BE49-F238E27FC236}">
              <a16:creationId xmlns:a16="http://schemas.microsoft.com/office/drawing/2014/main" id="{7899972A-3D2E-497D-871A-ACF43DEC79A0}"/>
            </a:ext>
          </a:extLst>
        </xdr:cNvPr>
        <xdr:cNvSpPr txBox="1"/>
      </xdr:nvSpPr>
      <xdr:spPr>
        <a:xfrm>
          <a:off x="0" y="6981825"/>
          <a:ext cx="7562850" cy="1885950"/>
        </a:xfrm>
        <a:prstGeom prst="rect">
          <a:avLst/>
        </a:prstGeom>
        <a:solidFill>
          <a:schemeClr val="bg2"/>
        </a:solidFill>
        <a:ln>
          <a:noFill/>
        </a:ln>
      </xdr:spPr>
      <xdr:txBody>
        <a:bodyPr spcFirstLastPara="1" wrap="square" lIns="91425" tIns="91425" rIns="91425" bIns="91425" anchor="ctr" anchorCtr="0">
          <a:no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marR="0" lvl="0" indent="0" algn="l" defTabSz="914400" rtl="0" eaLnBrk="1" fontAlgn="auto" latinLnBrk="0" hangingPunct="1">
            <a:lnSpc>
              <a:spcPct val="115000"/>
            </a:lnSpc>
            <a:spcBef>
              <a:spcPts val="1200"/>
            </a:spcBef>
            <a:spcAft>
              <a:spcPts val="0"/>
            </a:spcAft>
            <a:buClr>
              <a:schemeClr val="dk1"/>
            </a:buClr>
            <a:buSzPts val="1100"/>
            <a:buFont typeface="Arial"/>
            <a:buNone/>
            <a:tabLst/>
            <a:defRPr/>
          </a:pPr>
          <a:r>
            <a:rPr lang="en-ID" sz="1200" b="1" i="0" u="none" strike="noStrike" cap="none">
              <a:solidFill>
                <a:srgbClr val="000000"/>
              </a:solidFill>
              <a:effectLst/>
              <a:latin typeface="Arial"/>
              <a:ea typeface="Arial"/>
              <a:cs typeface="Arial"/>
              <a:sym typeface="Arial"/>
            </a:rPr>
            <a:t>Character</a:t>
          </a:r>
        </a:p>
        <a:p>
          <a:pPr marL="0" marR="0" lvl="0" indent="0" algn="l" defTabSz="914400" rtl="0" eaLnBrk="1" fontAlgn="auto" latinLnBrk="0" hangingPunct="1">
            <a:lnSpc>
              <a:spcPct val="115000"/>
            </a:lnSpc>
            <a:spcBef>
              <a:spcPts val="1200"/>
            </a:spcBef>
            <a:spcAft>
              <a:spcPts val="0"/>
            </a:spcAft>
            <a:buClr>
              <a:schemeClr val="dk1"/>
            </a:buClr>
            <a:buSzPts val="1100"/>
            <a:buFont typeface="Arial"/>
            <a:buNone/>
            <a:tabLst/>
            <a:defRPr/>
          </a:pPr>
          <a:r>
            <a:rPr lang="en-ID" sz="1200" b="0" i="0" u="none" strike="noStrike" cap="none">
              <a:solidFill>
                <a:srgbClr val="000000"/>
              </a:solidFill>
              <a:effectLst/>
              <a:latin typeface="Arial"/>
              <a:ea typeface="Arial"/>
              <a:cs typeface="Arial"/>
              <a:sym typeface="Arial"/>
            </a:rPr>
            <a:t>Bu Sarah memiliki skor kredit yang lancar, yang berarti ia memiliki riwayat pembayaran utang yang baik dan disiplin dalam mengelola kewajiban finansialnya. Ini menjadi nilai positif karena menunjukkan bahwa ia memiliki niat baik dalam melunasi utangnya.</a:t>
          </a:r>
          <a:endParaRPr lang="en-ID" sz="1200">
            <a:effectLst/>
          </a:endParaRPr>
        </a:p>
        <a:p>
          <a:pPr marL="0" lvl="0" indent="0" algn="l" rtl="0">
            <a:lnSpc>
              <a:spcPct val="115000"/>
            </a:lnSpc>
            <a:spcBef>
              <a:spcPts val="1200"/>
            </a:spcBef>
            <a:spcAft>
              <a:spcPts val="0"/>
            </a:spcAft>
            <a:buClr>
              <a:schemeClr val="dk1"/>
            </a:buClr>
            <a:buSzPts val="1100"/>
            <a:buFont typeface="Arial"/>
            <a:buNone/>
          </a:pPr>
          <a:endParaRPr sz="1200">
            <a:solidFill>
              <a:schemeClr val="dk1"/>
            </a:solidFill>
            <a:latin typeface="Roboto"/>
            <a:ea typeface="Roboto"/>
            <a:cs typeface="Roboto"/>
            <a:sym typeface="Roboto"/>
          </a:endParaRPr>
        </a:p>
      </xdr:txBody>
    </xdr:sp>
    <xdr:clientData/>
  </xdr:twoCellAnchor>
  <xdr:twoCellAnchor>
    <xdr:from>
      <xdr:col>0</xdr:col>
      <xdr:colOff>0</xdr:colOff>
      <xdr:row>48</xdr:row>
      <xdr:rowOff>114300</xdr:rowOff>
    </xdr:from>
    <xdr:to>
      <xdr:col>12</xdr:col>
      <xdr:colOff>247650</xdr:colOff>
      <xdr:row>58</xdr:row>
      <xdr:rowOff>95250</xdr:rowOff>
    </xdr:to>
    <xdr:sp macro="" textlink="">
      <xdr:nvSpPr>
        <xdr:cNvPr id="28" name="Google Shape;110;g276e8cb477a_0_339">
          <a:extLst>
            <a:ext uri="{FF2B5EF4-FFF2-40B4-BE49-F238E27FC236}">
              <a16:creationId xmlns:a16="http://schemas.microsoft.com/office/drawing/2014/main" id="{5E985DDE-0330-404B-8304-C84D3D9DCB61}"/>
            </a:ext>
          </a:extLst>
        </xdr:cNvPr>
        <xdr:cNvSpPr txBox="1"/>
      </xdr:nvSpPr>
      <xdr:spPr>
        <a:xfrm>
          <a:off x="0" y="9258300"/>
          <a:ext cx="7562850" cy="1885950"/>
        </a:xfrm>
        <a:prstGeom prst="rect">
          <a:avLst/>
        </a:prstGeom>
        <a:solidFill>
          <a:schemeClr val="bg2"/>
        </a:solidFill>
        <a:ln>
          <a:noFill/>
        </a:ln>
      </xdr:spPr>
      <xdr:txBody>
        <a:bodyPr spcFirstLastPara="1" wrap="square" lIns="91425" tIns="91425" rIns="91425" bIns="91425" anchor="ctr" anchorCtr="0">
          <a:no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marR="0" lvl="0" indent="0" algn="l" defTabSz="914400" rtl="0" eaLnBrk="1" fontAlgn="auto" latinLnBrk="0" hangingPunct="1">
            <a:lnSpc>
              <a:spcPct val="115000"/>
            </a:lnSpc>
            <a:spcBef>
              <a:spcPts val="1200"/>
            </a:spcBef>
            <a:spcAft>
              <a:spcPts val="0"/>
            </a:spcAft>
            <a:buClr>
              <a:schemeClr val="dk1"/>
            </a:buClr>
            <a:buSzPts val="1100"/>
            <a:buFont typeface="Arial"/>
            <a:buNone/>
            <a:tabLst/>
            <a:defRPr/>
          </a:pPr>
          <a:r>
            <a:rPr lang="en-ID" sz="1200" b="1" i="0" u="none" strike="noStrike" cap="none">
              <a:solidFill>
                <a:srgbClr val="000000"/>
              </a:solidFill>
              <a:effectLst/>
              <a:latin typeface="Arial"/>
              <a:ea typeface="Arial"/>
              <a:cs typeface="Arial"/>
              <a:sym typeface="Arial"/>
            </a:rPr>
            <a:t>Colleteral</a:t>
          </a:r>
        </a:p>
        <a:p>
          <a:pPr marL="0" marR="0" lvl="0" indent="0" algn="l" defTabSz="914400" rtl="0" eaLnBrk="1" fontAlgn="auto" latinLnBrk="0" hangingPunct="1">
            <a:lnSpc>
              <a:spcPct val="115000"/>
            </a:lnSpc>
            <a:spcBef>
              <a:spcPts val="1200"/>
            </a:spcBef>
            <a:spcAft>
              <a:spcPts val="0"/>
            </a:spcAft>
            <a:buClr>
              <a:schemeClr val="dk1"/>
            </a:buClr>
            <a:buSzPts val="1100"/>
            <a:buFont typeface="Arial"/>
            <a:buNone/>
            <a:tabLst/>
            <a:defRPr/>
          </a:pPr>
          <a:r>
            <a:rPr lang="en-ID" sz="1200" b="0" i="0" u="none" strike="noStrike" cap="none">
              <a:solidFill>
                <a:srgbClr val="000000"/>
              </a:solidFill>
              <a:effectLst/>
              <a:latin typeface="Arial"/>
              <a:ea typeface="Arial"/>
              <a:cs typeface="Arial"/>
              <a:sym typeface="Arial"/>
            </a:rPr>
            <a:t>Jaminan yang diberikan adalah BPKB kendaraan yang dibeli seharga Rp. 18.000.000. Nilai kendaraan kemungkinan mengalami penyusutan, namun masih cukup untuk menutupi pinjaman sebesar Rp. 12.000.000. Ini memberikan perlindungan bagi bank jika terjadi kredit macet.</a:t>
          </a:r>
          <a:endParaRPr lang="en-ID" sz="1200">
            <a:effectLst/>
          </a:endParaRPr>
        </a:p>
        <a:p>
          <a:pPr marL="0" lvl="0" indent="0" algn="l" rtl="0">
            <a:lnSpc>
              <a:spcPct val="115000"/>
            </a:lnSpc>
            <a:spcBef>
              <a:spcPts val="1200"/>
            </a:spcBef>
            <a:spcAft>
              <a:spcPts val="0"/>
            </a:spcAft>
            <a:buClr>
              <a:schemeClr val="dk1"/>
            </a:buClr>
            <a:buSzPts val="1100"/>
            <a:buFont typeface="Arial"/>
            <a:buNone/>
          </a:pPr>
          <a:endParaRPr sz="1200">
            <a:solidFill>
              <a:schemeClr val="dk1"/>
            </a:solidFill>
            <a:latin typeface="Roboto"/>
            <a:ea typeface="Roboto"/>
            <a:cs typeface="Roboto"/>
            <a:sym typeface="Roboto"/>
          </a:endParaRPr>
        </a:p>
      </xdr:txBody>
    </xdr:sp>
    <xdr:clientData/>
  </xdr:twoCellAnchor>
  <xdr:twoCellAnchor>
    <xdr:from>
      <xdr:col>0</xdr:col>
      <xdr:colOff>0</xdr:colOff>
      <xdr:row>60</xdr:row>
      <xdr:rowOff>95250</xdr:rowOff>
    </xdr:from>
    <xdr:to>
      <xdr:col>12</xdr:col>
      <xdr:colOff>247650</xdr:colOff>
      <xdr:row>70</xdr:row>
      <xdr:rowOff>76200</xdr:rowOff>
    </xdr:to>
    <xdr:sp macro="" textlink="">
      <xdr:nvSpPr>
        <xdr:cNvPr id="34" name="Google Shape;110;g276e8cb477a_0_339">
          <a:extLst>
            <a:ext uri="{FF2B5EF4-FFF2-40B4-BE49-F238E27FC236}">
              <a16:creationId xmlns:a16="http://schemas.microsoft.com/office/drawing/2014/main" id="{E6981885-0C06-430C-9E2F-9F6B4A698180}"/>
            </a:ext>
          </a:extLst>
        </xdr:cNvPr>
        <xdr:cNvSpPr txBox="1"/>
      </xdr:nvSpPr>
      <xdr:spPr>
        <a:xfrm>
          <a:off x="0" y="11525250"/>
          <a:ext cx="7562850" cy="1885950"/>
        </a:xfrm>
        <a:prstGeom prst="rect">
          <a:avLst/>
        </a:prstGeom>
        <a:solidFill>
          <a:schemeClr val="bg2"/>
        </a:solidFill>
        <a:ln>
          <a:noFill/>
        </a:ln>
      </xdr:spPr>
      <xdr:txBody>
        <a:bodyPr spcFirstLastPara="1" wrap="square" lIns="91425" tIns="91425" rIns="91425" bIns="91425" anchor="ctr" anchorCtr="0">
          <a:no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marR="0" lvl="0" indent="0" algn="l" defTabSz="914400" rtl="0" eaLnBrk="1" fontAlgn="auto" latinLnBrk="0" hangingPunct="1">
            <a:lnSpc>
              <a:spcPct val="115000"/>
            </a:lnSpc>
            <a:spcBef>
              <a:spcPts val="1200"/>
            </a:spcBef>
            <a:spcAft>
              <a:spcPts val="0"/>
            </a:spcAft>
            <a:buClr>
              <a:schemeClr val="dk1"/>
            </a:buClr>
            <a:buSzPts val="1100"/>
            <a:buFont typeface="Arial"/>
            <a:buNone/>
            <a:tabLst/>
            <a:defRPr/>
          </a:pPr>
          <a:endParaRPr lang="en-ID" sz="1200" b="1" i="0" u="none" strike="noStrike" cap="none">
            <a:solidFill>
              <a:srgbClr val="000000"/>
            </a:solidFill>
            <a:effectLst/>
            <a:latin typeface="Arial"/>
            <a:ea typeface="Arial"/>
            <a:cs typeface="Arial"/>
            <a:sym typeface="Arial"/>
          </a:endParaRPr>
        </a:p>
        <a:p>
          <a:pPr marL="0" marR="0" lvl="0" indent="0" algn="l" defTabSz="914400" rtl="0" eaLnBrk="1" fontAlgn="auto" latinLnBrk="0" hangingPunct="1">
            <a:lnSpc>
              <a:spcPct val="115000"/>
            </a:lnSpc>
            <a:spcBef>
              <a:spcPts val="1200"/>
            </a:spcBef>
            <a:spcAft>
              <a:spcPts val="0"/>
            </a:spcAft>
            <a:buClr>
              <a:schemeClr val="dk1"/>
            </a:buClr>
            <a:buSzPts val="1100"/>
            <a:buFont typeface="Arial"/>
            <a:buNone/>
            <a:tabLst/>
            <a:defRPr/>
          </a:pPr>
          <a:r>
            <a:rPr lang="en-ID" sz="1200" b="1" i="0" u="none" strike="noStrike" cap="none">
              <a:solidFill>
                <a:srgbClr val="000000"/>
              </a:solidFill>
              <a:effectLst/>
              <a:latin typeface="Arial"/>
              <a:ea typeface="Arial"/>
              <a:cs typeface="Arial"/>
              <a:sym typeface="Arial"/>
            </a:rPr>
            <a:t>Capital</a:t>
          </a:r>
        </a:p>
        <a:p>
          <a:pPr marL="0" marR="0" lvl="0" indent="0" algn="l" rtl="0">
            <a:lnSpc>
              <a:spcPct val="115000"/>
            </a:lnSpc>
            <a:spcBef>
              <a:spcPts val="1200"/>
            </a:spcBef>
            <a:spcAft>
              <a:spcPts val="0"/>
            </a:spcAft>
            <a:buClr>
              <a:schemeClr val="dk1"/>
            </a:buClr>
            <a:buSzPts val="1100"/>
            <a:buFont typeface="Arial"/>
            <a:buNone/>
          </a:pPr>
          <a:r>
            <a:rPr lang="en-ID" sz="1200" b="0" i="0" u="none" strike="noStrike" cap="none">
              <a:solidFill>
                <a:srgbClr val="000000"/>
              </a:solidFill>
              <a:effectLst/>
              <a:latin typeface="Arial"/>
              <a:ea typeface="Arial"/>
              <a:cs typeface="Arial"/>
              <a:sym typeface="Arial"/>
            </a:rPr>
            <a:t>Ibu Sarah sudah menjalankan usaha sembako selama 4 tahun, menunjukkan kestabilan dalam bisnisnya. Selain itu, keluarga memiliki rumah pribadi, yang mengurangi beban pengeluaran untuk sewa. Modal usahanya terbukti cukup kuat untuk menopang keuangan keluarga.</a:t>
          </a:r>
        </a:p>
        <a:p>
          <a:pPr marL="0" marR="0" lvl="0" indent="0" algn="l" rtl="0">
            <a:lnSpc>
              <a:spcPct val="115000"/>
            </a:lnSpc>
            <a:spcBef>
              <a:spcPts val="1200"/>
            </a:spcBef>
            <a:spcAft>
              <a:spcPts val="0"/>
            </a:spcAft>
            <a:buClr>
              <a:schemeClr val="dk1"/>
            </a:buClr>
            <a:buSzPts val="1100"/>
            <a:buFont typeface="Arial"/>
            <a:buNone/>
          </a:pPr>
          <a:endParaRPr sz="1200" b="1" i="0" u="none" strike="noStrike" cap="none">
            <a:solidFill>
              <a:srgbClr val="000000"/>
            </a:solidFill>
            <a:effectLst/>
            <a:latin typeface="Arial"/>
            <a:ea typeface="Arial"/>
            <a:cs typeface="Arial"/>
            <a:sym typeface="Roboto"/>
          </a:endParaRPr>
        </a:p>
      </xdr:txBody>
    </xdr:sp>
    <xdr:clientData/>
  </xdr:twoCellAnchor>
  <xdr:twoCellAnchor>
    <xdr:from>
      <xdr:col>0</xdr:col>
      <xdr:colOff>0</xdr:colOff>
      <xdr:row>72</xdr:row>
      <xdr:rowOff>161925</xdr:rowOff>
    </xdr:from>
    <xdr:to>
      <xdr:col>12</xdr:col>
      <xdr:colOff>381000</xdr:colOff>
      <xdr:row>80</xdr:row>
      <xdr:rowOff>104775</xdr:rowOff>
    </xdr:to>
    <xdr:sp macro="" textlink="">
      <xdr:nvSpPr>
        <xdr:cNvPr id="36" name="Google Shape;220;g276e8cb477a_0_266">
          <a:extLst>
            <a:ext uri="{FF2B5EF4-FFF2-40B4-BE49-F238E27FC236}">
              <a16:creationId xmlns:a16="http://schemas.microsoft.com/office/drawing/2014/main" id="{10D34499-9044-70EB-6F68-2B17642C1A6E}"/>
            </a:ext>
          </a:extLst>
        </xdr:cNvPr>
        <xdr:cNvSpPr txBox="1"/>
      </xdr:nvSpPr>
      <xdr:spPr>
        <a:xfrm>
          <a:off x="0" y="13877925"/>
          <a:ext cx="7696200" cy="1466850"/>
        </a:xfrm>
        <a:prstGeom prst="rect">
          <a:avLst/>
        </a:prstGeom>
        <a:solidFill>
          <a:schemeClr val="bg2"/>
        </a:solidFill>
        <a:ln>
          <a:noFill/>
        </a:ln>
      </xdr:spPr>
      <xdr:txBody>
        <a:bodyPr spcFirstLastPara="1" wrap="square" lIns="91425" tIns="91425" rIns="91425" bIns="91425" anchor="ctr" anchorCtr="0">
          <a:no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marR="0" lvl="0" indent="0" algn="l" rtl="0">
            <a:lnSpc>
              <a:spcPct val="115000"/>
            </a:lnSpc>
            <a:spcBef>
              <a:spcPts val="1200"/>
            </a:spcBef>
            <a:spcAft>
              <a:spcPts val="0"/>
            </a:spcAft>
            <a:buClr>
              <a:schemeClr val="dk1"/>
            </a:buClr>
            <a:buSzPts val="1100"/>
            <a:buFont typeface="Arial"/>
            <a:buNone/>
          </a:pPr>
          <a:r>
            <a:rPr lang="en-ID" sz="1200" b="1" i="0" u="none" strike="noStrike" cap="none">
              <a:solidFill>
                <a:srgbClr val="000000"/>
              </a:solidFill>
              <a:effectLst/>
              <a:latin typeface="Arial"/>
              <a:ea typeface="Arial"/>
              <a:cs typeface="Arial"/>
              <a:sym typeface="Roboto"/>
            </a:rPr>
            <a:t>Condition</a:t>
          </a:r>
        </a:p>
        <a:p>
          <a:pPr marL="0" marR="0" lvl="0" indent="0" algn="l" rtl="0">
            <a:lnSpc>
              <a:spcPct val="115000"/>
            </a:lnSpc>
            <a:spcBef>
              <a:spcPts val="1200"/>
            </a:spcBef>
            <a:spcAft>
              <a:spcPts val="0"/>
            </a:spcAft>
            <a:buClr>
              <a:schemeClr val="dk1"/>
            </a:buClr>
            <a:buSzPts val="1100"/>
            <a:buFont typeface="Arial"/>
            <a:buNone/>
          </a:pPr>
          <a:r>
            <a:rPr lang="en-ID" sz="1200" b="0" i="0" u="none" strike="noStrike" cap="none">
              <a:solidFill>
                <a:srgbClr val="000000"/>
              </a:solidFill>
              <a:effectLst/>
              <a:latin typeface="Arial"/>
              <a:ea typeface="Arial"/>
              <a:cs typeface="Arial"/>
              <a:sym typeface="Roboto"/>
            </a:rPr>
            <a:t>Tujuan pinjaman untuk renovasi toko sembako adalah hal yang produktif karena dapat meningkatkan pendapatan bisnis.</a:t>
          </a:r>
          <a:r>
            <a:rPr lang="en-ID" sz="1200" b="0" i="0" u="none" strike="noStrike" cap="none" baseline="0">
              <a:solidFill>
                <a:srgbClr val="000000"/>
              </a:solidFill>
              <a:effectLst/>
              <a:latin typeface="Arial"/>
              <a:ea typeface="Arial"/>
              <a:cs typeface="Arial"/>
              <a:sym typeface="Roboto"/>
            </a:rPr>
            <a:t> </a:t>
          </a:r>
          <a:r>
            <a:rPr lang="en-ID" sz="1200" b="0" i="0" u="none" strike="noStrike" cap="none">
              <a:solidFill>
                <a:srgbClr val="000000"/>
              </a:solidFill>
              <a:effectLst/>
              <a:latin typeface="Arial"/>
              <a:ea typeface="Arial"/>
              <a:cs typeface="Arial"/>
              <a:sym typeface="Roboto"/>
            </a:rPr>
            <a:t>Kondisi ekonomi harus diperhatikan, tetapi karena sembako adalah kebutuhan pokok, bisnis ini relatif stabil dibandingkan sektor lain.</a:t>
          </a:r>
          <a:endParaRPr sz="1200" b="0" i="0" u="none" strike="noStrike" cap="none">
            <a:solidFill>
              <a:srgbClr val="000000"/>
            </a:solidFill>
            <a:effectLst/>
            <a:latin typeface="Arial"/>
            <a:ea typeface="Arial"/>
            <a:cs typeface="Arial"/>
            <a:sym typeface="Roboto"/>
          </a:endParaRPr>
        </a:p>
      </xdr:txBody>
    </xdr:sp>
    <xdr:clientData/>
  </xdr:twoCellAnchor>
  <xdr:twoCellAnchor>
    <xdr:from>
      <xdr:col>2</xdr:col>
      <xdr:colOff>333375</xdr:colOff>
      <xdr:row>81</xdr:row>
      <xdr:rowOff>171450</xdr:rowOff>
    </xdr:from>
    <xdr:to>
      <xdr:col>12</xdr:col>
      <xdr:colOff>381000</xdr:colOff>
      <xdr:row>88</xdr:row>
      <xdr:rowOff>123825</xdr:rowOff>
    </xdr:to>
    <xdr:sp macro="" textlink="">
      <xdr:nvSpPr>
        <xdr:cNvPr id="40" name="Google Shape;220;g276e8cb477a_0_266">
          <a:extLst>
            <a:ext uri="{FF2B5EF4-FFF2-40B4-BE49-F238E27FC236}">
              <a16:creationId xmlns:a16="http://schemas.microsoft.com/office/drawing/2014/main" id="{ADCB22D7-6EFE-4D0E-A909-F07A6407D8E0}"/>
            </a:ext>
          </a:extLst>
        </xdr:cNvPr>
        <xdr:cNvSpPr txBox="1"/>
      </xdr:nvSpPr>
      <xdr:spPr>
        <a:xfrm>
          <a:off x="3381375" y="15601950"/>
          <a:ext cx="6143625" cy="1543050"/>
        </a:xfrm>
        <a:prstGeom prst="rect">
          <a:avLst/>
        </a:prstGeom>
        <a:solidFill>
          <a:schemeClr val="bg2"/>
        </a:solidFill>
        <a:ln>
          <a:noFill/>
        </a:ln>
      </xdr:spPr>
      <xdr:txBody>
        <a:bodyPr spcFirstLastPara="1" wrap="square" lIns="91425" tIns="91425" rIns="91425" bIns="91425" anchor="ctr" anchorCtr="0">
          <a:no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rtl="0"/>
          <a:r>
            <a:rPr lang="en-ID" sz="1200" b="1" i="0" u="none" strike="noStrike" cap="none">
              <a:solidFill>
                <a:srgbClr val="000000"/>
              </a:solidFill>
              <a:effectLst/>
              <a:latin typeface="Arial"/>
              <a:ea typeface="Arial"/>
              <a:cs typeface="Arial"/>
              <a:sym typeface="Arial"/>
            </a:rPr>
            <a:t>Capacity</a:t>
          </a:r>
        </a:p>
        <a:p>
          <a:pPr rtl="0"/>
          <a:endParaRPr lang="en-ID" sz="1200" b="1" i="0" u="none" strike="noStrike" cap="none">
            <a:solidFill>
              <a:srgbClr val="000000"/>
            </a:solidFill>
            <a:effectLst/>
            <a:latin typeface="Arial"/>
            <a:ea typeface="Arial"/>
            <a:cs typeface="Arial"/>
            <a:sym typeface="Arial"/>
          </a:endParaRPr>
        </a:p>
        <a:p>
          <a:pPr rtl="0"/>
          <a:r>
            <a:rPr lang="en-ID" sz="1200" b="0" i="0" u="none" strike="noStrike" cap="none">
              <a:solidFill>
                <a:srgbClr val="000000"/>
              </a:solidFill>
              <a:effectLst/>
              <a:latin typeface="Arial"/>
              <a:ea typeface="Arial"/>
              <a:cs typeface="Arial"/>
              <a:sym typeface="Arial"/>
            </a:rPr>
            <a:t>Dari sisi kapasitas, Ibu Sarah mampu membayar cicilan pinjaman baru tanpa terlalu membebani keuangan keluarga.</a:t>
          </a:r>
          <a:endParaRPr lang="en-ID" sz="1200">
            <a:effectLst/>
          </a:endParaRPr>
        </a:p>
        <a:p>
          <a:pPr marL="0" marR="0" lvl="0" indent="0" algn="l" rtl="0">
            <a:lnSpc>
              <a:spcPct val="115000"/>
            </a:lnSpc>
            <a:spcBef>
              <a:spcPts val="1200"/>
            </a:spcBef>
            <a:spcAft>
              <a:spcPts val="0"/>
            </a:spcAft>
            <a:buClr>
              <a:schemeClr val="dk1"/>
            </a:buClr>
            <a:buSzPts val="1100"/>
            <a:buFont typeface="Arial"/>
            <a:buNone/>
          </a:pPr>
          <a:endParaRPr lang="en-ID" sz="1200" b="1" i="0" u="none" strike="noStrike" cap="none">
            <a:solidFill>
              <a:srgbClr val="000000"/>
            </a:solidFill>
            <a:effectLst/>
            <a:latin typeface="Arial"/>
            <a:ea typeface="Arial"/>
            <a:cs typeface="Arial"/>
            <a:sym typeface="Roboto"/>
          </a:endParaRPr>
        </a:p>
      </xdr:txBody>
    </xdr:sp>
    <xdr:clientData/>
  </xdr:twoCellAnchor>
  <xdr:twoCellAnchor>
    <xdr:from>
      <xdr:col>0</xdr:col>
      <xdr:colOff>0</xdr:colOff>
      <xdr:row>103</xdr:row>
      <xdr:rowOff>19049</xdr:rowOff>
    </xdr:from>
    <xdr:to>
      <xdr:col>11</xdr:col>
      <xdr:colOff>552451</xdr:colOff>
      <xdr:row>115</xdr:row>
      <xdr:rowOff>142874</xdr:rowOff>
    </xdr:to>
    <xdr:sp macro="" textlink="">
      <xdr:nvSpPr>
        <xdr:cNvPr id="44" name="Google Shape;220;g276e8cb477a_0_266">
          <a:extLst>
            <a:ext uri="{FF2B5EF4-FFF2-40B4-BE49-F238E27FC236}">
              <a16:creationId xmlns:a16="http://schemas.microsoft.com/office/drawing/2014/main" id="{43D96D4E-AA82-4A81-93E2-E1A467F1B25B}"/>
            </a:ext>
          </a:extLst>
        </xdr:cNvPr>
        <xdr:cNvSpPr txBox="1"/>
      </xdr:nvSpPr>
      <xdr:spPr>
        <a:xfrm>
          <a:off x="0" y="20231099"/>
          <a:ext cx="9086851" cy="2409825"/>
        </a:xfrm>
        <a:prstGeom prst="rect">
          <a:avLst/>
        </a:prstGeom>
        <a:solidFill>
          <a:schemeClr val="bg2"/>
        </a:solidFill>
        <a:ln>
          <a:noFill/>
        </a:ln>
      </xdr:spPr>
      <xdr:txBody>
        <a:bodyPr spcFirstLastPara="1" wrap="square" lIns="91425" tIns="91425" rIns="91425" bIns="91425" anchor="ctr" anchorCtr="0">
          <a:no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rtl="0"/>
          <a:r>
            <a:rPr lang="en-ID" sz="1200" b="1" i="0" u="none" strike="noStrike" cap="none">
              <a:solidFill>
                <a:srgbClr val="000000"/>
              </a:solidFill>
              <a:effectLst/>
              <a:latin typeface="Arial"/>
              <a:ea typeface="Arial"/>
              <a:cs typeface="Arial"/>
              <a:sym typeface="Arial"/>
            </a:rPr>
            <a:t>Kesimpulan</a:t>
          </a:r>
        </a:p>
        <a:p>
          <a:pPr rtl="0"/>
          <a:endParaRPr lang="en-ID" sz="1200">
            <a:effectLst/>
          </a:endParaRPr>
        </a:p>
        <a:p>
          <a:pPr rtl="0"/>
          <a:r>
            <a:rPr lang="en-ID" sz="1200" b="0" i="0" u="none" strike="noStrike" cap="none">
              <a:solidFill>
                <a:srgbClr val="000000"/>
              </a:solidFill>
              <a:effectLst/>
              <a:latin typeface="Arial"/>
              <a:ea typeface="Arial"/>
              <a:cs typeface="Arial"/>
              <a:sym typeface="Arial"/>
            </a:rPr>
            <a:t>Pengajuan kredit Ibu Sarah </a:t>
          </a:r>
          <a:r>
            <a:rPr lang="en-ID" sz="1200" b="1" i="0" u="none" strike="noStrike" cap="none">
              <a:solidFill>
                <a:srgbClr val="000000"/>
              </a:solidFill>
              <a:effectLst/>
              <a:latin typeface="Arial"/>
              <a:ea typeface="Arial"/>
              <a:cs typeface="Arial"/>
              <a:sym typeface="Arial"/>
            </a:rPr>
            <a:t>diterima</a:t>
          </a:r>
        </a:p>
        <a:p>
          <a:pPr rtl="0"/>
          <a:r>
            <a:rPr lang="en-ID" sz="1200" b="0" i="0" u="none" strike="noStrike" cap="none">
              <a:solidFill>
                <a:srgbClr val="000000"/>
              </a:solidFill>
              <a:effectLst/>
              <a:latin typeface="Arial"/>
              <a:ea typeface="Arial"/>
              <a:cs typeface="Arial"/>
              <a:sym typeface="Arial"/>
            </a:rPr>
            <a:t>.</a:t>
          </a:r>
          <a:endParaRPr lang="en-ID" sz="1200">
            <a:effectLst/>
          </a:endParaRPr>
        </a:p>
        <a:p>
          <a:pPr rtl="0"/>
          <a:r>
            <a:rPr lang="en-ID" sz="1200" b="0" i="0" u="none" strike="noStrike" cap="none">
              <a:solidFill>
                <a:srgbClr val="000000"/>
              </a:solidFill>
              <a:effectLst/>
              <a:latin typeface="Arial"/>
              <a:ea typeface="Arial"/>
              <a:cs typeface="Arial"/>
              <a:sym typeface="Arial"/>
            </a:rPr>
            <a:t>Alasan</a:t>
          </a:r>
          <a:r>
            <a:rPr lang="en-ID" sz="1200" b="0" i="0" u="none" strike="noStrike" cap="none" baseline="0">
              <a:solidFill>
                <a:srgbClr val="000000"/>
              </a:solidFill>
              <a:effectLst/>
              <a:latin typeface="Arial"/>
              <a:ea typeface="Arial"/>
              <a:cs typeface="Arial"/>
              <a:sym typeface="Arial"/>
            </a:rPr>
            <a:t> :</a:t>
          </a:r>
          <a:endParaRPr lang="en-ID" sz="1200">
            <a:effectLst/>
          </a:endParaRPr>
        </a:p>
        <a:p>
          <a:pPr rtl="0"/>
          <a:r>
            <a:rPr lang="en-ID" sz="1200" b="0" i="0" u="none" strike="noStrike" cap="none">
              <a:solidFill>
                <a:srgbClr val="000000"/>
              </a:solidFill>
              <a:effectLst/>
              <a:latin typeface="Arial"/>
              <a:ea typeface="Arial"/>
              <a:cs typeface="Arial"/>
              <a:sym typeface="Arial"/>
            </a:rPr>
            <a:t>1. Riwayat kredit baik, tidak ada keterlambatan pembayaran sebelumnya.</a:t>
          </a:r>
          <a:endParaRPr lang="en-ID" sz="1200">
            <a:effectLst/>
          </a:endParaRPr>
        </a:p>
        <a:p>
          <a:pPr rtl="0"/>
          <a:r>
            <a:rPr lang="en-ID" sz="1200" b="0" i="0" u="none" strike="noStrike" cap="none">
              <a:solidFill>
                <a:srgbClr val="000000"/>
              </a:solidFill>
              <a:effectLst/>
              <a:latin typeface="Arial"/>
              <a:ea typeface="Arial"/>
              <a:cs typeface="Arial"/>
              <a:sym typeface="Arial"/>
            </a:rPr>
            <a:t>2. Kemampuan membayar mencukupi, dengan sisa pendapatan setelah a3. ngsuran masih cukup besar (Rp. 1.270.000).</a:t>
          </a:r>
          <a:endParaRPr lang="en-ID" sz="1200">
            <a:effectLst/>
          </a:endParaRPr>
        </a:p>
        <a:p>
          <a:pPr rtl="0"/>
          <a:r>
            <a:rPr lang="en-ID" sz="1200" b="0" i="0" u="none" strike="noStrike" cap="none">
              <a:solidFill>
                <a:srgbClr val="000000"/>
              </a:solidFill>
              <a:effectLst/>
              <a:latin typeface="Arial"/>
              <a:ea typeface="Arial"/>
              <a:cs typeface="Arial"/>
              <a:sym typeface="Arial"/>
            </a:rPr>
            <a:t>3. Bisnis stabil dan sudah berjalan lama (4 tahun), meningkatkan kepercayaan terhadap sumber pendapatan</a:t>
          </a:r>
          <a:endParaRPr lang="en-ID" sz="1200">
            <a:effectLst/>
          </a:endParaRPr>
        </a:p>
        <a:p>
          <a:pPr rtl="0"/>
          <a:r>
            <a:rPr lang="en-ID" sz="1200" b="0" i="0" u="none" strike="noStrike" cap="none">
              <a:solidFill>
                <a:srgbClr val="000000"/>
              </a:solidFill>
              <a:effectLst/>
              <a:latin typeface="Arial"/>
              <a:ea typeface="Arial"/>
              <a:cs typeface="Arial"/>
              <a:sym typeface="Arial"/>
            </a:rPr>
            <a:t>4. Jaminan cukup memadai (BPKB kendaraan dengan nilai mendekati pinjaman).</a:t>
          </a:r>
          <a:endParaRPr lang="en-ID" sz="1200">
            <a:effectLst/>
          </a:endParaRPr>
        </a:p>
        <a:p>
          <a:pPr rtl="0"/>
          <a:r>
            <a:rPr lang="en-ID" sz="1200" b="0" i="0" u="none" strike="noStrike" cap="none">
              <a:solidFill>
                <a:srgbClr val="000000"/>
              </a:solidFill>
              <a:effectLst/>
              <a:latin typeface="Arial"/>
              <a:ea typeface="Arial"/>
              <a:cs typeface="Arial"/>
              <a:sym typeface="Arial"/>
            </a:rPr>
            <a:t>5. Pinjaman untuk keperluan produktif, bukan konsumtif, sehingga berpotensi meningkatkan pendapatan di masa depan.</a:t>
          </a:r>
          <a:endParaRPr lang="en-ID" sz="1200">
            <a:effectLst/>
          </a:endParaRPr>
        </a:p>
        <a:p>
          <a:endParaRPr lang="en-ID" sz="1200" b="0" i="0" u="none" strike="noStrike" cap="none">
            <a:solidFill>
              <a:srgbClr val="000000"/>
            </a:solidFill>
            <a:effectLst/>
            <a:latin typeface="Arial"/>
            <a:ea typeface="Arial"/>
            <a:cs typeface="Arial"/>
            <a:sym typeface="Arial"/>
          </a:endParaRPr>
        </a:p>
        <a:p>
          <a:r>
            <a:rPr lang="en-ID" sz="1200" b="0" i="0" u="none" strike="noStrike" cap="none">
              <a:solidFill>
                <a:srgbClr val="000000"/>
              </a:solidFill>
              <a:effectLst/>
              <a:latin typeface="Arial"/>
              <a:ea typeface="Arial"/>
              <a:cs typeface="Arial"/>
              <a:sym typeface="Arial"/>
            </a:rPr>
            <a:t>Namun, bank bisa memberi rekomendasi manajemen keuangan yang lebih baik, seperti mengurangi pinjaman konsumtif di masa mendatang agar beban cicilan tetap terkendali</a:t>
          </a:r>
          <a:endParaRPr lang="en-ID" sz="1200" b="1" i="0" u="none" strike="noStrike" cap="none">
            <a:solidFill>
              <a:srgbClr val="000000"/>
            </a:solidFill>
            <a:effectLst/>
            <a:latin typeface="Arial"/>
            <a:ea typeface="Arial"/>
            <a:cs typeface="Arial"/>
            <a:sym typeface="Roboto"/>
          </a:endParaRPr>
        </a:p>
      </xdr:txBody>
    </xdr:sp>
    <xdr:clientData/>
  </xdr:twoCellAnchor>
</xdr:wsDr>
</file>

<file path=xl/drawings/drawing20.xml><?xml version="1.0" encoding="utf-8"?>
<xdr:wsDr xmlns:xdr="http://schemas.openxmlformats.org/drawingml/2006/spreadsheetDrawing" xmlns:a="http://schemas.openxmlformats.org/drawingml/2006/main">
  <xdr:twoCellAnchor>
    <xdr:from>
      <xdr:col>0</xdr:col>
      <xdr:colOff>0</xdr:colOff>
      <xdr:row>5</xdr:row>
      <xdr:rowOff>123825</xdr:rowOff>
    </xdr:from>
    <xdr:to>
      <xdr:col>4</xdr:col>
      <xdr:colOff>9524</xdr:colOff>
      <xdr:row>20</xdr:row>
      <xdr:rowOff>28575</xdr:rowOff>
    </xdr:to>
    <xdr:sp macro="" textlink="">
      <xdr:nvSpPr>
        <xdr:cNvPr id="3" name="Google Shape;86;p15">
          <a:extLst>
            <a:ext uri="{FF2B5EF4-FFF2-40B4-BE49-F238E27FC236}">
              <a16:creationId xmlns:a16="http://schemas.microsoft.com/office/drawing/2014/main" id="{1DC16D0A-9D6C-3A2E-FAC9-811B40AD0A6F}"/>
            </a:ext>
          </a:extLst>
        </xdr:cNvPr>
        <xdr:cNvSpPr txBox="1"/>
      </xdr:nvSpPr>
      <xdr:spPr>
        <a:xfrm>
          <a:off x="0" y="1123950"/>
          <a:ext cx="6829424" cy="2905125"/>
        </a:xfrm>
        <a:prstGeom prst="rect">
          <a:avLst/>
        </a:prstGeom>
        <a:solidFill>
          <a:schemeClr val="bg2"/>
        </a:solidFill>
        <a:ln>
          <a:noFill/>
        </a:ln>
      </xdr:spPr>
      <xdr:txBody>
        <a:bodyPr spcFirstLastPara="1" wrap="square" lIns="91425" tIns="91425" rIns="91425" bIns="91425" anchor="ctr" anchorCtr="0">
          <a:no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lvl="0" indent="0" algn="l" rtl="0">
            <a:lnSpc>
              <a:spcPct val="115000"/>
            </a:lnSpc>
            <a:spcBef>
              <a:spcPts val="0"/>
            </a:spcBef>
            <a:spcAft>
              <a:spcPts val="0"/>
            </a:spcAft>
            <a:buNone/>
          </a:pPr>
          <a:r>
            <a:rPr lang="id" sz="1200">
              <a:latin typeface="Roboto"/>
              <a:ea typeface="Roboto"/>
              <a:cs typeface="Roboto"/>
              <a:sym typeface="Roboto"/>
            </a:rPr>
            <a:t>Kamu bekerja sebagai akuntan di PT Indofood CBP Sukses Makmur. Produsen produk konsumen yang bergerak dalam berbagai kategori bisnis, seperti mie, susu, makanan ringan, penyedap makanan, makanan khusus, dan minuman. Kamu bertanggung jawab atas perhitungan biaya Divisi Produksi Mie. </a:t>
          </a:r>
          <a:endParaRPr sz="1200">
            <a:latin typeface="Roboto"/>
            <a:ea typeface="Roboto"/>
            <a:cs typeface="Roboto"/>
            <a:sym typeface="Roboto"/>
          </a:endParaRPr>
        </a:p>
        <a:p>
          <a:pPr marL="0" lvl="0" indent="0" algn="l" rtl="0">
            <a:lnSpc>
              <a:spcPct val="115000"/>
            </a:lnSpc>
            <a:spcBef>
              <a:spcPts val="0"/>
            </a:spcBef>
            <a:spcAft>
              <a:spcPts val="0"/>
            </a:spcAft>
            <a:buNone/>
          </a:pPr>
          <a:endParaRPr sz="1200">
            <a:latin typeface="Roboto"/>
            <a:ea typeface="Roboto"/>
            <a:cs typeface="Roboto"/>
            <a:sym typeface="Roboto"/>
          </a:endParaRPr>
        </a:p>
        <a:p>
          <a:pPr marL="0" lvl="0" indent="0" algn="l" rtl="0">
            <a:lnSpc>
              <a:spcPct val="115000"/>
            </a:lnSpc>
            <a:spcBef>
              <a:spcPts val="0"/>
            </a:spcBef>
            <a:spcAft>
              <a:spcPts val="0"/>
            </a:spcAft>
            <a:buNone/>
          </a:pPr>
          <a:r>
            <a:rPr lang="id" sz="1200">
              <a:latin typeface="Roboto"/>
              <a:ea typeface="Roboto"/>
              <a:cs typeface="Roboto"/>
              <a:sym typeface="Roboto"/>
            </a:rPr>
            <a:t>Dalam proses produksi mie, ada 2 departemen produksi yaitu departemen pemrosesan dan departemen pengemasan. Departemen pemrosesan berfokus pada mengolah bahan mentah menjadi produk setengah jadi. Sedangkan, departemen pengemasan berfokus pada tahap finalisasi produk sampai dengan pengemasan dan distribusi ke gudang.</a:t>
          </a:r>
          <a:endParaRPr sz="1200">
            <a:latin typeface="Roboto"/>
            <a:ea typeface="Roboto"/>
            <a:cs typeface="Roboto"/>
            <a:sym typeface="Roboto"/>
          </a:endParaRPr>
        </a:p>
        <a:p>
          <a:pPr marL="0" lvl="0" indent="0" algn="l" rtl="0">
            <a:lnSpc>
              <a:spcPct val="115000"/>
            </a:lnSpc>
            <a:spcBef>
              <a:spcPts val="0"/>
            </a:spcBef>
            <a:spcAft>
              <a:spcPts val="0"/>
            </a:spcAft>
            <a:buNone/>
          </a:pPr>
          <a:endParaRPr sz="1200">
            <a:latin typeface="Roboto"/>
            <a:ea typeface="Roboto"/>
            <a:cs typeface="Roboto"/>
            <a:sym typeface="Roboto"/>
          </a:endParaRPr>
        </a:p>
        <a:p>
          <a:pPr marL="0" lvl="0" indent="0" algn="l" rtl="0">
            <a:lnSpc>
              <a:spcPct val="115000"/>
            </a:lnSpc>
            <a:spcBef>
              <a:spcPts val="0"/>
            </a:spcBef>
            <a:spcAft>
              <a:spcPts val="0"/>
            </a:spcAft>
            <a:buNone/>
          </a:pPr>
          <a:r>
            <a:rPr lang="id" sz="1200" b="1">
              <a:latin typeface="Roboto"/>
              <a:ea typeface="Roboto"/>
              <a:cs typeface="Roboto"/>
              <a:sym typeface="Roboto"/>
            </a:rPr>
            <a:t>Berdasarkan informasi biaya produksi dari Divisi Produksi Mie, kamu diminta untuk menentukan harga pokok produksi PT Indofood di Google Sheet. </a:t>
          </a:r>
          <a:r>
            <a:rPr lang="id" sz="1200">
              <a:latin typeface="Roboto"/>
              <a:ea typeface="Roboto"/>
              <a:cs typeface="Roboto"/>
              <a:sym typeface="Roboto"/>
            </a:rPr>
            <a:t>PT Indofood menggunakan perhitungan biaya berdasarkan aktivitas untuk menentukan harga pokok produksinya. </a:t>
          </a:r>
          <a:endParaRPr sz="1200">
            <a:latin typeface="Roboto"/>
            <a:ea typeface="Roboto"/>
            <a:cs typeface="Roboto"/>
            <a:sym typeface="Roboto"/>
          </a:endParaRPr>
        </a:p>
      </xdr:txBody>
    </xdr:sp>
    <xdr:clientData/>
  </xdr:twoCellAnchor>
  <xdr:twoCellAnchor>
    <xdr:from>
      <xdr:col>0</xdr:col>
      <xdr:colOff>76200</xdr:colOff>
      <xdr:row>21</xdr:row>
      <xdr:rowOff>9525</xdr:rowOff>
    </xdr:from>
    <xdr:to>
      <xdr:col>4</xdr:col>
      <xdr:colOff>76200</xdr:colOff>
      <xdr:row>32</xdr:row>
      <xdr:rowOff>236175</xdr:rowOff>
    </xdr:to>
    <xdr:sp macro="" textlink="">
      <xdr:nvSpPr>
        <xdr:cNvPr id="5" name="Google Shape;110;p16">
          <a:extLst>
            <a:ext uri="{FF2B5EF4-FFF2-40B4-BE49-F238E27FC236}">
              <a16:creationId xmlns:a16="http://schemas.microsoft.com/office/drawing/2014/main" id="{C4A25D7E-C5BF-7C98-3CC7-E0AB544C0E69}"/>
            </a:ext>
          </a:extLst>
        </xdr:cNvPr>
        <xdr:cNvSpPr/>
      </xdr:nvSpPr>
      <xdr:spPr>
        <a:xfrm>
          <a:off x="76200" y="4210050"/>
          <a:ext cx="6819900" cy="2731725"/>
        </a:xfrm>
        <a:prstGeom prst="rect">
          <a:avLst/>
        </a:prstGeom>
        <a:solidFill>
          <a:schemeClr val="bg2"/>
        </a:solidFill>
        <a:ln>
          <a:noFill/>
        </a:ln>
      </xdr:spPr>
      <xdr:txBody>
        <a:bodyPr spcFirstLastPara="1" wrap="square" lIns="91425" tIns="91425" rIns="91425" bIns="91425" anchor="ctr" anchorCtr="0">
          <a:no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marR="0" lvl="0" indent="0" algn="l" rtl="0">
            <a:lnSpc>
              <a:spcPct val="115000"/>
            </a:lnSpc>
            <a:spcBef>
              <a:spcPts val="0"/>
            </a:spcBef>
            <a:spcAft>
              <a:spcPts val="0"/>
            </a:spcAft>
            <a:buClr>
              <a:srgbClr val="000000"/>
            </a:buClr>
            <a:buSzPts val="1200"/>
            <a:buFont typeface="Arial"/>
            <a:buNone/>
          </a:pPr>
          <a:r>
            <a:rPr lang="id" sz="1200">
              <a:latin typeface="Roboto"/>
              <a:ea typeface="Roboto"/>
              <a:cs typeface="Roboto"/>
              <a:sym typeface="Roboto"/>
            </a:rPr>
            <a:t>Berikut adalah Data dari Divisi Produksi Mie. </a:t>
          </a:r>
          <a:endParaRPr sz="1200">
            <a:latin typeface="Roboto"/>
            <a:ea typeface="Roboto"/>
            <a:cs typeface="Roboto"/>
            <a:sym typeface="Roboto"/>
          </a:endParaRPr>
        </a:p>
        <a:p>
          <a:pPr marL="0" marR="0" lvl="0" indent="0" algn="l" rtl="0">
            <a:lnSpc>
              <a:spcPct val="115000"/>
            </a:lnSpc>
            <a:spcBef>
              <a:spcPts val="0"/>
            </a:spcBef>
            <a:spcAft>
              <a:spcPts val="0"/>
            </a:spcAft>
            <a:buClr>
              <a:srgbClr val="000000"/>
            </a:buClr>
            <a:buSzPts val="1200"/>
            <a:buFont typeface="Arial"/>
            <a:buNone/>
          </a:pPr>
          <a:r>
            <a:rPr lang="id" sz="1200">
              <a:latin typeface="Roboto"/>
              <a:ea typeface="Roboto"/>
              <a:cs typeface="Roboto"/>
              <a:sym typeface="Roboto"/>
            </a:rPr>
            <a:t>Divisi Produksi Mie menghasilkan dua jenis produk, Mie Soto dan Mie Ayam Bawang.</a:t>
          </a:r>
          <a:endParaRPr sz="1200">
            <a:latin typeface="Roboto"/>
            <a:ea typeface="Roboto"/>
            <a:cs typeface="Roboto"/>
            <a:sym typeface="Roboto"/>
          </a:endParaRPr>
        </a:p>
        <a:p>
          <a:pPr marL="0" marR="0" lvl="0" indent="0" algn="l" rtl="0">
            <a:lnSpc>
              <a:spcPct val="115000"/>
            </a:lnSpc>
            <a:spcBef>
              <a:spcPts val="0"/>
            </a:spcBef>
            <a:spcAft>
              <a:spcPts val="0"/>
            </a:spcAft>
            <a:buClr>
              <a:srgbClr val="000000"/>
            </a:buClr>
            <a:buSzPts val="1200"/>
            <a:buFont typeface="Arial"/>
            <a:buNone/>
          </a:pPr>
          <a:endParaRPr sz="1200">
            <a:latin typeface="Roboto"/>
            <a:ea typeface="Roboto"/>
            <a:cs typeface="Roboto"/>
            <a:sym typeface="Roboto"/>
          </a:endParaRPr>
        </a:p>
        <a:p>
          <a:pPr marL="0" marR="0" lvl="0" indent="0" algn="l" rtl="0">
            <a:lnSpc>
              <a:spcPct val="115000"/>
            </a:lnSpc>
            <a:spcBef>
              <a:spcPts val="0"/>
            </a:spcBef>
            <a:spcAft>
              <a:spcPts val="0"/>
            </a:spcAft>
            <a:buClr>
              <a:srgbClr val="000000"/>
            </a:buClr>
            <a:buSzPts val="1200"/>
            <a:buFont typeface="Arial"/>
            <a:buNone/>
          </a:pPr>
          <a:r>
            <a:rPr lang="id" sz="1200">
              <a:latin typeface="Roboto"/>
              <a:ea typeface="Roboto"/>
              <a:cs typeface="Roboto"/>
              <a:sym typeface="Roboto"/>
            </a:rPr>
            <a:t>Aktivitas Produksi yang mengkonsumsi BOP dibedakan menjadi 2 jenis yaitu : </a:t>
          </a:r>
          <a:endParaRPr sz="1200">
            <a:latin typeface="Roboto"/>
            <a:ea typeface="Roboto"/>
            <a:cs typeface="Roboto"/>
            <a:sym typeface="Roboto"/>
          </a:endParaRPr>
        </a:p>
        <a:p>
          <a:pPr marL="457200" marR="0" lvl="0" indent="-304800" algn="l" rtl="0">
            <a:lnSpc>
              <a:spcPct val="115000"/>
            </a:lnSpc>
            <a:spcBef>
              <a:spcPts val="0"/>
            </a:spcBef>
            <a:spcAft>
              <a:spcPts val="0"/>
            </a:spcAft>
            <a:buSzPts val="1200"/>
            <a:buFont typeface="Roboto"/>
            <a:buAutoNum type="alphaLcPeriod"/>
          </a:pPr>
          <a:r>
            <a:rPr lang="id" sz="1200">
              <a:latin typeface="Roboto"/>
              <a:ea typeface="Roboto"/>
              <a:cs typeface="Roboto"/>
              <a:sym typeface="Roboto"/>
            </a:rPr>
            <a:t>Unit Level : Biaya Listrik dan energi, Biaya Inspeksi</a:t>
          </a:r>
          <a:endParaRPr sz="1200">
            <a:latin typeface="Roboto"/>
            <a:ea typeface="Roboto"/>
            <a:cs typeface="Roboto"/>
            <a:sym typeface="Roboto"/>
          </a:endParaRPr>
        </a:p>
        <a:p>
          <a:pPr marL="457200" marR="0" lvl="0" indent="-304800" algn="l" rtl="0">
            <a:lnSpc>
              <a:spcPct val="115000"/>
            </a:lnSpc>
            <a:spcBef>
              <a:spcPts val="0"/>
            </a:spcBef>
            <a:spcAft>
              <a:spcPts val="0"/>
            </a:spcAft>
            <a:buSzPts val="1200"/>
            <a:buFont typeface="Roboto"/>
            <a:buAutoNum type="alphaLcPeriod"/>
          </a:pPr>
          <a:r>
            <a:rPr lang="id" sz="1200">
              <a:latin typeface="Roboto"/>
              <a:ea typeface="Roboto"/>
              <a:cs typeface="Roboto"/>
              <a:sym typeface="Roboto"/>
            </a:rPr>
            <a:t>Batch Level : Biaya Penyetelan, Biaya Penanganan Material</a:t>
          </a:r>
          <a:endParaRPr sz="1200">
            <a:latin typeface="Roboto"/>
            <a:ea typeface="Roboto"/>
            <a:cs typeface="Roboto"/>
            <a:sym typeface="Roboto"/>
          </a:endParaRPr>
        </a:p>
        <a:p>
          <a:pPr marL="0" marR="0" lvl="0" indent="0" algn="l" rtl="0">
            <a:lnSpc>
              <a:spcPct val="115000"/>
            </a:lnSpc>
            <a:spcBef>
              <a:spcPts val="0"/>
            </a:spcBef>
            <a:spcAft>
              <a:spcPts val="0"/>
            </a:spcAft>
            <a:buNone/>
          </a:pPr>
          <a:endParaRPr>
            <a:latin typeface="Roboto"/>
            <a:ea typeface="Roboto"/>
            <a:cs typeface="Roboto"/>
            <a:sym typeface="Roboto"/>
          </a:endParaRPr>
        </a:p>
        <a:p>
          <a:pPr marL="0" lvl="0" indent="0" algn="l" rtl="0">
            <a:lnSpc>
              <a:spcPct val="115000"/>
            </a:lnSpc>
            <a:spcBef>
              <a:spcPts val="0"/>
            </a:spcBef>
            <a:spcAft>
              <a:spcPts val="0"/>
            </a:spcAft>
            <a:buNone/>
          </a:pPr>
          <a:r>
            <a:rPr lang="id" sz="1200" b="1">
              <a:solidFill>
                <a:schemeClr val="dk1"/>
              </a:solidFill>
              <a:latin typeface="Roboto"/>
              <a:ea typeface="Roboto"/>
              <a:cs typeface="Roboto"/>
              <a:sym typeface="Roboto"/>
            </a:rPr>
            <a:t>Biaya overhead pabrik dibebankan berdasarkan :</a:t>
          </a:r>
          <a:endParaRPr sz="1200">
            <a:solidFill>
              <a:schemeClr val="dk1"/>
            </a:solidFill>
            <a:latin typeface="Roboto"/>
            <a:ea typeface="Roboto"/>
            <a:cs typeface="Roboto"/>
            <a:sym typeface="Roboto"/>
          </a:endParaRPr>
        </a:p>
        <a:p>
          <a:pPr marL="0" lvl="0" indent="0" algn="l" rtl="0">
            <a:lnSpc>
              <a:spcPct val="115000"/>
            </a:lnSpc>
            <a:spcBef>
              <a:spcPts val="0"/>
            </a:spcBef>
            <a:spcAft>
              <a:spcPts val="0"/>
            </a:spcAft>
            <a:buClr>
              <a:schemeClr val="dk1"/>
            </a:buClr>
            <a:buSzPts val="1100"/>
            <a:buFont typeface="Arial"/>
            <a:buNone/>
          </a:pPr>
          <a:r>
            <a:rPr lang="id" sz="1200">
              <a:solidFill>
                <a:schemeClr val="dk1"/>
              </a:solidFill>
              <a:latin typeface="Roboto"/>
              <a:ea typeface="Roboto"/>
              <a:cs typeface="Roboto"/>
              <a:sym typeface="Roboto"/>
            </a:rPr>
            <a:t>Pembebanan Unit Level berdasarkan </a:t>
          </a:r>
          <a:r>
            <a:rPr lang="id" sz="1200" b="1">
              <a:solidFill>
                <a:schemeClr val="dk1"/>
              </a:solidFill>
              <a:latin typeface="Roboto"/>
              <a:ea typeface="Roboto"/>
              <a:cs typeface="Roboto"/>
              <a:sym typeface="Roboto"/>
            </a:rPr>
            <a:t>pergerakan produksi</a:t>
          </a:r>
          <a:r>
            <a:rPr lang="id" sz="1200">
              <a:solidFill>
                <a:schemeClr val="dk1"/>
              </a:solidFill>
              <a:latin typeface="Roboto"/>
              <a:ea typeface="Roboto"/>
              <a:cs typeface="Roboto"/>
              <a:sym typeface="Roboto"/>
            </a:rPr>
            <a:t> dan pembebanan Batch Level berdasarkan </a:t>
          </a:r>
          <a:r>
            <a:rPr lang="id" sz="1200" b="1">
              <a:solidFill>
                <a:schemeClr val="dk1"/>
              </a:solidFill>
              <a:latin typeface="Roboto"/>
              <a:ea typeface="Roboto"/>
              <a:cs typeface="Roboto"/>
              <a:sym typeface="Roboto"/>
            </a:rPr>
            <a:t>jam kerja mesin.</a:t>
          </a:r>
          <a:endParaRPr sz="1200" b="1">
            <a:solidFill>
              <a:schemeClr val="dk1"/>
            </a:solidFill>
            <a:latin typeface="Roboto"/>
            <a:ea typeface="Roboto"/>
            <a:cs typeface="Roboto"/>
            <a:sym typeface="Roboto"/>
          </a:endParaRPr>
        </a:p>
      </xdr:txBody>
    </xdr:sp>
    <xdr:clientData/>
  </xdr:twoCellAnchor>
  <xdr:twoCellAnchor>
    <xdr:from>
      <xdr:col>0</xdr:col>
      <xdr:colOff>9524</xdr:colOff>
      <xdr:row>0</xdr:row>
      <xdr:rowOff>84237</xdr:rowOff>
    </xdr:from>
    <xdr:to>
      <xdr:col>4</xdr:col>
      <xdr:colOff>19050</xdr:colOff>
      <xdr:row>4</xdr:row>
      <xdr:rowOff>158864</xdr:rowOff>
    </xdr:to>
    <xdr:sp macro="" textlink="">
      <xdr:nvSpPr>
        <xdr:cNvPr id="7" name="Google Shape;85;p15">
          <a:extLst>
            <a:ext uri="{FF2B5EF4-FFF2-40B4-BE49-F238E27FC236}">
              <a16:creationId xmlns:a16="http://schemas.microsoft.com/office/drawing/2014/main" id="{B759D2A8-95F3-600D-32BD-B9E615DD0028}"/>
            </a:ext>
          </a:extLst>
        </xdr:cNvPr>
        <xdr:cNvSpPr txBox="1"/>
      </xdr:nvSpPr>
      <xdr:spPr>
        <a:xfrm>
          <a:off x="9524" y="84237"/>
          <a:ext cx="6829426" cy="874727"/>
        </a:xfrm>
        <a:prstGeom prst="rect">
          <a:avLst/>
        </a:prstGeom>
        <a:solidFill>
          <a:schemeClr val="bg2"/>
        </a:solidFill>
        <a:ln>
          <a:noFill/>
        </a:ln>
      </xdr:spPr>
      <xdr:txBody>
        <a:bodyPr spcFirstLastPara="1" wrap="square" lIns="0" tIns="12700" rIns="0" bIns="0" anchor="ctr" anchorCtr="0">
          <a:sp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12700" lvl="0" indent="0" algn="l" rtl="0">
            <a:spcBef>
              <a:spcPts val="0"/>
            </a:spcBef>
            <a:spcAft>
              <a:spcPts val="0"/>
            </a:spcAft>
            <a:buClr>
              <a:schemeClr val="dk1"/>
            </a:buClr>
            <a:buSzPts val="1100"/>
            <a:buFont typeface="Arial"/>
            <a:buNone/>
          </a:pPr>
          <a:r>
            <a:rPr lang="id" sz="2800" b="1">
              <a:solidFill>
                <a:schemeClr val="tx1"/>
              </a:solidFill>
              <a:latin typeface="Roboto"/>
              <a:ea typeface="Roboto"/>
              <a:cs typeface="Roboto"/>
              <a:sym typeface="Roboto"/>
            </a:rPr>
            <a:t>Biaya Berdasarkan Aktivitas (Activity Based Costing)</a:t>
          </a:r>
          <a:endParaRPr sz="2800" b="1">
            <a:solidFill>
              <a:schemeClr val="tx1"/>
            </a:solidFill>
            <a:latin typeface="Roboto"/>
            <a:ea typeface="Roboto"/>
            <a:cs typeface="Roboto"/>
            <a:sym typeface="Roboto"/>
          </a:endParaRPr>
        </a:p>
      </xdr:txBody>
    </xdr:sp>
    <xdr:clientData/>
  </xdr:twoCellAnchor>
</xdr:wsDr>
</file>

<file path=xl/drawings/drawing21.xml><?xml version="1.0" encoding="utf-8"?>
<xdr:wsDr xmlns:xdr="http://schemas.openxmlformats.org/drawingml/2006/spreadsheetDrawing" xmlns:a="http://schemas.openxmlformats.org/drawingml/2006/main">
  <xdr:twoCellAnchor>
    <xdr:from>
      <xdr:col>0</xdr:col>
      <xdr:colOff>0</xdr:colOff>
      <xdr:row>33</xdr:row>
      <xdr:rowOff>76199</xdr:rowOff>
    </xdr:from>
    <xdr:to>
      <xdr:col>5</xdr:col>
      <xdr:colOff>561975</xdr:colOff>
      <xdr:row>48</xdr:row>
      <xdr:rowOff>123824</xdr:rowOff>
    </xdr:to>
    <xdr:sp macro="" textlink="">
      <xdr:nvSpPr>
        <xdr:cNvPr id="3" name="Google Shape;87;g274a6b38a16_0_0">
          <a:extLst>
            <a:ext uri="{FF2B5EF4-FFF2-40B4-BE49-F238E27FC236}">
              <a16:creationId xmlns:a16="http://schemas.microsoft.com/office/drawing/2014/main" id="{DF3BDC29-F00D-4EDB-AFAA-3ACE049FC4CF}"/>
            </a:ext>
          </a:extLst>
        </xdr:cNvPr>
        <xdr:cNvSpPr txBox="1"/>
      </xdr:nvSpPr>
      <xdr:spPr>
        <a:xfrm>
          <a:off x="0" y="6410324"/>
          <a:ext cx="7429500" cy="2905125"/>
        </a:xfrm>
        <a:prstGeom prst="rect">
          <a:avLst/>
        </a:prstGeom>
        <a:solidFill>
          <a:schemeClr val="bg2"/>
        </a:solidFill>
        <a:ln>
          <a:noFill/>
        </a:ln>
      </xdr:spPr>
      <xdr:txBody>
        <a:bodyPr spcFirstLastPara="1" wrap="square" lIns="91425" tIns="91425" rIns="91425" bIns="91425" anchor="ctr" anchorCtr="0">
          <a:no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marR="0" lvl="0" indent="0" algn="l" rtl="0">
            <a:lnSpc>
              <a:spcPct val="115000"/>
            </a:lnSpc>
            <a:spcBef>
              <a:spcPts val="1200"/>
            </a:spcBef>
            <a:spcAft>
              <a:spcPts val="0"/>
            </a:spcAft>
            <a:buClr>
              <a:schemeClr val="dk1"/>
            </a:buClr>
            <a:buSzPts val="1100"/>
            <a:buFont typeface="Arial"/>
            <a:buNone/>
          </a:pPr>
          <a:r>
            <a:rPr lang="en-ID" sz="1200" b="1" i="0" u="none" strike="noStrike" cap="none">
              <a:solidFill>
                <a:schemeClr val="dk1"/>
              </a:solidFill>
              <a:latin typeface="Roboto"/>
              <a:ea typeface="Roboto"/>
              <a:cs typeface="Roboto"/>
              <a:sym typeface="Roboto"/>
            </a:rPr>
            <a:t>Analisis :</a:t>
          </a:r>
        </a:p>
        <a:p>
          <a:pPr marL="0" marR="0" lvl="0" indent="0" algn="l" rtl="0">
            <a:lnSpc>
              <a:spcPct val="115000"/>
            </a:lnSpc>
            <a:spcBef>
              <a:spcPts val="1200"/>
            </a:spcBef>
            <a:spcAft>
              <a:spcPts val="0"/>
            </a:spcAft>
            <a:buClr>
              <a:schemeClr val="dk1"/>
            </a:buClr>
            <a:buSzPts val="1100"/>
            <a:buFont typeface="Arial"/>
            <a:buNone/>
          </a:pPr>
          <a:r>
            <a:rPr lang="en-ID" sz="1200" b="0" i="0" u="none" strike="noStrike" cap="none">
              <a:solidFill>
                <a:schemeClr val="dk1"/>
              </a:solidFill>
              <a:latin typeface="Roboto"/>
              <a:ea typeface="Roboto"/>
              <a:cs typeface="Roboto"/>
              <a:sym typeface="Roboto"/>
            </a:rPr>
            <a:t>Mie Ayam Bawang itu lebih efisien dari segi biaya produksinya. Biaya buat bikin satu porsinya cuma Rp 18.000, lebih murah dari pada Mie Soto yang sampai Rp 20.000. Padahal total semua biaya produksi Mie Ayam Bawang memang lebih besar, tapi karena jumlah yang dibuatnya jauh lebih banyak (20.000 porsi), akhirnya biaya per porsinya jadi lebih ringan. Kunci efisiensinya ada di biaya bahan baku dan tenaga kerjanya per porsi yang lebih hemat.Jadi, secara bisnis, Mie Ayam Bawang ini punya peluang untung yang lebih besar dan ruang untuk main harga yang lebih fleksibel. Sementara itu, Mie Soto perlu dicek lagi, kenapa biaya bahan dan tenaga kerjanya per porsi lebih tinggi. Mungkin bisa dicari bahan yang lebih hemat atau diproduksi dalam jumlah lebih banyak biar biayanya turun</a:t>
          </a:r>
          <a:endParaRPr sz="1200" b="0" i="0" u="none" strike="noStrike" cap="none">
            <a:solidFill>
              <a:schemeClr val="dk1"/>
            </a:solidFill>
            <a:latin typeface="Roboto"/>
            <a:ea typeface="Roboto"/>
            <a:cs typeface="Roboto"/>
            <a:sym typeface="Roboto"/>
          </a:endParaRPr>
        </a:p>
      </xdr:txBody>
    </xdr:sp>
    <xdr:clientData/>
  </xdr:twoCellAnchor>
</xdr:wsDr>
</file>

<file path=xl/drawings/drawing22.xml><?xml version="1.0" encoding="utf-8"?>
<xdr:wsDr xmlns:xdr="http://schemas.openxmlformats.org/drawingml/2006/spreadsheetDrawing" xmlns:a="http://schemas.openxmlformats.org/drawingml/2006/main">
  <xdr:twoCellAnchor>
    <xdr:from>
      <xdr:col>0</xdr:col>
      <xdr:colOff>0</xdr:colOff>
      <xdr:row>4</xdr:row>
      <xdr:rowOff>76200</xdr:rowOff>
    </xdr:from>
    <xdr:to>
      <xdr:col>4</xdr:col>
      <xdr:colOff>400050</xdr:colOff>
      <xdr:row>15</xdr:row>
      <xdr:rowOff>95100</xdr:rowOff>
    </xdr:to>
    <xdr:sp macro="" textlink="">
      <xdr:nvSpPr>
        <xdr:cNvPr id="3" name="Google Shape;86;p15">
          <a:extLst>
            <a:ext uri="{FF2B5EF4-FFF2-40B4-BE49-F238E27FC236}">
              <a16:creationId xmlns:a16="http://schemas.microsoft.com/office/drawing/2014/main" id="{C8929EED-F675-3C45-2D95-E07E7C02EE85}"/>
            </a:ext>
          </a:extLst>
        </xdr:cNvPr>
        <xdr:cNvSpPr txBox="1"/>
      </xdr:nvSpPr>
      <xdr:spPr>
        <a:xfrm>
          <a:off x="0" y="838200"/>
          <a:ext cx="8667750" cy="2114400"/>
        </a:xfrm>
        <a:prstGeom prst="rect">
          <a:avLst/>
        </a:prstGeom>
        <a:solidFill>
          <a:schemeClr val="bg2"/>
        </a:solidFill>
        <a:ln>
          <a:noFill/>
        </a:ln>
      </xdr:spPr>
      <xdr:txBody>
        <a:bodyPr spcFirstLastPara="1" wrap="square" lIns="91425" tIns="91425" rIns="91425" bIns="91425" anchor="ctr" anchorCtr="0">
          <a:no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lvl="0" indent="0" algn="l" rtl="0">
            <a:lnSpc>
              <a:spcPct val="115000"/>
            </a:lnSpc>
            <a:spcBef>
              <a:spcPts val="0"/>
            </a:spcBef>
            <a:spcAft>
              <a:spcPts val="0"/>
            </a:spcAft>
            <a:buNone/>
          </a:pPr>
          <a:r>
            <a:rPr lang="id" sz="1200">
              <a:latin typeface="Roboto"/>
              <a:ea typeface="Roboto"/>
              <a:cs typeface="Roboto"/>
              <a:sym typeface="Roboto"/>
            </a:rPr>
            <a:t>Kamu bekerja sebagai akuntan di Perusahaan Mebel dan Furniture yang bernama PT Mebel Indo. Perusahaan ini memproduksi furniture berupa kursi, lemari, meja berdasarkan pesanan yang masuk dari pelanggan. Pada PT Mebel Indo hanya terdapat 1 departemen produksi.  Departemen Produksi bertugas untuk mengolah kayu sesuai dengan pesanan dari pelanggan sampai dengan melakukan pengecatan dan pengamplasan produk.</a:t>
          </a:r>
          <a:endParaRPr sz="1200">
            <a:latin typeface="Roboto"/>
            <a:ea typeface="Roboto"/>
            <a:cs typeface="Roboto"/>
            <a:sym typeface="Roboto"/>
          </a:endParaRPr>
        </a:p>
        <a:p>
          <a:pPr marL="0" lvl="0" indent="0" algn="l" rtl="0">
            <a:lnSpc>
              <a:spcPct val="115000"/>
            </a:lnSpc>
            <a:spcBef>
              <a:spcPts val="0"/>
            </a:spcBef>
            <a:spcAft>
              <a:spcPts val="0"/>
            </a:spcAft>
            <a:buNone/>
          </a:pPr>
          <a:endParaRPr sz="1200">
            <a:latin typeface="Roboto"/>
            <a:ea typeface="Roboto"/>
            <a:cs typeface="Roboto"/>
            <a:sym typeface="Roboto"/>
          </a:endParaRPr>
        </a:p>
        <a:p>
          <a:pPr marL="0" lvl="0" indent="0" algn="l" rtl="0">
            <a:lnSpc>
              <a:spcPct val="115000"/>
            </a:lnSpc>
            <a:spcBef>
              <a:spcPts val="0"/>
            </a:spcBef>
            <a:spcAft>
              <a:spcPts val="0"/>
            </a:spcAft>
            <a:buNone/>
          </a:pPr>
          <a:r>
            <a:rPr lang="id" sz="1200">
              <a:latin typeface="Roboto"/>
              <a:ea typeface="Roboto"/>
              <a:cs typeface="Roboto"/>
              <a:sym typeface="Roboto"/>
            </a:rPr>
            <a:t>PT Mebel Indo menggunakan sistem biaya standar untuk menentukan harga pokok produksinya. </a:t>
          </a:r>
          <a:endParaRPr sz="1200">
            <a:latin typeface="Roboto"/>
            <a:ea typeface="Roboto"/>
            <a:cs typeface="Roboto"/>
            <a:sym typeface="Roboto"/>
          </a:endParaRPr>
        </a:p>
      </xdr:txBody>
    </xdr:sp>
    <xdr:clientData/>
  </xdr:twoCellAnchor>
  <xdr:twoCellAnchor>
    <xdr:from>
      <xdr:col>0</xdr:col>
      <xdr:colOff>0</xdr:colOff>
      <xdr:row>1</xdr:row>
      <xdr:rowOff>0</xdr:rowOff>
    </xdr:from>
    <xdr:to>
      <xdr:col>1</xdr:col>
      <xdr:colOff>1138620</xdr:colOff>
      <xdr:row>3</xdr:row>
      <xdr:rowOff>71535</xdr:rowOff>
    </xdr:to>
    <xdr:sp macro="" textlink="">
      <xdr:nvSpPr>
        <xdr:cNvPr id="5" name="Google Shape;85;p15">
          <a:extLst>
            <a:ext uri="{FF2B5EF4-FFF2-40B4-BE49-F238E27FC236}">
              <a16:creationId xmlns:a16="http://schemas.microsoft.com/office/drawing/2014/main" id="{FC6CC71F-4FA6-1DE1-87DD-AE75E8D581B9}"/>
            </a:ext>
          </a:extLst>
        </xdr:cNvPr>
        <xdr:cNvSpPr txBox="1"/>
      </xdr:nvSpPr>
      <xdr:spPr>
        <a:xfrm>
          <a:off x="0" y="186121"/>
          <a:ext cx="3667672" cy="443776"/>
        </a:xfrm>
        <a:prstGeom prst="rect">
          <a:avLst/>
        </a:prstGeom>
        <a:solidFill>
          <a:schemeClr val="bg2"/>
        </a:solidFill>
        <a:ln>
          <a:noFill/>
        </a:ln>
      </xdr:spPr>
      <xdr:txBody>
        <a:bodyPr spcFirstLastPara="1" wrap="square" lIns="0" tIns="12700" rIns="0" bIns="0" anchor="t" anchorCtr="0">
          <a:sp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12700" lvl="0" indent="0" algn="l" rtl="0">
            <a:spcBef>
              <a:spcPts val="0"/>
            </a:spcBef>
            <a:spcAft>
              <a:spcPts val="0"/>
            </a:spcAft>
            <a:buClr>
              <a:schemeClr val="dk1"/>
            </a:buClr>
            <a:buSzPts val="1100"/>
            <a:buFont typeface="Arial"/>
            <a:buNone/>
          </a:pPr>
          <a:r>
            <a:rPr lang="id" sz="2800" b="1">
              <a:solidFill>
                <a:schemeClr val="tx1"/>
              </a:solidFill>
              <a:latin typeface="Roboto"/>
              <a:ea typeface="Roboto"/>
              <a:cs typeface="Roboto"/>
              <a:sym typeface="Roboto"/>
            </a:rPr>
            <a:t>Sistem Biaya Standar</a:t>
          </a:r>
          <a:endParaRPr sz="2800" b="1">
            <a:solidFill>
              <a:schemeClr val="tx1"/>
            </a:solidFill>
            <a:latin typeface="Roboto"/>
            <a:ea typeface="Roboto"/>
            <a:cs typeface="Roboto"/>
            <a:sym typeface="Roboto"/>
          </a:endParaRPr>
        </a:p>
      </xdr:txBody>
    </xdr:sp>
    <xdr:clientData/>
  </xdr:twoCellAnchor>
  <xdr:twoCellAnchor>
    <xdr:from>
      <xdr:col>0</xdr:col>
      <xdr:colOff>1</xdr:colOff>
      <xdr:row>16</xdr:row>
      <xdr:rowOff>85725</xdr:rowOff>
    </xdr:from>
    <xdr:to>
      <xdr:col>4</xdr:col>
      <xdr:colOff>409575</xdr:colOff>
      <xdr:row>29</xdr:row>
      <xdr:rowOff>28575</xdr:rowOff>
    </xdr:to>
    <xdr:sp macro="" textlink="">
      <xdr:nvSpPr>
        <xdr:cNvPr id="8" name="Google Shape;110;p16">
          <a:extLst>
            <a:ext uri="{FF2B5EF4-FFF2-40B4-BE49-F238E27FC236}">
              <a16:creationId xmlns:a16="http://schemas.microsoft.com/office/drawing/2014/main" id="{B3DB6187-13E4-23FB-CE37-5C954FFC9A8D}"/>
            </a:ext>
          </a:extLst>
        </xdr:cNvPr>
        <xdr:cNvSpPr/>
      </xdr:nvSpPr>
      <xdr:spPr>
        <a:xfrm>
          <a:off x="1" y="3133725"/>
          <a:ext cx="10267949" cy="2419350"/>
        </a:xfrm>
        <a:prstGeom prst="rect">
          <a:avLst/>
        </a:prstGeom>
        <a:solidFill>
          <a:schemeClr val="bg2"/>
        </a:solidFill>
        <a:ln>
          <a:noFill/>
        </a:ln>
      </xdr:spPr>
      <xdr:txBody>
        <a:bodyPr spcFirstLastPara="1" wrap="square" lIns="91425" tIns="91425" rIns="91425" bIns="91425" anchor="t" anchorCtr="0">
          <a:no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marR="0" lvl="0" indent="0" algn="l" rtl="0">
            <a:lnSpc>
              <a:spcPct val="115000"/>
            </a:lnSpc>
            <a:spcBef>
              <a:spcPts val="0"/>
            </a:spcBef>
            <a:spcAft>
              <a:spcPts val="0"/>
            </a:spcAft>
            <a:buClr>
              <a:srgbClr val="000000"/>
            </a:buClr>
            <a:buSzPts val="1200"/>
            <a:buFont typeface="Arial"/>
            <a:buNone/>
          </a:pPr>
          <a:r>
            <a:rPr lang="id" sz="1200" b="0" i="0" u="none" strike="noStrike" cap="none">
              <a:solidFill>
                <a:srgbClr val="040C28"/>
              </a:solidFill>
              <a:latin typeface="Roboto"/>
              <a:ea typeface="Roboto"/>
              <a:cs typeface="Roboto"/>
              <a:sym typeface="Roboto"/>
            </a:rPr>
            <a:t>PT Mebel </a:t>
          </a:r>
          <a:r>
            <a:rPr lang="id" sz="1200">
              <a:solidFill>
                <a:srgbClr val="040C28"/>
              </a:solidFill>
              <a:latin typeface="Roboto"/>
              <a:ea typeface="Roboto"/>
              <a:cs typeface="Roboto"/>
              <a:sym typeface="Roboto"/>
            </a:rPr>
            <a:t>Indo</a:t>
          </a:r>
          <a:r>
            <a:rPr lang="id" sz="1200" b="0" i="0" u="none" strike="noStrike" cap="none">
              <a:solidFill>
                <a:srgbClr val="040C28"/>
              </a:solidFill>
              <a:latin typeface="Roboto"/>
              <a:ea typeface="Roboto"/>
              <a:cs typeface="Roboto"/>
              <a:sym typeface="Roboto"/>
            </a:rPr>
            <a:t> menghasilkan produk meja kayu untuk tujuan ekspor. Berikut standar biaya dan kuantitas penggunaan untuk menghasilkan 1 unit meja kayu.</a:t>
          </a:r>
          <a:endParaRPr sz="1200" b="0" i="0" u="none" strike="noStrike" cap="none">
            <a:solidFill>
              <a:srgbClr val="040C28"/>
            </a:solidFill>
            <a:latin typeface="Roboto"/>
            <a:ea typeface="Roboto"/>
            <a:cs typeface="Roboto"/>
            <a:sym typeface="Roboto"/>
          </a:endParaRPr>
        </a:p>
        <a:p>
          <a:pPr marL="0" marR="0" lvl="0" indent="0" algn="l" rtl="0">
            <a:lnSpc>
              <a:spcPct val="115000"/>
            </a:lnSpc>
            <a:spcBef>
              <a:spcPts val="0"/>
            </a:spcBef>
            <a:spcAft>
              <a:spcPts val="0"/>
            </a:spcAft>
            <a:buClr>
              <a:srgbClr val="000000"/>
            </a:buClr>
            <a:buSzPts val="1200"/>
            <a:buFont typeface="Arial"/>
            <a:buNone/>
          </a:pPr>
          <a:endParaRPr sz="1200" b="0" i="0" u="none" strike="noStrike" cap="none">
            <a:solidFill>
              <a:srgbClr val="040C28"/>
            </a:solidFill>
            <a:latin typeface="Roboto"/>
            <a:ea typeface="Roboto"/>
            <a:cs typeface="Roboto"/>
            <a:sym typeface="Roboto"/>
          </a:endParaRPr>
        </a:p>
        <a:p>
          <a:pPr marL="0" marR="0" lvl="0" indent="0" algn="l" rtl="0">
            <a:lnSpc>
              <a:spcPct val="115000"/>
            </a:lnSpc>
            <a:spcBef>
              <a:spcPts val="0"/>
            </a:spcBef>
            <a:spcAft>
              <a:spcPts val="0"/>
            </a:spcAft>
            <a:buClr>
              <a:srgbClr val="000000"/>
            </a:buClr>
            <a:buSzPts val="1200"/>
            <a:buFont typeface="Arial"/>
            <a:buNone/>
          </a:pPr>
          <a:r>
            <a:rPr lang="id" sz="1200" b="0" i="0" u="none" strike="noStrike" cap="none">
              <a:solidFill>
                <a:srgbClr val="040C28"/>
              </a:solidFill>
              <a:latin typeface="Roboto"/>
              <a:ea typeface="Roboto"/>
              <a:cs typeface="Roboto"/>
              <a:sym typeface="Roboto"/>
            </a:rPr>
            <a:t>				</a:t>
          </a:r>
          <a:r>
            <a:rPr lang="id" sz="1200" b="1" i="0" u="none" strike="noStrike" cap="none">
              <a:solidFill>
                <a:srgbClr val="040C28"/>
              </a:solidFill>
              <a:latin typeface="Roboto"/>
              <a:ea typeface="Roboto"/>
              <a:cs typeface="Roboto"/>
              <a:sym typeface="Roboto"/>
            </a:rPr>
            <a:t>Jumlah input / 1 unit output</a:t>
          </a:r>
          <a:r>
            <a:rPr lang="en-US" sz="1200" b="1" i="0" u="none" strike="noStrike" cap="none" baseline="0">
              <a:solidFill>
                <a:srgbClr val="040C28"/>
              </a:solidFill>
              <a:latin typeface="Roboto"/>
              <a:ea typeface="Roboto"/>
              <a:cs typeface="Roboto"/>
              <a:sym typeface="Roboto"/>
            </a:rPr>
            <a:t>                                         </a:t>
          </a:r>
          <a:r>
            <a:rPr lang="en-US" sz="1200" b="1" i="0" u="none" strike="noStrike" cap="none">
              <a:solidFill>
                <a:srgbClr val="040C28"/>
              </a:solidFill>
              <a:latin typeface="Roboto"/>
              <a:ea typeface="Roboto"/>
              <a:cs typeface="Roboto"/>
              <a:sym typeface="Roboto"/>
            </a:rPr>
            <a:t> </a:t>
          </a:r>
          <a:r>
            <a:rPr lang="id" sz="1200" b="1" i="0" u="none" strike="noStrike" cap="none">
              <a:solidFill>
                <a:srgbClr val="040C28"/>
              </a:solidFill>
              <a:latin typeface="Roboto"/>
              <a:ea typeface="Roboto"/>
              <a:cs typeface="Roboto"/>
              <a:sym typeface="Roboto"/>
            </a:rPr>
            <a:t>Biaya Standar Input</a:t>
          </a:r>
          <a:endParaRPr sz="1200" b="1" i="0" u="none" strike="noStrike" cap="none">
            <a:solidFill>
              <a:srgbClr val="040C28"/>
            </a:solidFill>
            <a:latin typeface="Roboto"/>
            <a:ea typeface="Roboto"/>
            <a:cs typeface="Roboto"/>
            <a:sym typeface="Roboto"/>
          </a:endParaRPr>
        </a:p>
        <a:p>
          <a:pPr marL="0" marR="0" lvl="0" indent="0" algn="l" rtl="0">
            <a:lnSpc>
              <a:spcPct val="115000"/>
            </a:lnSpc>
            <a:spcBef>
              <a:spcPts val="0"/>
            </a:spcBef>
            <a:spcAft>
              <a:spcPts val="0"/>
            </a:spcAft>
            <a:buClr>
              <a:srgbClr val="000000"/>
            </a:buClr>
            <a:buSzPts val="1200"/>
            <a:buFont typeface="Arial"/>
            <a:buNone/>
          </a:pPr>
          <a:r>
            <a:rPr lang="id" sz="1200" b="0" i="0" u="none" strike="noStrike" cap="none">
              <a:solidFill>
                <a:srgbClr val="040C28"/>
              </a:solidFill>
              <a:latin typeface="Roboto"/>
              <a:ea typeface="Roboto"/>
              <a:cs typeface="Roboto"/>
              <a:sym typeface="Roboto"/>
            </a:rPr>
            <a:t>Kayu				</a:t>
          </a:r>
          <a:r>
            <a:rPr lang="en-US" sz="1200" b="0" i="0" u="none" strike="noStrike" cap="none" baseline="0">
              <a:solidFill>
                <a:srgbClr val="040C28"/>
              </a:solidFill>
              <a:latin typeface="Roboto"/>
              <a:ea typeface="Roboto"/>
              <a:cs typeface="Roboto"/>
              <a:sym typeface="Roboto"/>
            </a:rPr>
            <a:t>                     </a:t>
          </a:r>
          <a:r>
            <a:rPr lang="en-US" sz="1200" b="0" i="0" u="none" strike="noStrike" cap="none">
              <a:solidFill>
                <a:srgbClr val="040C28"/>
              </a:solidFill>
              <a:latin typeface="Roboto"/>
              <a:ea typeface="Roboto"/>
              <a:cs typeface="Roboto"/>
              <a:sym typeface="Roboto"/>
            </a:rPr>
            <a:t>      </a:t>
          </a:r>
          <a:r>
            <a:rPr lang="id" sz="1200" b="0" i="0" u="none" strike="noStrike" cap="none">
              <a:solidFill>
                <a:srgbClr val="040C28"/>
              </a:solidFill>
              <a:latin typeface="Roboto"/>
              <a:ea typeface="Roboto"/>
              <a:cs typeface="Roboto"/>
              <a:sym typeface="Roboto"/>
            </a:rPr>
            <a:t>0,</a:t>
          </a:r>
          <a:r>
            <a:rPr lang="id" sz="1200">
              <a:solidFill>
                <a:srgbClr val="040C28"/>
              </a:solidFill>
              <a:latin typeface="Roboto"/>
              <a:ea typeface="Roboto"/>
              <a:cs typeface="Roboto"/>
              <a:sym typeface="Roboto"/>
            </a:rPr>
            <a:t>3</a:t>
          </a:r>
          <a:r>
            <a:rPr lang="id" sz="1200" b="0" i="0" u="none" strike="noStrike" cap="none">
              <a:solidFill>
                <a:srgbClr val="040C28"/>
              </a:solidFill>
              <a:latin typeface="Roboto"/>
              <a:ea typeface="Roboto"/>
              <a:cs typeface="Roboto"/>
              <a:sym typeface="Roboto"/>
            </a:rPr>
            <a:t> m³			Rp </a:t>
          </a:r>
          <a:r>
            <a:rPr lang="id" sz="1200">
              <a:solidFill>
                <a:srgbClr val="040C28"/>
              </a:solidFill>
              <a:latin typeface="Roboto"/>
              <a:ea typeface="Roboto"/>
              <a:cs typeface="Roboto"/>
              <a:sym typeface="Roboto"/>
            </a:rPr>
            <a:t>90</a:t>
          </a:r>
          <a:r>
            <a:rPr lang="id" sz="1200" b="0" i="0" u="none" strike="noStrike" cap="none">
              <a:solidFill>
                <a:srgbClr val="040C28"/>
              </a:solidFill>
              <a:latin typeface="Roboto"/>
              <a:ea typeface="Roboto"/>
              <a:cs typeface="Roboto"/>
              <a:sym typeface="Roboto"/>
            </a:rPr>
            <a:t>0.000/m³</a:t>
          </a:r>
          <a:endParaRPr sz="1200" b="0" i="0" u="none" strike="noStrike" cap="none">
            <a:solidFill>
              <a:srgbClr val="040C28"/>
            </a:solidFill>
            <a:latin typeface="Roboto"/>
            <a:ea typeface="Roboto"/>
            <a:cs typeface="Roboto"/>
            <a:sym typeface="Roboto"/>
          </a:endParaRPr>
        </a:p>
        <a:p>
          <a:pPr marL="0" marR="0" lvl="0" indent="0" algn="l" rtl="0">
            <a:lnSpc>
              <a:spcPct val="115000"/>
            </a:lnSpc>
            <a:spcBef>
              <a:spcPts val="0"/>
            </a:spcBef>
            <a:spcAft>
              <a:spcPts val="0"/>
            </a:spcAft>
            <a:buClr>
              <a:srgbClr val="000000"/>
            </a:buClr>
            <a:buSzPts val="1200"/>
            <a:buFont typeface="Arial"/>
            <a:buNone/>
          </a:pPr>
          <a:r>
            <a:rPr lang="id" sz="1200" b="0" i="0" u="none" strike="noStrike" cap="none">
              <a:solidFill>
                <a:srgbClr val="040C28"/>
              </a:solidFill>
              <a:latin typeface="Roboto"/>
              <a:ea typeface="Roboto"/>
              <a:cs typeface="Roboto"/>
              <a:sym typeface="Roboto"/>
            </a:rPr>
            <a:t>TKL				</a:t>
          </a:r>
          <a:r>
            <a:rPr lang="en-US" sz="1200" b="0" i="0" u="none" strike="noStrike" cap="none" baseline="0">
              <a:solidFill>
                <a:srgbClr val="040C28"/>
              </a:solidFill>
              <a:latin typeface="Roboto"/>
              <a:ea typeface="Roboto"/>
              <a:cs typeface="Roboto"/>
              <a:sym typeface="Roboto"/>
            </a:rPr>
            <a:t>                           </a:t>
          </a:r>
          <a:r>
            <a:rPr lang="id" sz="1200" b="0" i="0" u="none" strike="noStrike" cap="none">
              <a:solidFill>
                <a:srgbClr val="040C28"/>
              </a:solidFill>
              <a:latin typeface="Roboto"/>
              <a:ea typeface="Roboto"/>
              <a:cs typeface="Roboto"/>
              <a:sym typeface="Roboto"/>
            </a:rPr>
            <a:t>2</a:t>
          </a:r>
          <a:r>
            <a:rPr lang="id" sz="1200">
              <a:solidFill>
                <a:srgbClr val="040C28"/>
              </a:solidFill>
              <a:latin typeface="Roboto"/>
              <a:ea typeface="Roboto"/>
              <a:cs typeface="Roboto"/>
              <a:sym typeface="Roboto"/>
            </a:rPr>
            <a:t>,5</a:t>
          </a:r>
          <a:r>
            <a:rPr lang="id" sz="1200" b="0" i="0" u="none" strike="noStrike" cap="none">
              <a:solidFill>
                <a:srgbClr val="040C28"/>
              </a:solidFill>
              <a:latin typeface="Roboto"/>
              <a:ea typeface="Roboto"/>
              <a:cs typeface="Roboto"/>
              <a:sym typeface="Roboto"/>
            </a:rPr>
            <a:t> jam			Rp 5</a:t>
          </a:r>
          <a:r>
            <a:rPr lang="id" sz="1200">
              <a:solidFill>
                <a:srgbClr val="040C28"/>
              </a:solidFill>
              <a:latin typeface="Roboto"/>
              <a:ea typeface="Roboto"/>
              <a:cs typeface="Roboto"/>
              <a:sym typeface="Roboto"/>
            </a:rPr>
            <a:t>5</a:t>
          </a:r>
          <a:r>
            <a:rPr lang="id" sz="1200" b="0" i="0" u="none" strike="noStrike" cap="none">
              <a:solidFill>
                <a:srgbClr val="040C28"/>
              </a:solidFill>
              <a:latin typeface="Roboto"/>
              <a:ea typeface="Roboto"/>
              <a:cs typeface="Roboto"/>
              <a:sym typeface="Roboto"/>
            </a:rPr>
            <a:t>.000/jam</a:t>
          </a:r>
          <a:endParaRPr sz="1200" b="0" i="0" u="none" strike="noStrike" cap="none">
            <a:solidFill>
              <a:srgbClr val="040C28"/>
            </a:solidFill>
            <a:latin typeface="Roboto"/>
            <a:ea typeface="Roboto"/>
            <a:cs typeface="Roboto"/>
            <a:sym typeface="Roboto"/>
          </a:endParaRPr>
        </a:p>
        <a:p>
          <a:pPr marL="0" marR="0" lvl="0" indent="0" algn="l" rtl="0">
            <a:lnSpc>
              <a:spcPct val="115000"/>
            </a:lnSpc>
            <a:spcBef>
              <a:spcPts val="0"/>
            </a:spcBef>
            <a:spcAft>
              <a:spcPts val="0"/>
            </a:spcAft>
            <a:buClr>
              <a:srgbClr val="000000"/>
            </a:buClr>
            <a:buSzPts val="1200"/>
            <a:buFont typeface="Arial"/>
            <a:buNone/>
          </a:pPr>
          <a:r>
            <a:rPr lang="id" sz="1200" b="0" i="0" u="none" strike="noStrike" cap="none">
              <a:solidFill>
                <a:srgbClr val="040C28"/>
              </a:solidFill>
              <a:latin typeface="Roboto"/>
              <a:ea typeface="Roboto"/>
              <a:cs typeface="Roboto"/>
              <a:sym typeface="Roboto"/>
            </a:rPr>
            <a:t>BOP Dibebankan				</a:t>
          </a:r>
          <a:r>
            <a:rPr lang="en-US" sz="1200" b="0" i="0" u="none" strike="noStrike" cap="none">
              <a:solidFill>
                <a:srgbClr val="040C28"/>
              </a:solidFill>
              <a:latin typeface="Roboto"/>
              <a:ea typeface="Roboto"/>
              <a:cs typeface="Roboto"/>
              <a:sym typeface="Roboto"/>
            </a:rPr>
            <a:t>   </a:t>
          </a:r>
          <a:r>
            <a:rPr lang="id" sz="1200">
              <a:solidFill>
                <a:srgbClr val="040C28"/>
              </a:solidFill>
              <a:latin typeface="Roboto"/>
              <a:ea typeface="Roboto"/>
              <a:cs typeface="Roboto"/>
              <a:sym typeface="Roboto"/>
            </a:rPr>
            <a:t>18</a:t>
          </a:r>
          <a:r>
            <a:rPr lang="id" sz="1200" b="0" i="0" u="none" strike="noStrike" cap="none">
              <a:solidFill>
                <a:srgbClr val="040C28"/>
              </a:solidFill>
              <a:latin typeface="Roboto"/>
              <a:ea typeface="Roboto"/>
              <a:cs typeface="Roboto"/>
              <a:sym typeface="Roboto"/>
            </a:rPr>
            <a:t> jam			Rp 1</a:t>
          </a:r>
          <a:r>
            <a:rPr lang="id" sz="1200">
              <a:solidFill>
                <a:srgbClr val="040C28"/>
              </a:solidFill>
              <a:latin typeface="Roboto"/>
              <a:ea typeface="Roboto"/>
              <a:cs typeface="Roboto"/>
              <a:sym typeface="Roboto"/>
            </a:rPr>
            <a:t>8</a:t>
          </a:r>
          <a:r>
            <a:rPr lang="id" sz="1200" b="0" i="0" u="none" strike="noStrike" cap="none">
              <a:solidFill>
                <a:srgbClr val="040C28"/>
              </a:solidFill>
              <a:latin typeface="Roboto"/>
              <a:ea typeface="Roboto"/>
              <a:cs typeface="Roboto"/>
              <a:sym typeface="Roboto"/>
            </a:rPr>
            <a:t>.</a:t>
          </a:r>
          <a:r>
            <a:rPr lang="id" sz="1200">
              <a:solidFill>
                <a:srgbClr val="040C28"/>
              </a:solidFill>
              <a:latin typeface="Roboto"/>
              <a:ea typeface="Roboto"/>
              <a:cs typeface="Roboto"/>
              <a:sym typeface="Roboto"/>
            </a:rPr>
            <a:t>0</a:t>
          </a:r>
          <a:r>
            <a:rPr lang="id" sz="1200" b="0" i="0" u="none" strike="noStrike" cap="none">
              <a:solidFill>
                <a:srgbClr val="040C28"/>
              </a:solidFill>
              <a:latin typeface="Roboto"/>
              <a:ea typeface="Roboto"/>
              <a:cs typeface="Roboto"/>
              <a:sym typeface="Roboto"/>
            </a:rPr>
            <a:t>00/jam</a:t>
          </a:r>
          <a:endParaRPr sz="1200" b="0" i="0" u="none" strike="noStrike" cap="none">
            <a:solidFill>
              <a:srgbClr val="040C28"/>
            </a:solidFill>
            <a:latin typeface="Roboto"/>
            <a:ea typeface="Roboto"/>
            <a:cs typeface="Roboto"/>
            <a:sym typeface="Roboto"/>
          </a:endParaRPr>
        </a:p>
        <a:p>
          <a:pPr marL="0" marR="0" lvl="0" indent="0" algn="l" rtl="0">
            <a:lnSpc>
              <a:spcPct val="115000"/>
            </a:lnSpc>
            <a:spcBef>
              <a:spcPts val="0"/>
            </a:spcBef>
            <a:spcAft>
              <a:spcPts val="0"/>
            </a:spcAft>
            <a:buClr>
              <a:srgbClr val="000000"/>
            </a:buClr>
            <a:buSzPts val="1200"/>
            <a:buFont typeface="Arial"/>
            <a:buNone/>
          </a:pPr>
          <a:endParaRPr sz="1200" b="0" i="0" u="none" strike="noStrike" cap="none">
            <a:solidFill>
              <a:srgbClr val="040C28"/>
            </a:solidFill>
            <a:latin typeface="Roboto"/>
            <a:ea typeface="Roboto"/>
            <a:cs typeface="Roboto"/>
            <a:sym typeface="Roboto"/>
          </a:endParaRPr>
        </a:p>
        <a:p>
          <a:pPr marL="0" marR="0" lvl="0" indent="0" algn="l" rtl="0">
            <a:lnSpc>
              <a:spcPct val="115000"/>
            </a:lnSpc>
            <a:spcBef>
              <a:spcPts val="0"/>
            </a:spcBef>
            <a:spcAft>
              <a:spcPts val="0"/>
            </a:spcAft>
            <a:buClr>
              <a:srgbClr val="000000"/>
            </a:buClr>
            <a:buSzPts val="1200"/>
            <a:buFont typeface="Arial"/>
            <a:buNone/>
          </a:pPr>
          <a:r>
            <a:rPr lang="id" sz="1200" b="0" i="0" u="none" strike="noStrike" cap="none">
              <a:solidFill>
                <a:srgbClr val="040C28"/>
              </a:solidFill>
              <a:latin typeface="Roboto"/>
              <a:ea typeface="Roboto"/>
              <a:cs typeface="Roboto"/>
              <a:sym typeface="Roboto"/>
            </a:rPr>
            <a:t>Perusahaan menggunakan jam tenaga kerja langsung sebagai dasar alokasi BOP</a:t>
          </a:r>
          <a:endParaRPr sz="1200" b="0" i="0" u="none" strike="noStrike" cap="none">
            <a:solidFill>
              <a:srgbClr val="040C28"/>
            </a:solidFill>
            <a:latin typeface="Roboto"/>
            <a:ea typeface="Roboto"/>
            <a:cs typeface="Roboto"/>
            <a:sym typeface="Roboto"/>
          </a:endParaRPr>
        </a:p>
      </xdr:txBody>
    </xdr:sp>
    <xdr:clientData/>
  </xdr:twoCellAnchor>
  <xdr:twoCellAnchor>
    <xdr:from>
      <xdr:col>0</xdr:col>
      <xdr:colOff>0</xdr:colOff>
      <xdr:row>29</xdr:row>
      <xdr:rowOff>180975</xdr:rowOff>
    </xdr:from>
    <xdr:to>
      <xdr:col>4</xdr:col>
      <xdr:colOff>428625</xdr:colOff>
      <xdr:row>45</xdr:row>
      <xdr:rowOff>47625</xdr:rowOff>
    </xdr:to>
    <xdr:sp macro="" textlink="">
      <xdr:nvSpPr>
        <xdr:cNvPr id="10" name="Google Shape;132;p17">
          <a:extLst>
            <a:ext uri="{FF2B5EF4-FFF2-40B4-BE49-F238E27FC236}">
              <a16:creationId xmlns:a16="http://schemas.microsoft.com/office/drawing/2014/main" id="{885DF3D3-696E-8E42-214F-0BCFE94DECF9}"/>
            </a:ext>
          </a:extLst>
        </xdr:cNvPr>
        <xdr:cNvSpPr/>
      </xdr:nvSpPr>
      <xdr:spPr>
        <a:xfrm>
          <a:off x="0" y="5705475"/>
          <a:ext cx="8696325" cy="2914650"/>
        </a:xfrm>
        <a:prstGeom prst="rect">
          <a:avLst/>
        </a:prstGeom>
        <a:solidFill>
          <a:schemeClr val="bg2"/>
        </a:solidFill>
        <a:ln>
          <a:noFill/>
        </a:ln>
      </xdr:spPr>
      <xdr:txBody>
        <a:bodyPr spcFirstLastPara="1" wrap="square" lIns="91425" tIns="91425" rIns="91425" bIns="91425" anchor="t" anchorCtr="0">
          <a:no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marR="0" lvl="0" indent="0" algn="l" rtl="0">
            <a:lnSpc>
              <a:spcPct val="115000"/>
            </a:lnSpc>
            <a:spcBef>
              <a:spcPts val="0"/>
            </a:spcBef>
            <a:spcAft>
              <a:spcPts val="0"/>
            </a:spcAft>
            <a:buClr>
              <a:srgbClr val="000000"/>
            </a:buClr>
            <a:buSzPts val="1200"/>
            <a:buFont typeface="Arial"/>
            <a:buNone/>
          </a:pPr>
          <a:r>
            <a:rPr lang="id" sz="1200" b="1" i="0" u="none" strike="noStrike" cap="none">
              <a:solidFill>
                <a:srgbClr val="040C28"/>
              </a:solidFill>
              <a:latin typeface="Roboto"/>
              <a:ea typeface="Roboto"/>
              <a:cs typeface="Roboto"/>
              <a:sym typeface="Roboto"/>
            </a:rPr>
            <a:t>Berikut data-data tentang produksi meja kayu :</a:t>
          </a:r>
          <a:endParaRPr sz="1200" b="1" i="0" u="none" strike="noStrike" cap="none">
            <a:solidFill>
              <a:srgbClr val="040C28"/>
            </a:solidFill>
            <a:latin typeface="Roboto"/>
            <a:ea typeface="Roboto"/>
            <a:cs typeface="Roboto"/>
            <a:sym typeface="Roboto"/>
          </a:endParaRPr>
        </a:p>
        <a:p>
          <a:pPr marL="0" marR="0" lvl="0" indent="0" algn="l" rtl="0">
            <a:lnSpc>
              <a:spcPct val="115000"/>
            </a:lnSpc>
            <a:spcBef>
              <a:spcPts val="0"/>
            </a:spcBef>
            <a:spcAft>
              <a:spcPts val="0"/>
            </a:spcAft>
            <a:buClr>
              <a:srgbClr val="000000"/>
            </a:buClr>
            <a:buSzPts val="1200"/>
            <a:buFont typeface="Arial"/>
            <a:buNone/>
          </a:pPr>
          <a:r>
            <a:rPr lang="id" sz="1200" b="0" i="0" u="none" strike="noStrike" cap="none">
              <a:solidFill>
                <a:srgbClr val="040C28"/>
              </a:solidFill>
              <a:latin typeface="Roboto"/>
              <a:ea typeface="Roboto"/>
              <a:cs typeface="Roboto"/>
              <a:sym typeface="Roboto"/>
            </a:rPr>
            <a:t>Jumlah meja kayu yang diproduksi</a:t>
          </a:r>
          <a:r>
            <a:rPr lang="en-US" sz="1200" b="0" i="0" u="none" strike="noStrike" cap="none" baseline="0">
              <a:solidFill>
                <a:srgbClr val="040C28"/>
              </a:solidFill>
              <a:latin typeface="Roboto"/>
              <a:ea typeface="Roboto"/>
              <a:cs typeface="Roboto"/>
              <a:sym typeface="Roboto"/>
            </a:rPr>
            <a:t>                                          			         </a:t>
          </a:r>
          <a:r>
            <a:rPr lang="id" sz="1200">
              <a:solidFill>
                <a:srgbClr val="040C28"/>
              </a:solidFill>
              <a:latin typeface="Roboto"/>
              <a:ea typeface="Roboto"/>
              <a:cs typeface="Roboto"/>
              <a:sym typeface="Roboto"/>
            </a:rPr>
            <a:t>8</a:t>
          </a:r>
          <a:r>
            <a:rPr lang="id" sz="1200" b="0" i="0" u="none" strike="noStrike" cap="none">
              <a:solidFill>
                <a:srgbClr val="040C28"/>
              </a:solidFill>
              <a:latin typeface="Roboto"/>
              <a:ea typeface="Roboto"/>
              <a:cs typeface="Roboto"/>
              <a:sym typeface="Roboto"/>
            </a:rPr>
            <a:t>00 unit</a:t>
          </a:r>
          <a:endParaRPr sz="1200" b="0" i="0" u="none" strike="noStrike" cap="none">
            <a:solidFill>
              <a:srgbClr val="040C28"/>
            </a:solidFill>
            <a:latin typeface="Roboto"/>
            <a:ea typeface="Roboto"/>
            <a:cs typeface="Roboto"/>
            <a:sym typeface="Roboto"/>
          </a:endParaRPr>
        </a:p>
        <a:p>
          <a:pPr marL="0" marR="0" lvl="0" indent="0" algn="just" rtl="0">
            <a:lnSpc>
              <a:spcPct val="115000"/>
            </a:lnSpc>
            <a:spcBef>
              <a:spcPts val="0"/>
            </a:spcBef>
            <a:spcAft>
              <a:spcPts val="0"/>
            </a:spcAft>
            <a:buClr>
              <a:srgbClr val="000000"/>
            </a:buClr>
            <a:buSzPts val="1200"/>
            <a:buFont typeface="Arial"/>
            <a:buNone/>
          </a:pPr>
          <a:r>
            <a:rPr lang="id" sz="1200" b="0" i="0" u="none" strike="noStrike" cap="none">
              <a:solidFill>
                <a:srgbClr val="040C28"/>
              </a:solidFill>
              <a:latin typeface="Roboto"/>
              <a:ea typeface="Roboto"/>
              <a:cs typeface="Roboto"/>
              <a:sym typeface="Roboto"/>
            </a:rPr>
            <a:t>Jumlah kayu yang dibeli	</a:t>
          </a:r>
          <a:r>
            <a:rPr lang="en-US" sz="1200" b="0" i="0" u="none" strike="noStrike" cap="none" baseline="0">
              <a:solidFill>
                <a:srgbClr val="040C28"/>
              </a:solidFill>
              <a:latin typeface="Roboto"/>
              <a:ea typeface="Roboto"/>
              <a:cs typeface="Roboto"/>
              <a:sym typeface="Roboto"/>
            </a:rPr>
            <a:t>                                                         			         </a:t>
          </a:r>
          <a:r>
            <a:rPr lang="id" sz="1200">
              <a:solidFill>
                <a:srgbClr val="040C28"/>
              </a:solidFill>
              <a:latin typeface="Roboto"/>
              <a:ea typeface="Roboto"/>
              <a:cs typeface="Roboto"/>
              <a:sym typeface="Roboto"/>
            </a:rPr>
            <a:t>28</a:t>
          </a:r>
          <a:r>
            <a:rPr lang="id" sz="1200" b="0" i="0" u="none" strike="noStrike" cap="none">
              <a:solidFill>
                <a:srgbClr val="040C28"/>
              </a:solidFill>
              <a:latin typeface="Roboto"/>
              <a:ea typeface="Roboto"/>
              <a:cs typeface="Roboto"/>
              <a:sym typeface="Roboto"/>
            </a:rPr>
            <a:t>0 m³</a:t>
          </a:r>
          <a:endParaRPr sz="1200" b="0" i="0" u="none" strike="noStrike" cap="none">
            <a:solidFill>
              <a:srgbClr val="040C28"/>
            </a:solidFill>
            <a:latin typeface="Roboto"/>
            <a:ea typeface="Roboto"/>
            <a:cs typeface="Roboto"/>
            <a:sym typeface="Roboto"/>
          </a:endParaRPr>
        </a:p>
        <a:p>
          <a:pPr marL="0" marR="0" lvl="0" indent="0" algn="l" rtl="0">
            <a:lnSpc>
              <a:spcPct val="115000"/>
            </a:lnSpc>
            <a:spcBef>
              <a:spcPts val="0"/>
            </a:spcBef>
            <a:spcAft>
              <a:spcPts val="0"/>
            </a:spcAft>
            <a:buClr>
              <a:srgbClr val="000000"/>
            </a:buClr>
            <a:buSzPts val="1200"/>
            <a:buFont typeface="Arial"/>
            <a:buNone/>
          </a:pPr>
          <a:r>
            <a:rPr lang="id" sz="1200" b="0" i="0" u="none" strike="noStrike" cap="none">
              <a:solidFill>
                <a:srgbClr val="040C28"/>
              </a:solidFill>
              <a:latin typeface="Roboto"/>
              <a:ea typeface="Roboto"/>
              <a:cs typeface="Roboto"/>
              <a:sym typeface="Roboto"/>
            </a:rPr>
            <a:t>Harga beli kayu			</a:t>
          </a:r>
          <a:r>
            <a:rPr lang="en-US" sz="1200" b="0" i="0" u="none" strike="noStrike" cap="none" baseline="0">
              <a:solidFill>
                <a:srgbClr val="040C28"/>
              </a:solidFill>
              <a:latin typeface="Roboto"/>
              <a:ea typeface="Roboto"/>
              <a:cs typeface="Roboto"/>
              <a:sym typeface="Roboto"/>
            </a:rPr>
            <a:t>    		                    </a:t>
          </a:r>
          <a:r>
            <a:rPr lang="id" sz="1200" b="0" i="0" u="none" strike="noStrike" cap="none">
              <a:solidFill>
                <a:srgbClr val="040C28"/>
              </a:solidFill>
              <a:latin typeface="Roboto"/>
              <a:ea typeface="Roboto"/>
              <a:cs typeface="Roboto"/>
              <a:sym typeface="Roboto"/>
            </a:rPr>
            <a:t>Rp 8</a:t>
          </a:r>
          <a:r>
            <a:rPr lang="id" sz="1200">
              <a:solidFill>
                <a:srgbClr val="040C28"/>
              </a:solidFill>
              <a:latin typeface="Roboto"/>
              <a:ea typeface="Roboto"/>
              <a:cs typeface="Roboto"/>
              <a:sym typeface="Roboto"/>
            </a:rPr>
            <a:t>5</a:t>
          </a:r>
          <a:r>
            <a:rPr lang="id" sz="1200" b="0" i="0" u="none" strike="noStrike" cap="none">
              <a:solidFill>
                <a:srgbClr val="040C28"/>
              </a:solidFill>
              <a:latin typeface="Roboto"/>
              <a:ea typeface="Roboto"/>
              <a:cs typeface="Roboto"/>
              <a:sym typeface="Roboto"/>
            </a:rPr>
            <a:t>0.000/m³</a:t>
          </a:r>
          <a:endParaRPr sz="1200" b="0" i="0" u="none" strike="noStrike" cap="none">
            <a:solidFill>
              <a:srgbClr val="040C28"/>
            </a:solidFill>
            <a:latin typeface="Roboto"/>
            <a:ea typeface="Roboto"/>
            <a:cs typeface="Roboto"/>
            <a:sym typeface="Roboto"/>
          </a:endParaRPr>
        </a:p>
        <a:p>
          <a:pPr marL="0" marR="0" lvl="0" indent="0" algn="l" rtl="0">
            <a:lnSpc>
              <a:spcPct val="115000"/>
            </a:lnSpc>
            <a:spcBef>
              <a:spcPts val="0"/>
            </a:spcBef>
            <a:spcAft>
              <a:spcPts val="0"/>
            </a:spcAft>
            <a:buClr>
              <a:srgbClr val="000000"/>
            </a:buClr>
            <a:buSzPts val="1200"/>
            <a:buFont typeface="Arial"/>
            <a:buNone/>
          </a:pPr>
          <a:r>
            <a:rPr lang="id" sz="1200" b="0" i="0" u="none" strike="noStrike" cap="none">
              <a:solidFill>
                <a:srgbClr val="040C28"/>
              </a:solidFill>
              <a:latin typeface="Roboto"/>
              <a:ea typeface="Roboto"/>
              <a:cs typeface="Roboto"/>
              <a:sym typeface="Roboto"/>
            </a:rPr>
            <a:t>Jumlah kayu yang digunakan untuk produksi</a:t>
          </a:r>
          <a:r>
            <a:rPr lang="en-US" sz="1200" b="0" i="0" u="none" strike="noStrike" cap="none" baseline="0">
              <a:solidFill>
                <a:srgbClr val="040C28"/>
              </a:solidFill>
              <a:latin typeface="Roboto"/>
              <a:ea typeface="Roboto"/>
              <a:cs typeface="Roboto"/>
              <a:sym typeface="Roboto"/>
            </a:rPr>
            <a:t>                                  		                                  </a:t>
          </a:r>
          <a:r>
            <a:rPr lang="id" sz="1200" b="0" i="0" u="none" strike="noStrike" cap="none">
              <a:solidFill>
                <a:srgbClr val="040C28"/>
              </a:solidFill>
              <a:latin typeface="Roboto"/>
              <a:ea typeface="Roboto"/>
              <a:cs typeface="Roboto"/>
              <a:sym typeface="Roboto"/>
            </a:rPr>
            <a:t>2</a:t>
          </a:r>
          <a:r>
            <a:rPr lang="id" sz="1200">
              <a:solidFill>
                <a:srgbClr val="040C28"/>
              </a:solidFill>
              <a:latin typeface="Roboto"/>
              <a:ea typeface="Roboto"/>
              <a:cs typeface="Roboto"/>
              <a:sym typeface="Roboto"/>
            </a:rPr>
            <a:t>4</a:t>
          </a:r>
          <a:r>
            <a:rPr lang="id" sz="1200" b="0" i="0" u="none" strike="noStrike" cap="none">
              <a:solidFill>
                <a:srgbClr val="040C28"/>
              </a:solidFill>
              <a:latin typeface="Roboto"/>
              <a:ea typeface="Roboto"/>
              <a:cs typeface="Roboto"/>
              <a:sym typeface="Roboto"/>
            </a:rPr>
            <a:t>0 m³</a:t>
          </a:r>
          <a:endParaRPr sz="1200" b="0" i="0" u="none" strike="noStrike" cap="none">
            <a:solidFill>
              <a:srgbClr val="040C28"/>
            </a:solidFill>
            <a:latin typeface="Roboto"/>
            <a:ea typeface="Roboto"/>
            <a:cs typeface="Roboto"/>
            <a:sym typeface="Roboto"/>
          </a:endParaRPr>
        </a:p>
        <a:p>
          <a:pPr marL="0" marR="0" lvl="0" indent="0" algn="l" rtl="0">
            <a:lnSpc>
              <a:spcPct val="115000"/>
            </a:lnSpc>
            <a:spcBef>
              <a:spcPts val="0"/>
            </a:spcBef>
            <a:spcAft>
              <a:spcPts val="0"/>
            </a:spcAft>
            <a:buClr>
              <a:srgbClr val="000000"/>
            </a:buClr>
            <a:buSzPts val="1200"/>
            <a:buFont typeface="Arial"/>
            <a:buNone/>
          </a:pPr>
          <a:r>
            <a:rPr lang="id" sz="1200" b="0" i="0" u="none" strike="noStrike" cap="none">
              <a:solidFill>
                <a:srgbClr val="040C28"/>
              </a:solidFill>
              <a:latin typeface="Roboto"/>
              <a:ea typeface="Roboto"/>
              <a:cs typeface="Roboto"/>
              <a:sym typeface="Roboto"/>
            </a:rPr>
            <a:t>Jumlah jam tenaga kerja aktual		</a:t>
          </a:r>
          <a:r>
            <a:rPr lang="en-US" sz="1200" b="0" i="0" u="none" strike="noStrike" cap="none" baseline="0">
              <a:solidFill>
                <a:srgbClr val="040C28"/>
              </a:solidFill>
              <a:latin typeface="Roboto"/>
              <a:ea typeface="Roboto"/>
              <a:cs typeface="Roboto"/>
              <a:sym typeface="Roboto"/>
            </a:rPr>
            <a:t>                 			    </a:t>
          </a:r>
          <a:r>
            <a:rPr lang="id" sz="1200">
              <a:solidFill>
                <a:srgbClr val="040C28"/>
              </a:solidFill>
              <a:latin typeface="Roboto"/>
              <a:ea typeface="Roboto"/>
              <a:cs typeface="Roboto"/>
              <a:sym typeface="Roboto"/>
            </a:rPr>
            <a:t>2.0</a:t>
          </a:r>
          <a:r>
            <a:rPr lang="id" sz="1200" b="0" i="0" u="none" strike="noStrike" cap="none">
              <a:solidFill>
                <a:srgbClr val="040C28"/>
              </a:solidFill>
              <a:latin typeface="Roboto"/>
              <a:ea typeface="Roboto"/>
              <a:cs typeface="Roboto"/>
              <a:sym typeface="Roboto"/>
            </a:rPr>
            <a:t>00 jam</a:t>
          </a:r>
          <a:endParaRPr sz="1200" b="0" i="0" u="none" strike="noStrike" cap="none">
            <a:solidFill>
              <a:srgbClr val="040C28"/>
            </a:solidFill>
            <a:latin typeface="Roboto"/>
            <a:ea typeface="Roboto"/>
            <a:cs typeface="Roboto"/>
            <a:sym typeface="Roboto"/>
          </a:endParaRPr>
        </a:p>
        <a:p>
          <a:pPr marL="0" marR="0" lvl="0" indent="0" algn="l" rtl="0">
            <a:lnSpc>
              <a:spcPct val="115000"/>
            </a:lnSpc>
            <a:spcBef>
              <a:spcPts val="0"/>
            </a:spcBef>
            <a:spcAft>
              <a:spcPts val="0"/>
            </a:spcAft>
            <a:buClr>
              <a:srgbClr val="000000"/>
            </a:buClr>
            <a:buSzPts val="1200"/>
            <a:buFont typeface="Arial"/>
            <a:buNone/>
          </a:pPr>
          <a:r>
            <a:rPr lang="id" sz="1200" b="0" i="0" u="none" strike="noStrike" cap="none">
              <a:solidFill>
                <a:srgbClr val="040C28"/>
              </a:solidFill>
              <a:latin typeface="Roboto"/>
              <a:ea typeface="Roboto"/>
              <a:cs typeface="Roboto"/>
              <a:sym typeface="Roboto"/>
            </a:rPr>
            <a:t>Upah TKL				</a:t>
          </a:r>
          <a:r>
            <a:rPr lang="en-US" sz="1200" b="0" i="0" u="none" strike="noStrike" cap="none" baseline="0">
              <a:solidFill>
                <a:srgbClr val="040C28"/>
              </a:solidFill>
              <a:latin typeface="Roboto"/>
              <a:ea typeface="Roboto"/>
              <a:cs typeface="Roboto"/>
              <a:sym typeface="Roboto"/>
            </a:rPr>
            <a:t>     		                    </a:t>
          </a:r>
          <a:r>
            <a:rPr lang="id" sz="1200" b="0" i="0" u="none" strike="noStrike" cap="none">
              <a:solidFill>
                <a:srgbClr val="040C28"/>
              </a:solidFill>
              <a:latin typeface="Roboto"/>
              <a:ea typeface="Roboto"/>
              <a:cs typeface="Roboto"/>
              <a:sym typeface="Roboto"/>
            </a:rPr>
            <a:t>Rp </a:t>
          </a:r>
          <a:r>
            <a:rPr lang="id" sz="1200">
              <a:solidFill>
                <a:srgbClr val="040C28"/>
              </a:solidFill>
              <a:latin typeface="Roboto"/>
              <a:ea typeface="Roboto"/>
              <a:cs typeface="Roboto"/>
              <a:sym typeface="Roboto"/>
            </a:rPr>
            <a:t>6</a:t>
          </a:r>
          <a:r>
            <a:rPr lang="id" sz="1200" b="0" i="0" u="none" strike="noStrike" cap="none">
              <a:solidFill>
                <a:srgbClr val="040C28"/>
              </a:solidFill>
              <a:latin typeface="Roboto"/>
              <a:ea typeface="Roboto"/>
              <a:cs typeface="Roboto"/>
              <a:sym typeface="Roboto"/>
            </a:rPr>
            <a:t>0.000/jam</a:t>
          </a:r>
          <a:endParaRPr sz="1200" b="0" i="0" u="none" strike="noStrike" cap="none">
            <a:solidFill>
              <a:srgbClr val="040C28"/>
            </a:solidFill>
            <a:latin typeface="Roboto"/>
            <a:ea typeface="Roboto"/>
            <a:cs typeface="Roboto"/>
            <a:sym typeface="Roboto"/>
          </a:endParaRPr>
        </a:p>
        <a:p>
          <a:pPr marL="0" marR="0" lvl="0" indent="0" algn="l" rtl="0">
            <a:lnSpc>
              <a:spcPct val="115000"/>
            </a:lnSpc>
            <a:spcBef>
              <a:spcPts val="0"/>
            </a:spcBef>
            <a:spcAft>
              <a:spcPts val="0"/>
            </a:spcAft>
            <a:buClr>
              <a:srgbClr val="000000"/>
            </a:buClr>
            <a:buSzPts val="1200"/>
            <a:buFont typeface="Arial"/>
            <a:buNone/>
          </a:pPr>
          <a:endParaRPr sz="1200" b="0" i="0" u="none" strike="noStrike" cap="none">
            <a:solidFill>
              <a:srgbClr val="040C28"/>
            </a:solidFill>
            <a:latin typeface="Roboto"/>
            <a:ea typeface="Roboto"/>
            <a:cs typeface="Roboto"/>
            <a:sym typeface="Roboto"/>
          </a:endParaRPr>
        </a:p>
        <a:p>
          <a:pPr marL="0" marR="0" lvl="0" indent="0" algn="l" rtl="0">
            <a:lnSpc>
              <a:spcPct val="115000"/>
            </a:lnSpc>
            <a:spcBef>
              <a:spcPts val="0"/>
            </a:spcBef>
            <a:spcAft>
              <a:spcPts val="0"/>
            </a:spcAft>
            <a:buClr>
              <a:srgbClr val="000000"/>
            </a:buClr>
            <a:buSzPts val="1200"/>
            <a:buFont typeface="Arial"/>
            <a:buNone/>
          </a:pPr>
          <a:r>
            <a:rPr lang="id" sz="1200" b="1" i="0" u="none" strike="noStrike" cap="none">
              <a:solidFill>
                <a:srgbClr val="040C28"/>
              </a:solidFill>
              <a:latin typeface="Roboto"/>
              <a:ea typeface="Roboto"/>
              <a:cs typeface="Roboto"/>
              <a:sym typeface="Roboto"/>
            </a:rPr>
            <a:t>BOP Aktual :</a:t>
          </a:r>
          <a:endParaRPr sz="1200" b="1" i="0" u="none" strike="noStrike" cap="none">
            <a:solidFill>
              <a:srgbClr val="040C28"/>
            </a:solidFill>
            <a:latin typeface="Roboto"/>
            <a:ea typeface="Roboto"/>
            <a:cs typeface="Roboto"/>
            <a:sym typeface="Roboto"/>
          </a:endParaRPr>
        </a:p>
        <a:p>
          <a:pPr marL="0" marR="0" lvl="0" indent="0" algn="l" rtl="0">
            <a:lnSpc>
              <a:spcPct val="115000"/>
            </a:lnSpc>
            <a:spcBef>
              <a:spcPts val="0"/>
            </a:spcBef>
            <a:spcAft>
              <a:spcPts val="0"/>
            </a:spcAft>
            <a:buClr>
              <a:srgbClr val="000000"/>
            </a:buClr>
            <a:buSzPts val="1200"/>
            <a:buFont typeface="Arial"/>
            <a:buNone/>
          </a:pPr>
          <a:r>
            <a:rPr lang="id" sz="1200" b="0" i="0" u="none" strike="noStrike" cap="none">
              <a:solidFill>
                <a:srgbClr val="040C28"/>
              </a:solidFill>
              <a:latin typeface="Roboto"/>
              <a:ea typeface="Roboto"/>
              <a:cs typeface="Roboto"/>
              <a:sym typeface="Roboto"/>
            </a:rPr>
            <a:t>Biaya Penyusutan Mesin			</a:t>
          </a:r>
          <a:r>
            <a:rPr lang="en-US" sz="1200" b="0" i="0" u="none" strike="noStrike" cap="none" baseline="0">
              <a:solidFill>
                <a:srgbClr val="040C28"/>
              </a:solidFill>
              <a:latin typeface="Roboto"/>
              <a:ea typeface="Roboto"/>
              <a:cs typeface="Roboto"/>
              <a:sym typeface="Roboto"/>
            </a:rPr>
            <a:t>                                                                   </a:t>
          </a:r>
          <a:r>
            <a:rPr lang="id" sz="1200" b="0" i="0" u="none" strike="noStrike" cap="none">
              <a:solidFill>
                <a:srgbClr val="040C28"/>
              </a:solidFill>
              <a:latin typeface="Roboto"/>
              <a:ea typeface="Roboto"/>
              <a:cs typeface="Roboto"/>
              <a:sym typeface="Roboto"/>
            </a:rPr>
            <a:t>Rp </a:t>
          </a:r>
          <a:r>
            <a:rPr lang="en-US" sz="1200" b="0" i="0" u="none" strike="noStrike" cap="none">
              <a:solidFill>
                <a:srgbClr val="040C28"/>
              </a:solidFill>
              <a:latin typeface="Roboto"/>
              <a:ea typeface="Roboto"/>
              <a:cs typeface="Roboto"/>
              <a:sym typeface="Roboto"/>
            </a:rPr>
            <a:t> </a:t>
          </a:r>
          <a:r>
            <a:rPr lang="id" sz="1200" b="0" i="0" u="none" strike="noStrike" cap="none">
              <a:solidFill>
                <a:srgbClr val="040C28"/>
              </a:solidFill>
              <a:latin typeface="Roboto"/>
              <a:ea typeface="Roboto"/>
              <a:cs typeface="Roboto"/>
              <a:sym typeface="Roboto"/>
            </a:rPr>
            <a:t>1</a:t>
          </a:r>
          <a:r>
            <a:rPr lang="id" sz="1200">
              <a:solidFill>
                <a:srgbClr val="040C28"/>
              </a:solidFill>
              <a:latin typeface="Roboto"/>
              <a:ea typeface="Roboto"/>
              <a:cs typeface="Roboto"/>
              <a:sym typeface="Roboto"/>
            </a:rPr>
            <a:t>8</a:t>
          </a:r>
          <a:r>
            <a:rPr lang="id" sz="1200" b="0" i="0" u="none" strike="noStrike" cap="none">
              <a:solidFill>
                <a:srgbClr val="040C28"/>
              </a:solidFill>
              <a:latin typeface="Roboto"/>
              <a:ea typeface="Roboto"/>
              <a:cs typeface="Roboto"/>
              <a:sym typeface="Roboto"/>
            </a:rPr>
            <a:t>0.000.000</a:t>
          </a:r>
          <a:endParaRPr sz="1200" b="0" i="0" u="none" strike="noStrike" cap="none">
            <a:solidFill>
              <a:srgbClr val="040C28"/>
            </a:solidFill>
            <a:latin typeface="Roboto"/>
            <a:ea typeface="Roboto"/>
            <a:cs typeface="Roboto"/>
            <a:sym typeface="Roboto"/>
          </a:endParaRPr>
        </a:p>
        <a:p>
          <a:pPr lvl="0">
            <a:lnSpc>
              <a:spcPct val="115000"/>
            </a:lnSpc>
            <a:buSzPts val="1200"/>
          </a:pPr>
          <a:r>
            <a:rPr lang="id" sz="1200" b="0" i="0" u="none" strike="noStrike" cap="none">
              <a:solidFill>
                <a:srgbClr val="040C28"/>
              </a:solidFill>
              <a:latin typeface="Roboto"/>
              <a:ea typeface="Roboto"/>
              <a:cs typeface="Roboto"/>
              <a:sym typeface="Roboto"/>
            </a:rPr>
            <a:t>Biaya Listrik (masih terutang)		</a:t>
          </a:r>
          <a:r>
            <a:rPr lang="en-US" sz="1200" b="0" i="0" u="none" strike="noStrike" cap="none" baseline="0">
              <a:solidFill>
                <a:srgbClr val="040C28"/>
              </a:solidFill>
              <a:latin typeface="Roboto"/>
              <a:ea typeface="Roboto"/>
              <a:cs typeface="Roboto"/>
              <a:sym typeface="Roboto"/>
            </a:rPr>
            <a:t>                                                                   </a:t>
          </a:r>
          <a:r>
            <a:rPr lang="id" sz="1200" b="0" i="0" u="none" strike="noStrike" cap="none">
              <a:solidFill>
                <a:srgbClr val="040C28"/>
              </a:solidFill>
              <a:latin typeface="Roboto"/>
              <a:ea typeface="Roboto"/>
              <a:cs typeface="Roboto"/>
              <a:sym typeface="Roboto"/>
            </a:rPr>
            <a:t>Rp</a:t>
          </a:r>
          <a:r>
            <a:rPr lang="en-US" sz="1200" b="0" i="0" u="none" strike="noStrike" cap="none">
              <a:solidFill>
                <a:srgbClr val="040C28"/>
              </a:solidFill>
              <a:latin typeface="Roboto"/>
              <a:ea typeface="Roboto"/>
              <a:cs typeface="Roboto"/>
              <a:sym typeface="Roboto"/>
            </a:rPr>
            <a:t>   </a:t>
          </a:r>
          <a:r>
            <a:rPr lang="id" sz="1200" b="0" i="0" u="none" strike="noStrike" cap="none">
              <a:solidFill>
                <a:srgbClr val="040C28"/>
              </a:solidFill>
              <a:latin typeface="Roboto"/>
              <a:ea typeface="Roboto"/>
              <a:cs typeface="Roboto"/>
              <a:sym typeface="Roboto"/>
            </a:rPr>
            <a:t> </a:t>
          </a:r>
          <a:r>
            <a:rPr lang="id" sz="1200">
              <a:solidFill>
                <a:srgbClr val="040C28"/>
              </a:solidFill>
              <a:latin typeface="Roboto"/>
              <a:ea typeface="Roboto"/>
              <a:cs typeface="Roboto"/>
              <a:sym typeface="Roboto"/>
            </a:rPr>
            <a:t>90</a:t>
          </a:r>
          <a:r>
            <a:rPr lang="id" sz="1200" b="0" i="0" u="none" strike="noStrike" cap="none">
              <a:solidFill>
                <a:srgbClr val="040C28"/>
              </a:solidFill>
              <a:latin typeface="Roboto"/>
              <a:ea typeface="Roboto"/>
              <a:cs typeface="Roboto"/>
              <a:sym typeface="Roboto"/>
            </a:rPr>
            <a:t>.000.000</a:t>
          </a:r>
          <a:endParaRPr sz="1200" b="0" i="0" u="none" strike="noStrike" cap="none">
            <a:solidFill>
              <a:srgbClr val="040C28"/>
            </a:solidFill>
            <a:latin typeface="Roboto"/>
            <a:ea typeface="Roboto"/>
            <a:cs typeface="Roboto"/>
            <a:sym typeface="Roboto"/>
          </a:endParaRPr>
        </a:p>
        <a:p>
          <a:pPr marL="0" marR="0" lvl="0" indent="0" algn="l" rtl="0">
            <a:lnSpc>
              <a:spcPct val="115000"/>
            </a:lnSpc>
            <a:spcBef>
              <a:spcPts val="0"/>
            </a:spcBef>
            <a:spcAft>
              <a:spcPts val="0"/>
            </a:spcAft>
            <a:buClr>
              <a:srgbClr val="000000"/>
            </a:buClr>
            <a:buSzPts val="1200"/>
            <a:buFont typeface="Arial"/>
            <a:buNone/>
          </a:pPr>
          <a:r>
            <a:rPr lang="id" sz="1200" b="0" i="0" u="none" strike="noStrike" cap="none">
              <a:solidFill>
                <a:srgbClr val="040C28"/>
              </a:solidFill>
              <a:latin typeface="Roboto"/>
              <a:ea typeface="Roboto"/>
              <a:cs typeface="Roboto"/>
              <a:sym typeface="Roboto"/>
            </a:rPr>
            <a:t>Biaya Tenaga Kerja Tidak Langsung (tunai)	</a:t>
          </a:r>
          <a:r>
            <a:rPr lang="en-US" sz="1200" b="0" i="0" u="none" strike="noStrike" cap="none" baseline="0">
              <a:solidFill>
                <a:srgbClr val="040C28"/>
              </a:solidFill>
              <a:latin typeface="Roboto"/>
              <a:ea typeface="Roboto"/>
              <a:cs typeface="Roboto"/>
              <a:sym typeface="Roboto"/>
            </a:rPr>
            <a:t>                                                                   </a:t>
          </a:r>
          <a:r>
            <a:rPr lang="id" sz="1200" b="0" i="0" u="none" strike="noStrike" cap="none">
              <a:solidFill>
                <a:srgbClr val="040C28"/>
              </a:solidFill>
              <a:latin typeface="Roboto"/>
              <a:ea typeface="Roboto"/>
              <a:cs typeface="Roboto"/>
              <a:sym typeface="Roboto"/>
            </a:rPr>
            <a:t>Rp </a:t>
          </a:r>
          <a:r>
            <a:rPr lang="en-US" sz="1200" b="0" i="0" u="none" strike="noStrike" cap="none">
              <a:solidFill>
                <a:srgbClr val="040C28"/>
              </a:solidFill>
              <a:latin typeface="Roboto"/>
              <a:ea typeface="Roboto"/>
              <a:cs typeface="Roboto"/>
              <a:sym typeface="Roboto"/>
            </a:rPr>
            <a:t> </a:t>
          </a:r>
          <a:r>
            <a:rPr lang="id" sz="1200" b="0" i="0" u="none" strike="noStrike" cap="none">
              <a:solidFill>
                <a:srgbClr val="040C28"/>
              </a:solidFill>
              <a:latin typeface="Roboto"/>
              <a:ea typeface="Roboto"/>
              <a:cs typeface="Roboto"/>
              <a:sym typeface="Roboto"/>
            </a:rPr>
            <a:t>1</a:t>
          </a:r>
          <a:r>
            <a:rPr lang="id" sz="1200">
              <a:solidFill>
                <a:srgbClr val="040C28"/>
              </a:solidFill>
              <a:latin typeface="Roboto"/>
              <a:ea typeface="Roboto"/>
              <a:cs typeface="Roboto"/>
              <a:sym typeface="Roboto"/>
            </a:rPr>
            <a:t>2</a:t>
          </a:r>
          <a:r>
            <a:rPr lang="id" sz="1200" b="0" i="0" u="none" strike="noStrike" cap="none">
              <a:solidFill>
                <a:srgbClr val="040C28"/>
              </a:solidFill>
              <a:latin typeface="Roboto"/>
              <a:ea typeface="Roboto"/>
              <a:cs typeface="Roboto"/>
              <a:sym typeface="Roboto"/>
            </a:rPr>
            <a:t>0.000.000</a:t>
          </a:r>
          <a:endParaRPr sz="1200" b="0" i="0" u="none" strike="noStrike" cap="none">
            <a:solidFill>
              <a:srgbClr val="040C28"/>
            </a:solidFill>
            <a:latin typeface="Roboto"/>
            <a:ea typeface="Roboto"/>
            <a:cs typeface="Roboto"/>
            <a:sym typeface="Roboto"/>
          </a:endParaRPr>
        </a:p>
        <a:p>
          <a:pPr marL="0" marR="0" lvl="0" indent="0" algn="l" rtl="0">
            <a:lnSpc>
              <a:spcPct val="115000"/>
            </a:lnSpc>
            <a:spcBef>
              <a:spcPts val="0"/>
            </a:spcBef>
            <a:spcAft>
              <a:spcPts val="0"/>
            </a:spcAft>
            <a:buClr>
              <a:srgbClr val="000000"/>
            </a:buClr>
            <a:buSzPts val="1200"/>
            <a:buFont typeface="Arial"/>
            <a:buNone/>
          </a:pPr>
          <a:r>
            <a:rPr lang="id" sz="1200" b="0" i="0" u="none" strike="noStrike" cap="none">
              <a:solidFill>
                <a:srgbClr val="040C28"/>
              </a:solidFill>
              <a:latin typeface="Roboto"/>
              <a:ea typeface="Roboto"/>
              <a:cs typeface="Roboto"/>
              <a:sym typeface="Roboto"/>
            </a:rPr>
            <a:t>Biaya Bahan Baku Tidak Langsung (perlengkapan pabrik)</a:t>
          </a:r>
          <a:r>
            <a:rPr lang="en-US" sz="1200" b="0" i="0" u="none" strike="noStrike" cap="none" baseline="0">
              <a:solidFill>
                <a:srgbClr val="040C28"/>
              </a:solidFill>
              <a:latin typeface="Roboto"/>
              <a:ea typeface="Roboto"/>
              <a:cs typeface="Roboto"/>
              <a:sym typeface="Roboto"/>
            </a:rPr>
            <a:t>                                                              </a:t>
          </a:r>
          <a:r>
            <a:rPr lang="id" sz="1200" b="0" i="0" u="none" strike="noStrike" cap="none">
              <a:solidFill>
                <a:srgbClr val="040C28"/>
              </a:solidFill>
              <a:latin typeface="Roboto"/>
              <a:ea typeface="Roboto"/>
              <a:cs typeface="Roboto"/>
              <a:sym typeface="Roboto"/>
            </a:rPr>
            <a:t>Rp </a:t>
          </a:r>
          <a:r>
            <a:rPr lang="en-US" sz="1200" b="0" i="0" u="none" strike="noStrike" cap="none">
              <a:solidFill>
                <a:srgbClr val="040C28"/>
              </a:solidFill>
              <a:latin typeface="Roboto"/>
              <a:ea typeface="Roboto"/>
              <a:cs typeface="Roboto"/>
              <a:sym typeface="Roboto"/>
            </a:rPr>
            <a:t>   </a:t>
          </a:r>
          <a:r>
            <a:rPr lang="id" sz="1200" b="0" i="0" u="none" strike="noStrike" cap="none">
              <a:solidFill>
                <a:srgbClr val="040C28"/>
              </a:solidFill>
              <a:latin typeface="Roboto"/>
              <a:ea typeface="Roboto"/>
              <a:cs typeface="Roboto"/>
              <a:sym typeface="Roboto"/>
            </a:rPr>
            <a:t>3</a:t>
          </a:r>
          <a:r>
            <a:rPr lang="id" sz="1200">
              <a:solidFill>
                <a:srgbClr val="040C28"/>
              </a:solidFill>
              <a:latin typeface="Roboto"/>
              <a:ea typeface="Roboto"/>
              <a:cs typeface="Roboto"/>
              <a:sym typeface="Roboto"/>
            </a:rPr>
            <a:t>5</a:t>
          </a:r>
          <a:r>
            <a:rPr lang="id" sz="1200" b="0" i="0" u="none" strike="noStrike" cap="none">
              <a:solidFill>
                <a:srgbClr val="040C28"/>
              </a:solidFill>
              <a:latin typeface="Roboto"/>
              <a:ea typeface="Roboto"/>
              <a:cs typeface="Roboto"/>
              <a:sym typeface="Roboto"/>
            </a:rPr>
            <a:t>.000.000</a:t>
          </a:r>
          <a:endParaRPr sz="1200" b="0" i="0" u="none" strike="noStrike" cap="none">
            <a:solidFill>
              <a:srgbClr val="040C28"/>
            </a:solidFill>
            <a:latin typeface="Roboto"/>
            <a:ea typeface="Roboto"/>
            <a:cs typeface="Roboto"/>
            <a:sym typeface="Roboto"/>
          </a:endParaRPr>
        </a:p>
        <a:p>
          <a:pPr marL="0" marR="0" lvl="0" indent="0" algn="l" rtl="0">
            <a:lnSpc>
              <a:spcPct val="115000"/>
            </a:lnSpc>
            <a:spcBef>
              <a:spcPts val="0"/>
            </a:spcBef>
            <a:spcAft>
              <a:spcPts val="0"/>
            </a:spcAft>
            <a:buClr>
              <a:srgbClr val="000000"/>
            </a:buClr>
            <a:buSzPts val="1200"/>
            <a:buFont typeface="Arial"/>
            <a:buNone/>
          </a:pPr>
          <a:endParaRPr sz="1200" b="0" i="0" u="none" strike="noStrike" cap="none">
            <a:solidFill>
              <a:srgbClr val="040C28"/>
            </a:solidFill>
            <a:latin typeface="Roboto"/>
            <a:ea typeface="Roboto"/>
            <a:cs typeface="Roboto"/>
            <a:sym typeface="Roboto"/>
          </a:endParaRPr>
        </a:p>
      </xdr:txBody>
    </xdr:sp>
    <xdr:clientData/>
  </xdr:twoCellAnchor>
</xdr:wsDr>
</file>

<file path=xl/drawings/drawing23.xml><?xml version="1.0" encoding="utf-8"?>
<xdr:wsDr xmlns:xdr="http://schemas.openxmlformats.org/drawingml/2006/spreadsheetDrawing" xmlns:a="http://schemas.openxmlformats.org/drawingml/2006/main">
  <xdr:twoCellAnchor>
    <xdr:from>
      <xdr:col>0</xdr:col>
      <xdr:colOff>0</xdr:colOff>
      <xdr:row>4</xdr:row>
      <xdr:rowOff>0</xdr:rowOff>
    </xdr:from>
    <xdr:to>
      <xdr:col>10</xdr:col>
      <xdr:colOff>402300</xdr:colOff>
      <xdr:row>7</xdr:row>
      <xdr:rowOff>117000</xdr:rowOff>
    </xdr:to>
    <xdr:sp macro="" textlink="">
      <xdr:nvSpPr>
        <xdr:cNvPr id="3" name="Google Shape;87;p15">
          <a:extLst>
            <a:ext uri="{FF2B5EF4-FFF2-40B4-BE49-F238E27FC236}">
              <a16:creationId xmlns:a16="http://schemas.microsoft.com/office/drawing/2014/main" id="{97A5DBF8-FE4A-A097-BDE0-66BAF3ADD0DA}"/>
            </a:ext>
          </a:extLst>
        </xdr:cNvPr>
        <xdr:cNvSpPr txBox="1"/>
      </xdr:nvSpPr>
      <xdr:spPr>
        <a:xfrm>
          <a:off x="0" y="381000"/>
          <a:ext cx="5888700" cy="688500"/>
        </a:xfrm>
        <a:prstGeom prst="rect">
          <a:avLst/>
        </a:prstGeom>
        <a:solidFill>
          <a:schemeClr val="bg2"/>
        </a:solidFill>
        <a:ln>
          <a:noFill/>
        </a:ln>
      </xdr:spPr>
      <xdr:txBody>
        <a:bodyPr spcFirstLastPara="1" wrap="square" lIns="91425" tIns="91425" rIns="91425" bIns="91425" anchor="ctr" anchorCtr="0">
          <a:no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lvl="0" indent="0" algn="l" rtl="0">
            <a:lnSpc>
              <a:spcPct val="115000"/>
            </a:lnSpc>
            <a:spcBef>
              <a:spcPts val="0"/>
            </a:spcBef>
            <a:spcAft>
              <a:spcPts val="0"/>
            </a:spcAft>
            <a:buNone/>
          </a:pPr>
          <a:r>
            <a:rPr lang="id" sz="1300">
              <a:latin typeface="Roboto"/>
              <a:ea typeface="Roboto"/>
              <a:cs typeface="Roboto"/>
              <a:sym typeface="Roboto"/>
            </a:rPr>
            <a:t>Kamu berniat untuk menginvestasikan Rp 400.000 pada sebuah project IT yang akan memberikan arus kas masa depan sebagai berikut : </a:t>
          </a:r>
          <a:endParaRPr sz="1300">
            <a:latin typeface="Roboto"/>
            <a:ea typeface="Roboto"/>
            <a:cs typeface="Roboto"/>
            <a:sym typeface="Roboto"/>
          </a:endParaRPr>
        </a:p>
      </xdr:txBody>
    </xdr:sp>
    <xdr:clientData/>
  </xdr:twoCellAnchor>
  <xdr:twoCellAnchor>
    <xdr:from>
      <xdr:col>0</xdr:col>
      <xdr:colOff>9525</xdr:colOff>
      <xdr:row>14</xdr:row>
      <xdr:rowOff>85724</xdr:rowOff>
    </xdr:from>
    <xdr:to>
      <xdr:col>6</xdr:col>
      <xdr:colOff>38100</xdr:colOff>
      <xdr:row>17</xdr:row>
      <xdr:rowOff>123825</xdr:rowOff>
    </xdr:to>
    <xdr:sp macro="" textlink="">
      <xdr:nvSpPr>
        <xdr:cNvPr id="5" name="Google Shape;88;p15">
          <a:extLst>
            <a:ext uri="{FF2B5EF4-FFF2-40B4-BE49-F238E27FC236}">
              <a16:creationId xmlns:a16="http://schemas.microsoft.com/office/drawing/2014/main" id="{1FBBBE90-268D-EAC8-3DED-12DE9C9AF18E}"/>
            </a:ext>
          </a:extLst>
        </xdr:cNvPr>
        <xdr:cNvSpPr txBox="1"/>
      </xdr:nvSpPr>
      <xdr:spPr>
        <a:xfrm>
          <a:off x="9525" y="2809874"/>
          <a:ext cx="7419975" cy="609601"/>
        </a:xfrm>
        <a:prstGeom prst="rect">
          <a:avLst/>
        </a:prstGeom>
        <a:solidFill>
          <a:schemeClr val="bg2"/>
        </a:solidFill>
        <a:ln>
          <a:noFill/>
        </a:ln>
      </xdr:spPr>
      <xdr:txBody>
        <a:bodyPr spcFirstLastPara="1" wrap="square" lIns="91425" tIns="91425" rIns="91425" bIns="91425" anchor="t" anchorCtr="0">
          <a:no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lvl="0" indent="0" algn="l" rtl="0">
            <a:lnSpc>
              <a:spcPct val="115000"/>
            </a:lnSpc>
            <a:spcBef>
              <a:spcPts val="0"/>
            </a:spcBef>
            <a:spcAft>
              <a:spcPts val="0"/>
            </a:spcAft>
            <a:buNone/>
          </a:pPr>
          <a:r>
            <a:rPr lang="id" sz="1300">
              <a:latin typeface="Roboto"/>
              <a:ea typeface="Roboto"/>
              <a:cs typeface="Roboto"/>
              <a:sym typeface="Roboto"/>
            </a:rPr>
            <a:t>Menurutmu, jika discount rate sebesar </a:t>
          </a:r>
          <a:r>
            <a:rPr lang="id" sz="1300" b="1">
              <a:solidFill>
                <a:srgbClr val="13818B"/>
              </a:solidFill>
              <a:latin typeface="Roboto"/>
              <a:ea typeface="Roboto"/>
              <a:cs typeface="Roboto"/>
              <a:sym typeface="Roboto"/>
            </a:rPr>
            <a:t>8%</a:t>
          </a:r>
          <a:r>
            <a:rPr lang="id" sz="1300" b="1">
              <a:latin typeface="Roboto"/>
              <a:ea typeface="Roboto"/>
              <a:cs typeface="Roboto"/>
              <a:sym typeface="Roboto"/>
            </a:rPr>
            <a:t> per tahun</a:t>
          </a:r>
          <a:r>
            <a:rPr lang="id" sz="1300">
              <a:latin typeface="Roboto"/>
              <a:ea typeface="Roboto"/>
              <a:cs typeface="Roboto"/>
              <a:sym typeface="Roboto"/>
            </a:rPr>
            <a:t>. Apakah project tersebut sebaiknya diterima atau ditolak?</a:t>
          </a:r>
          <a:endParaRPr sz="1300">
            <a:latin typeface="Roboto"/>
            <a:ea typeface="Roboto"/>
            <a:cs typeface="Roboto"/>
            <a:sym typeface="Roboto"/>
          </a:endParaRPr>
        </a:p>
      </xdr:txBody>
    </xdr:sp>
    <xdr:clientData/>
  </xdr:twoCellAnchor>
  <xdr:twoCellAnchor>
    <xdr:from>
      <xdr:col>0</xdr:col>
      <xdr:colOff>19050</xdr:colOff>
      <xdr:row>0</xdr:row>
      <xdr:rowOff>114300</xdr:rowOff>
    </xdr:from>
    <xdr:to>
      <xdr:col>3</xdr:col>
      <xdr:colOff>257175</xdr:colOff>
      <xdr:row>3</xdr:row>
      <xdr:rowOff>28575</xdr:rowOff>
    </xdr:to>
    <xdr:sp macro="" textlink="">
      <xdr:nvSpPr>
        <xdr:cNvPr id="7" name="Google Shape;85;p15">
          <a:extLst>
            <a:ext uri="{FF2B5EF4-FFF2-40B4-BE49-F238E27FC236}">
              <a16:creationId xmlns:a16="http://schemas.microsoft.com/office/drawing/2014/main" id="{05D4E7DE-EAA8-C436-F602-27EAEAE62E89}"/>
            </a:ext>
          </a:extLst>
        </xdr:cNvPr>
        <xdr:cNvSpPr txBox="1"/>
      </xdr:nvSpPr>
      <xdr:spPr>
        <a:xfrm>
          <a:off x="19050" y="114300"/>
          <a:ext cx="3600450" cy="485775"/>
        </a:xfrm>
        <a:prstGeom prst="rect">
          <a:avLst/>
        </a:prstGeom>
        <a:solidFill>
          <a:schemeClr val="bg2"/>
        </a:solidFill>
        <a:ln>
          <a:noFill/>
        </a:ln>
      </xdr:spPr>
      <xdr:txBody>
        <a:bodyPr spcFirstLastPara="1" wrap="square" lIns="0" tIns="12700" rIns="0" bIns="0" anchor="t" anchorCtr="0">
          <a:no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12700" marR="0" lvl="0" indent="0" algn="l" rtl="0">
            <a:lnSpc>
              <a:spcPct val="100000"/>
            </a:lnSpc>
            <a:spcBef>
              <a:spcPts val="0"/>
            </a:spcBef>
            <a:spcAft>
              <a:spcPts val="0"/>
            </a:spcAft>
            <a:buClr>
              <a:srgbClr val="000000"/>
            </a:buClr>
            <a:buSzPts val="3600"/>
            <a:buFont typeface="Arial"/>
            <a:buNone/>
          </a:pPr>
          <a:r>
            <a:rPr lang="id" sz="2800" b="1">
              <a:solidFill>
                <a:schemeClr val="tx1"/>
              </a:solidFill>
              <a:latin typeface="Roboto"/>
              <a:ea typeface="Roboto"/>
              <a:cs typeface="Roboto"/>
              <a:sym typeface="Roboto"/>
            </a:rPr>
            <a:t>Penganggaran Modal</a:t>
          </a:r>
          <a:endParaRPr sz="2800" b="1">
            <a:solidFill>
              <a:schemeClr val="tx1"/>
            </a:solidFill>
            <a:latin typeface="Roboto"/>
            <a:ea typeface="Roboto"/>
            <a:cs typeface="Roboto"/>
            <a:sym typeface="Roboto"/>
          </a:endParaRPr>
        </a:p>
      </xdr:txBody>
    </xdr:sp>
    <xdr:clientData/>
  </xdr:twoCellAnchor>
  <xdr:twoCellAnchor>
    <xdr:from>
      <xdr:col>0</xdr:col>
      <xdr:colOff>9526</xdr:colOff>
      <xdr:row>18</xdr:row>
      <xdr:rowOff>76199</xdr:rowOff>
    </xdr:from>
    <xdr:to>
      <xdr:col>5</xdr:col>
      <xdr:colOff>1504951</xdr:colOff>
      <xdr:row>22</xdr:row>
      <xdr:rowOff>85724</xdr:rowOff>
    </xdr:to>
    <xdr:sp macro="" textlink="">
      <xdr:nvSpPr>
        <xdr:cNvPr id="9" name="Google Shape;110;p16">
          <a:extLst>
            <a:ext uri="{FF2B5EF4-FFF2-40B4-BE49-F238E27FC236}">
              <a16:creationId xmlns:a16="http://schemas.microsoft.com/office/drawing/2014/main" id="{FB1AA262-8677-E0A0-908C-B05C6B30FFCD}"/>
            </a:ext>
          </a:extLst>
        </xdr:cNvPr>
        <xdr:cNvSpPr txBox="1"/>
      </xdr:nvSpPr>
      <xdr:spPr>
        <a:xfrm>
          <a:off x="9526" y="3562349"/>
          <a:ext cx="7353300" cy="771525"/>
        </a:xfrm>
        <a:prstGeom prst="rect">
          <a:avLst/>
        </a:prstGeom>
        <a:solidFill>
          <a:schemeClr val="bg2"/>
        </a:solidFill>
        <a:ln>
          <a:noFill/>
        </a:ln>
      </xdr:spPr>
      <xdr:txBody>
        <a:bodyPr spcFirstLastPara="1" wrap="square" lIns="91425" tIns="91425" rIns="91425" bIns="91425" anchor="t" anchorCtr="0">
          <a:no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lvl="0" indent="0" algn="l" rtl="0">
            <a:lnSpc>
              <a:spcPct val="115000"/>
            </a:lnSpc>
            <a:spcBef>
              <a:spcPts val="0"/>
            </a:spcBef>
            <a:spcAft>
              <a:spcPts val="0"/>
            </a:spcAft>
            <a:buNone/>
          </a:pPr>
          <a:r>
            <a:rPr lang="id" sz="1200">
              <a:latin typeface="Roboto"/>
              <a:ea typeface="Roboto"/>
              <a:cs typeface="Roboto"/>
              <a:sym typeface="Roboto"/>
            </a:rPr>
            <a:t>Sertakan hasil perhitunganmu pada tabel berikut : </a:t>
          </a:r>
          <a:endParaRPr lang="en-US" sz="1200">
            <a:latin typeface="Roboto"/>
            <a:ea typeface="Roboto"/>
            <a:cs typeface="Roboto"/>
            <a:sym typeface="Roboto"/>
          </a:endParaRPr>
        </a:p>
        <a:p>
          <a:pPr marL="0" lvl="0" indent="0" algn="l" rtl="0">
            <a:lnSpc>
              <a:spcPct val="115000"/>
            </a:lnSpc>
            <a:spcBef>
              <a:spcPts val="0"/>
            </a:spcBef>
            <a:spcAft>
              <a:spcPts val="0"/>
            </a:spcAft>
            <a:buNone/>
          </a:pPr>
          <a:r>
            <a:rPr lang="en-US" sz="1200">
              <a:latin typeface="Roboto"/>
              <a:ea typeface="Roboto"/>
              <a:cs typeface="Roboto"/>
              <a:sym typeface="Roboto"/>
            </a:rPr>
            <a:t>Mencoba dengan tingkat suku bunga 9% dan 8%, bagaimana PV pada investasi awal ?</a:t>
          </a:r>
          <a:endParaRPr sz="1200">
            <a:latin typeface="Roboto"/>
            <a:ea typeface="Roboto"/>
            <a:cs typeface="Roboto"/>
            <a:sym typeface="Roboto"/>
          </a:endParaRPr>
        </a:p>
      </xdr:txBody>
    </xdr:sp>
    <xdr:clientData/>
  </xdr:twoCellAnchor>
  <xdr:twoCellAnchor>
    <xdr:from>
      <xdr:col>0</xdr:col>
      <xdr:colOff>47625</xdr:colOff>
      <xdr:row>37</xdr:row>
      <xdr:rowOff>180976</xdr:rowOff>
    </xdr:from>
    <xdr:to>
      <xdr:col>10</xdr:col>
      <xdr:colOff>400050</xdr:colOff>
      <xdr:row>41</xdr:row>
      <xdr:rowOff>28576</xdr:rowOff>
    </xdr:to>
    <xdr:sp macro="" textlink="">
      <xdr:nvSpPr>
        <xdr:cNvPr id="4" name="Google Shape;110;p16">
          <a:extLst>
            <a:ext uri="{FF2B5EF4-FFF2-40B4-BE49-F238E27FC236}">
              <a16:creationId xmlns:a16="http://schemas.microsoft.com/office/drawing/2014/main" id="{B0BB15D8-EAB6-4986-8E2E-E70FD304124F}"/>
            </a:ext>
          </a:extLst>
        </xdr:cNvPr>
        <xdr:cNvSpPr txBox="1"/>
      </xdr:nvSpPr>
      <xdr:spPr>
        <a:xfrm>
          <a:off x="47625" y="7419976"/>
          <a:ext cx="10182225" cy="628650"/>
        </a:xfrm>
        <a:prstGeom prst="rect">
          <a:avLst/>
        </a:prstGeom>
        <a:solidFill>
          <a:schemeClr val="bg2"/>
        </a:solidFill>
        <a:ln>
          <a:noFill/>
        </a:ln>
      </xdr:spPr>
      <xdr:txBody>
        <a:bodyPr spcFirstLastPara="1" wrap="square" lIns="91425" tIns="91425" rIns="91425" bIns="91425" anchor="t" anchorCtr="0">
          <a:no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lvl="0" indent="0" algn="l" rtl="0">
            <a:lnSpc>
              <a:spcPct val="115000"/>
            </a:lnSpc>
            <a:spcBef>
              <a:spcPts val="0"/>
            </a:spcBef>
            <a:spcAft>
              <a:spcPts val="0"/>
            </a:spcAft>
            <a:buNone/>
          </a:pPr>
          <a:r>
            <a:rPr lang="en-US" sz="1200">
              <a:latin typeface="Roboto"/>
              <a:ea typeface="Roboto"/>
              <a:cs typeface="Roboto"/>
              <a:sym typeface="Roboto"/>
            </a:rPr>
            <a:t>NPV positif</a:t>
          </a:r>
          <a:r>
            <a:rPr lang="en-US" sz="1200" baseline="0">
              <a:latin typeface="Roboto"/>
              <a:ea typeface="Roboto"/>
              <a:cs typeface="Roboto"/>
              <a:sym typeface="Roboto"/>
            </a:rPr>
            <a:t> pada </a:t>
          </a:r>
          <a:r>
            <a:rPr lang="en-US" sz="1200">
              <a:latin typeface="Roboto"/>
              <a:ea typeface="Roboto"/>
              <a:cs typeface="Roboto"/>
              <a:sym typeface="Roboto"/>
            </a:rPr>
            <a:t>tingkat</a:t>
          </a:r>
          <a:r>
            <a:rPr lang="en-US" sz="1200" baseline="0">
              <a:latin typeface="Roboto"/>
              <a:ea typeface="Roboto"/>
              <a:cs typeface="Roboto"/>
              <a:sym typeface="Roboto"/>
            </a:rPr>
            <a:t> suku bunga 8% dan proyek menghasilkan pengembalian sebesar  8,86%, lebih tinggi dari discount sebesar 8%, jadi proyek tersebut layak diterima. </a:t>
          </a:r>
          <a:endParaRPr sz="1200">
            <a:latin typeface="Roboto"/>
            <a:ea typeface="Roboto"/>
            <a:cs typeface="Roboto"/>
            <a:sym typeface="Roboto"/>
          </a:endParaRPr>
        </a:p>
      </xdr:txBody>
    </xdr:sp>
    <xdr:clientData/>
  </xdr:twoCellAnchor>
</xdr:wsDr>
</file>

<file path=xl/drawings/drawing24.xml><?xml version="1.0" encoding="utf-8"?>
<xdr:wsDr xmlns:xdr="http://schemas.openxmlformats.org/drawingml/2006/spreadsheetDrawing" xmlns:a="http://schemas.openxmlformats.org/drawingml/2006/main">
  <xdr:twoCellAnchor>
    <xdr:from>
      <xdr:col>0</xdr:col>
      <xdr:colOff>9525</xdr:colOff>
      <xdr:row>4</xdr:row>
      <xdr:rowOff>47625</xdr:rowOff>
    </xdr:from>
    <xdr:to>
      <xdr:col>7</xdr:col>
      <xdr:colOff>65325</xdr:colOff>
      <xdr:row>22</xdr:row>
      <xdr:rowOff>174225</xdr:rowOff>
    </xdr:to>
    <xdr:sp macro="" textlink="">
      <xdr:nvSpPr>
        <xdr:cNvPr id="3" name="Google Shape;86;g2735f17ea29_0_64">
          <a:extLst>
            <a:ext uri="{FF2B5EF4-FFF2-40B4-BE49-F238E27FC236}">
              <a16:creationId xmlns:a16="http://schemas.microsoft.com/office/drawing/2014/main" id="{BF9D535F-419F-D382-E075-3DC042567723}"/>
            </a:ext>
          </a:extLst>
        </xdr:cNvPr>
        <xdr:cNvSpPr txBox="1"/>
      </xdr:nvSpPr>
      <xdr:spPr>
        <a:xfrm>
          <a:off x="9525" y="809625"/>
          <a:ext cx="4323000" cy="3555600"/>
        </a:xfrm>
        <a:prstGeom prst="rect">
          <a:avLst/>
        </a:prstGeom>
        <a:solidFill>
          <a:schemeClr val="bg2"/>
        </a:solidFill>
        <a:ln>
          <a:noFill/>
        </a:ln>
      </xdr:spPr>
      <xdr:txBody>
        <a:bodyPr spcFirstLastPara="1" wrap="square" lIns="91425" tIns="91425" rIns="91425" bIns="91425" anchor="t" anchorCtr="0">
          <a:sp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marR="0" lvl="0" indent="0" algn="l" rtl="0">
            <a:lnSpc>
              <a:spcPct val="115000"/>
            </a:lnSpc>
            <a:spcBef>
              <a:spcPts val="0"/>
            </a:spcBef>
            <a:spcAft>
              <a:spcPts val="0"/>
            </a:spcAft>
            <a:buClr>
              <a:srgbClr val="000000"/>
            </a:buClr>
            <a:buSzPts val="1100"/>
            <a:buFont typeface="Arial"/>
            <a:buNone/>
          </a:pPr>
          <a:r>
            <a:rPr lang="id" sz="1200">
              <a:latin typeface="Roboto"/>
              <a:ea typeface="Roboto"/>
              <a:cs typeface="Roboto"/>
              <a:sym typeface="Roboto"/>
            </a:rPr>
            <a:t>Flamingo Company menginvestasikan $150,000 dalam sebuah proyek baru. Proyek ini diharapkan menghasilkan arus kas bersih di masa depan sebagai berikut:</a:t>
          </a:r>
          <a:endParaRPr sz="1200">
            <a:latin typeface="Roboto"/>
            <a:ea typeface="Roboto"/>
            <a:cs typeface="Roboto"/>
            <a:sym typeface="Roboto"/>
          </a:endParaRPr>
        </a:p>
        <a:p>
          <a:pPr marL="457200" lvl="0" indent="-304800" algn="l" rtl="0">
            <a:lnSpc>
              <a:spcPct val="115000"/>
            </a:lnSpc>
            <a:spcBef>
              <a:spcPts val="0"/>
            </a:spcBef>
            <a:spcAft>
              <a:spcPts val="0"/>
            </a:spcAft>
            <a:buClr>
              <a:schemeClr val="dk1"/>
            </a:buClr>
            <a:buSzPts val="1200"/>
            <a:buChar char="●"/>
          </a:pPr>
          <a:r>
            <a:rPr lang="id" sz="1200">
              <a:latin typeface="Roboto"/>
              <a:ea typeface="Roboto"/>
              <a:cs typeface="Roboto"/>
              <a:sym typeface="Roboto"/>
            </a:rPr>
            <a:t>Tahun 1: $40,000</a:t>
          </a:r>
          <a:endParaRPr sz="1200">
            <a:latin typeface="Roboto"/>
            <a:ea typeface="Roboto"/>
            <a:cs typeface="Roboto"/>
            <a:sym typeface="Roboto"/>
          </a:endParaRPr>
        </a:p>
        <a:p>
          <a:pPr marL="457200" lvl="0" indent="-304800" algn="l" rtl="0">
            <a:lnSpc>
              <a:spcPct val="115000"/>
            </a:lnSpc>
            <a:spcBef>
              <a:spcPts val="0"/>
            </a:spcBef>
            <a:spcAft>
              <a:spcPts val="0"/>
            </a:spcAft>
            <a:buClr>
              <a:schemeClr val="dk1"/>
            </a:buClr>
            <a:buSzPts val="1200"/>
            <a:buChar char="●"/>
          </a:pPr>
          <a:r>
            <a:rPr lang="id" sz="1200">
              <a:latin typeface="Roboto"/>
              <a:ea typeface="Roboto"/>
              <a:cs typeface="Roboto"/>
              <a:sym typeface="Roboto"/>
            </a:rPr>
            <a:t>Tahun 2: $50,000</a:t>
          </a:r>
          <a:endParaRPr sz="1200">
            <a:latin typeface="Roboto"/>
            <a:ea typeface="Roboto"/>
            <a:cs typeface="Roboto"/>
            <a:sym typeface="Roboto"/>
          </a:endParaRPr>
        </a:p>
        <a:p>
          <a:pPr marL="457200" lvl="0" indent="-304800" algn="l" rtl="0">
            <a:lnSpc>
              <a:spcPct val="115000"/>
            </a:lnSpc>
            <a:spcBef>
              <a:spcPts val="0"/>
            </a:spcBef>
            <a:spcAft>
              <a:spcPts val="0"/>
            </a:spcAft>
            <a:buClr>
              <a:schemeClr val="dk1"/>
            </a:buClr>
            <a:buSzPts val="1200"/>
            <a:buChar char="●"/>
          </a:pPr>
          <a:r>
            <a:rPr lang="id" sz="1200">
              <a:latin typeface="Roboto"/>
              <a:ea typeface="Roboto"/>
              <a:cs typeface="Roboto"/>
              <a:sym typeface="Roboto"/>
            </a:rPr>
            <a:t>Tahun 3: $60,000</a:t>
          </a:r>
          <a:endParaRPr sz="1200">
            <a:latin typeface="Roboto"/>
            <a:ea typeface="Roboto"/>
            <a:cs typeface="Roboto"/>
            <a:sym typeface="Roboto"/>
          </a:endParaRPr>
        </a:p>
        <a:p>
          <a:pPr marL="457200" lvl="0" indent="-304800" algn="l" rtl="0">
            <a:lnSpc>
              <a:spcPct val="115000"/>
            </a:lnSpc>
            <a:spcBef>
              <a:spcPts val="0"/>
            </a:spcBef>
            <a:spcAft>
              <a:spcPts val="0"/>
            </a:spcAft>
            <a:buClr>
              <a:schemeClr val="dk1"/>
            </a:buClr>
            <a:buSzPts val="1200"/>
            <a:buChar char="●"/>
          </a:pPr>
          <a:r>
            <a:rPr lang="id" sz="1200">
              <a:latin typeface="Roboto"/>
              <a:ea typeface="Roboto"/>
              <a:cs typeface="Roboto"/>
              <a:sym typeface="Roboto"/>
            </a:rPr>
            <a:t>Tahun 4: $70,000</a:t>
          </a:r>
          <a:endParaRPr sz="1200">
            <a:latin typeface="Roboto"/>
            <a:ea typeface="Roboto"/>
            <a:cs typeface="Roboto"/>
            <a:sym typeface="Roboto"/>
          </a:endParaRPr>
        </a:p>
        <a:p>
          <a:pPr marL="0" lvl="0" indent="0" algn="l" rtl="0">
            <a:lnSpc>
              <a:spcPct val="115000"/>
            </a:lnSpc>
            <a:spcBef>
              <a:spcPts val="0"/>
            </a:spcBef>
            <a:spcAft>
              <a:spcPts val="0"/>
            </a:spcAft>
            <a:buNone/>
          </a:pPr>
          <a:endParaRPr sz="1200">
            <a:latin typeface="Roboto"/>
            <a:ea typeface="Roboto"/>
            <a:cs typeface="Roboto"/>
            <a:sym typeface="Roboto"/>
          </a:endParaRPr>
        </a:p>
        <a:p>
          <a:pPr marL="0" marR="0" lvl="0" indent="0" algn="l" rtl="0">
            <a:lnSpc>
              <a:spcPct val="115000"/>
            </a:lnSpc>
            <a:spcBef>
              <a:spcPts val="0"/>
            </a:spcBef>
            <a:spcAft>
              <a:spcPts val="0"/>
            </a:spcAft>
            <a:buClr>
              <a:srgbClr val="000000"/>
            </a:buClr>
            <a:buSzPts val="1100"/>
            <a:buFont typeface="Arial"/>
            <a:buNone/>
          </a:pPr>
          <a:r>
            <a:rPr lang="id" sz="1200" b="0" i="0" u="none" strike="noStrike" cap="none">
              <a:solidFill>
                <a:srgbClr val="000000"/>
              </a:solidFill>
              <a:latin typeface="Roboto"/>
              <a:ea typeface="Roboto"/>
              <a:cs typeface="Roboto"/>
              <a:sym typeface="Roboto"/>
            </a:rPr>
            <a:t>Jika opportunity cost/discount rate sebesar </a:t>
          </a:r>
          <a:r>
            <a:rPr lang="id" sz="1200">
              <a:latin typeface="Roboto"/>
              <a:ea typeface="Roboto"/>
              <a:cs typeface="Roboto"/>
              <a:sym typeface="Roboto"/>
            </a:rPr>
            <a:t>10</a:t>
          </a:r>
          <a:r>
            <a:rPr lang="id" sz="1200" b="0" i="0" u="none" strike="noStrike" cap="none">
              <a:solidFill>
                <a:srgbClr val="000000"/>
              </a:solidFill>
              <a:latin typeface="Roboto"/>
              <a:ea typeface="Roboto"/>
              <a:cs typeface="Roboto"/>
              <a:sym typeface="Roboto"/>
            </a:rPr>
            <a:t>% per tahun. Apakah project tersebut diterima atau ditolak?</a:t>
          </a:r>
          <a:endParaRPr sz="1200" b="0" i="0" u="none" strike="noStrike" cap="none">
            <a:solidFill>
              <a:srgbClr val="000000"/>
            </a:solidFill>
            <a:latin typeface="Roboto"/>
            <a:ea typeface="Roboto"/>
            <a:cs typeface="Roboto"/>
            <a:sym typeface="Roboto"/>
          </a:endParaRPr>
        </a:p>
        <a:p>
          <a:pPr marL="0" marR="0" lvl="0" indent="0" algn="l" rtl="0">
            <a:lnSpc>
              <a:spcPct val="115000"/>
            </a:lnSpc>
            <a:spcBef>
              <a:spcPts val="0"/>
            </a:spcBef>
            <a:spcAft>
              <a:spcPts val="0"/>
            </a:spcAft>
            <a:buClr>
              <a:srgbClr val="000000"/>
            </a:buClr>
            <a:buSzPts val="1100"/>
            <a:buFont typeface="Arial"/>
            <a:buNone/>
          </a:pPr>
          <a:endParaRPr sz="1200" b="1" i="0" u="none" strike="noStrike" cap="none">
            <a:solidFill>
              <a:srgbClr val="000000"/>
            </a:solidFill>
            <a:latin typeface="Roboto"/>
            <a:ea typeface="Roboto"/>
            <a:cs typeface="Roboto"/>
            <a:sym typeface="Roboto"/>
          </a:endParaRPr>
        </a:p>
        <a:p>
          <a:pPr marL="0" marR="0" lvl="0" indent="0" algn="l" rtl="0">
            <a:lnSpc>
              <a:spcPct val="115000"/>
            </a:lnSpc>
            <a:spcBef>
              <a:spcPts val="0"/>
            </a:spcBef>
            <a:spcAft>
              <a:spcPts val="0"/>
            </a:spcAft>
            <a:buClr>
              <a:srgbClr val="000000"/>
            </a:buClr>
            <a:buSzPts val="1100"/>
            <a:buFont typeface="Arial"/>
            <a:buNone/>
          </a:pPr>
          <a:r>
            <a:rPr lang="id" sz="1200" b="1" i="0" u="none" strike="noStrike" cap="none">
              <a:solidFill>
                <a:srgbClr val="000000"/>
              </a:solidFill>
              <a:latin typeface="Roboto"/>
              <a:ea typeface="Roboto"/>
              <a:cs typeface="Roboto"/>
              <a:sym typeface="Roboto"/>
            </a:rPr>
            <a:t>Penyelesaian :</a:t>
          </a:r>
          <a:endParaRPr sz="1200" b="1" i="0" u="none" strike="noStrike" cap="none">
            <a:solidFill>
              <a:srgbClr val="000000"/>
            </a:solidFill>
            <a:latin typeface="Roboto"/>
            <a:ea typeface="Roboto"/>
            <a:cs typeface="Roboto"/>
            <a:sym typeface="Roboto"/>
          </a:endParaRPr>
        </a:p>
        <a:p>
          <a:pPr marL="0" marR="0" lvl="0" indent="0" algn="l" rtl="0">
            <a:lnSpc>
              <a:spcPct val="115000"/>
            </a:lnSpc>
            <a:spcBef>
              <a:spcPts val="0"/>
            </a:spcBef>
            <a:spcAft>
              <a:spcPts val="0"/>
            </a:spcAft>
            <a:buClr>
              <a:srgbClr val="000000"/>
            </a:buClr>
            <a:buSzPts val="1100"/>
            <a:buFont typeface="Arial"/>
            <a:buNone/>
          </a:pPr>
          <a:r>
            <a:rPr lang="id" sz="1200" b="0" i="0" u="none" strike="noStrike" cap="none">
              <a:solidFill>
                <a:srgbClr val="000000"/>
              </a:solidFill>
              <a:latin typeface="Roboto"/>
              <a:ea typeface="Roboto"/>
              <a:cs typeface="Roboto"/>
              <a:sym typeface="Roboto"/>
            </a:rPr>
            <a:t>Langkah 1 : Hitung PV Arus Kas Masa Depan</a:t>
          </a:r>
          <a:endParaRPr sz="1200" b="0" i="0" u="none" strike="noStrike" cap="none">
            <a:solidFill>
              <a:srgbClr val="000000"/>
            </a:solidFill>
            <a:latin typeface="Roboto"/>
            <a:ea typeface="Roboto"/>
            <a:cs typeface="Roboto"/>
            <a:sym typeface="Roboto"/>
          </a:endParaRPr>
        </a:p>
        <a:p>
          <a:pPr marL="0" marR="0" lvl="0" indent="0" algn="l" rtl="0">
            <a:lnSpc>
              <a:spcPct val="115000"/>
            </a:lnSpc>
            <a:spcBef>
              <a:spcPts val="0"/>
            </a:spcBef>
            <a:spcAft>
              <a:spcPts val="0"/>
            </a:spcAft>
            <a:buClr>
              <a:srgbClr val="000000"/>
            </a:buClr>
            <a:buSzPts val="1100"/>
            <a:buFont typeface="Arial"/>
            <a:buNone/>
          </a:pPr>
          <a:r>
            <a:rPr lang="id" sz="1200" b="0" i="0" u="none" strike="noStrike" cap="none">
              <a:solidFill>
                <a:srgbClr val="000000"/>
              </a:solidFill>
              <a:latin typeface="Roboto"/>
              <a:ea typeface="Roboto"/>
              <a:cs typeface="Roboto"/>
              <a:sym typeface="Roboto"/>
            </a:rPr>
            <a:t>Langkah 2 : Jumlahkan seluruh PV Arus Kas Masa Depan</a:t>
          </a:r>
          <a:endParaRPr sz="1200" b="0" i="0" u="none" strike="noStrike" cap="none">
            <a:solidFill>
              <a:srgbClr val="000000"/>
            </a:solidFill>
            <a:latin typeface="Roboto"/>
            <a:ea typeface="Roboto"/>
            <a:cs typeface="Roboto"/>
            <a:sym typeface="Roboto"/>
          </a:endParaRPr>
        </a:p>
        <a:p>
          <a:pPr marL="0" marR="0" lvl="0" indent="0" algn="l" rtl="0">
            <a:lnSpc>
              <a:spcPct val="115000"/>
            </a:lnSpc>
            <a:spcBef>
              <a:spcPts val="0"/>
            </a:spcBef>
            <a:spcAft>
              <a:spcPts val="0"/>
            </a:spcAft>
            <a:buClr>
              <a:srgbClr val="000000"/>
            </a:buClr>
            <a:buSzPts val="1100"/>
            <a:buFont typeface="Arial"/>
            <a:buNone/>
          </a:pPr>
          <a:r>
            <a:rPr lang="id" sz="1200" b="0" i="0" u="none" strike="noStrike" cap="none">
              <a:solidFill>
                <a:srgbClr val="000000"/>
              </a:solidFill>
              <a:latin typeface="Roboto"/>
              <a:ea typeface="Roboto"/>
              <a:cs typeface="Roboto"/>
              <a:sym typeface="Roboto"/>
            </a:rPr>
            <a:t>Langkah 3 : Menghitung NPV</a:t>
          </a:r>
          <a:endParaRPr sz="1200" b="0" i="0" u="none" strike="noStrike" cap="none">
            <a:solidFill>
              <a:srgbClr val="000000"/>
            </a:solidFill>
            <a:latin typeface="Roboto"/>
            <a:ea typeface="Roboto"/>
            <a:cs typeface="Roboto"/>
            <a:sym typeface="Roboto"/>
          </a:endParaRPr>
        </a:p>
        <a:p>
          <a:pPr marL="0" marR="0" lvl="0" indent="0" algn="l" rtl="0">
            <a:lnSpc>
              <a:spcPct val="115000"/>
            </a:lnSpc>
            <a:spcBef>
              <a:spcPts val="0"/>
            </a:spcBef>
            <a:spcAft>
              <a:spcPts val="0"/>
            </a:spcAft>
            <a:buClr>
              <a:srgbClr val="000000"/>
            </a:buClr>
            <a:buSzPts val="1100"/>
            <a:buFont typeface="Arial"/>
            <a:buNone/>
          </a:pPr>
          <a:r>
            <a:rPr lang="id" sz="1200" b="0" i="0" u="none" strike="noStrike" cap="none">
              <a:solidFill>
                <a:srgbClr val="000000"/>
              </a:solidFill>
              <a:latin typeface="Roboto"/>
              <a:ea typeface="Roboto"/>
              <a:cs typeface="Roboto"/>
              <a:sym typeface="Roboto"/>
            </a:rPr>
            <a:t>Langkah 4 : Kesimpulan</a:t>
          </a:r>
          <a:endParaRPr sz="1200" b="0" i="0" u="none" strike="noStrike" cap="none">
            <a:solidFill>
              <a:srgbClr val="000000"/>
            </a:solidFill>
            <a:latin typeface="Roboto"/>
            <a:ea typeface="Roboto"/>
            <a:cs typeface="Roboto"/>
            <a:sym typeface="Roboto"/>
          </a:endParaRPr>
        </a:p>
      </xdr:txBody>
    </xdr:sp>
    <xdr:clientData/>
  </xdr:twoCellAnchor>
  <xdr:twoCellAnchor>
    <xdr:from>
      <xdr:col>0</xdr:col>
      <xdr:colOff>57151</xdr:colOff>
      <xdr:row>0</xdr:row>
      <xdr:rowOff>38100</xdr:rowOff>
    </xdr:from>
    <xdr:to>
      <xdr:col>3</xdr:col>
      <xdr:colOff>1209676</xdr:colOff>
      <xdr:row>2</xdr:row>
      <xdr:rowOff>100876</xdr:rowOff>
    </xdr:to>
    <xdr:sp macro="" textlink="">
      <xdr:nvSpPr>
        <xdr:cNvPr id="5" name="Google Shape;85;g2735f17ea29_0_64">
          <a:extLst>
            <a:ext uri="{FF2B5EF4-FFF2-40B4-BE49-F238E27FC236}">
              <a16:creationId xmlns:a16="http://schemas.microsoft.com/office/drawing/2014/main" id="{3C570CE9-A2F3-C183-940A-2CF3A5069412}"/>
            </a:ext>
          </a:extLst>
        </xdr:cNvPr>
        <xdr:cNvSpPr txBox="1"/>
      </xdr:nvSpPr>
      <xdr:spPr>
        <a:xfrm>
          <a:off x="57151" y="38100"/>
          <a:ext cx="4133850" cy="443776"/>
        </a:xfrm>
        <a:prstGeom prst="rect">
          <a:avLst/>
        </a:prstGeom>
        <a:solidFill>
          <a:schemeClr val="bg2"/>
        </a:solidFill>
        <a:ln>
          <a:noFill/>
        </a:ln>
      </xdr:spPr>
      <xdr:txBody>
        <a:bodyPr spcFirstLastPara="1" wrap="square" lIns="0" tIns="12700" rIns="0" bIns="0" anchor="t" anchorCtr="0">
          <a:sp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lvl="0" indent="0" algn="l" rtl="0">
            <a:spcBef>
              <a:spcPts val="0"/>
            </a:spcBef>
            <a:spcAft>
              <a:spcPts val="0"/>
            </a:spcAft>
            <a:buClr>
              <a:schemeClr val="dk1"/>
            </a:buClr>
            <a:buSzPts val="1100"/>
            <a:buFont typeface="Arial"/>
            <a:buNone/>
          </a:pPr>
          <a:r>
            <a:rPr lang="id" sz="2800" b="1">
              <a:solidFill>
                <a:schemeClr val="tx1"/>
              </a:solidFill>
              <a:latin typeface="Roboto"/>
              <a:ea typeface="Roboto"/>
              <a:cs typeface="Roboto"/>
              <a:sym typeface="Roboto"/>
            </a:rPr>
            <a:t>Net Present Value (NPV)</a:t>
          </a:r>
          <a:endParaRPr sz="2800" b="1">
            <a:solidFill>
              <a:schemeClr val="tx1"/>
            </a:solidFill>
            <a:latin typeface="Roboto"/>
            <a:ea typeface="Roboto"/>
            <a:cs typeface="Roboto"/>
            <a:sym typeface="Roboto"/>
          </a:endParaRPr>
        </a:p>
      </xdr:txBody>
    </xdr:sp>
    <xdr:clientData/>
  </xdr:twoCellAnchor>
  <xdr:twoCellAnchor>
    <xdr:from>
      <xdr:col>0</xdr:col>
      <xdr:colOff>0</xdr:colOff>
      <xdr:row>36</xdr:row>
      <xdr:rowOff>0</xdr:rowOff>
    </xdr:from>
    <xdr:to>
      <xdr:col>7</xdr:col>
      <xdr:colOff>266700</xdr:colOff>
      <xdr:row>38</xdr:row>
      <xdr:rowOff>85725</xdr:rowOff>
    </xdr:to>
    <xdr:sp macro="" textlink="">
      <xdr:nvSpPr>
        <xdr:cNvPr id="7" name="Google Shape;110;p16">
          <a:extLst>
            <a:ext uri="{FF2B5EF4-FFF2-40B4-BE49-F238E27FC236}">
              <a16:creationId xmlns:a16="http://schemas.microsoft.com/office/drawing/2014/main" id="{24850D86-69DE-4E95-8461-4572EAC82211}"/>
            </a:ext>
          </a:extLst>
        </xdr:cNvPr>
        <xdr:cNvSpPr txBox="1"/>
      </xdr:nvSpPr>
      <xdr:spPr>
        <a:xfrm>
          <a:off x="0" y="6962775"/>
          <a:ext cx="7705725" cy="466725"/>
        </a:xfrm>
        <a:prstGeom prst="rect">
          <a:avLst/>
        </a:prstGeom>
        <a:solidFill>
          <a:schemeClr val="bg2"/>
        </a:solidFill>
        <a:ln>
          <a:noFill/>
        </a:ln>
      </xdr:spPr>
      <xdr:txBody>
        <a:bodyPr spcFirstLastPara="1" wrap="square" lIns="91425" tIns="91425" rIns="91425" bIns="91425" anchor="t" anchorCtr="0">
          <a:no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lvl="0" indent="0" algn="l" rtl="0">
            <a:lnSpc>
              <a:spcPct val="115000"/>
            </a:lnSpc>
            <a:spcBef>
              <a:spcPts val="0"/>
            </a:spcBef>
            <a:spcAft>
              <a:spcPts val="0"/>
            </a:spcAft>
            <a:buNone/>
          </a:pPr>
          <a:r>
            <a:rPr lang="en-US" sz="1200">
              <a:latin typeface="Roboto"/>
              <a:ea typeface="Roboto"/>
              <a:cs typeface="Roboto"/>
              <a:sym typeface="Roboto"/>
            </a:rPr>
            <a:t>NPV positif</a:t>
          </a:r>
          <a:r>
            <a:rPr lang="en-US" sz="1200" baseline="0">
              <a:latin typeface="Roboto"/>
              <a:ea typeface="Roboto"/>
              <a:cs typeface="Roboto"/>
              <a:sym typeface="Roboto"/>
            </a:rPr>
            <a:t> pada </a:t>
          </a:r>
          <a:r>
            <a:rPr lang="en-US" sz="1200">
              <a:latin typeface="Roboto"/>
              <a:ea typeface="Roboto"/>
              <a:cs typeface="Roboto"/>
              <a:sym typeface="Roboto"/>
            </a:rPr>
            <a:t>tingkat</a:t>
          </a:r>
          <a:r>
            <a:rPr lang="en-US" sz="1200" baseline="0">
              <a:latin typeface="Roboto"/>
              <a:ea typeface="Roboto"/>
              <a:cs typeface="Roboto"/>
              <a:sym typeface="Roboto"/>
            </a:rPr>
            <a:t> discount rate 10%  Jadi proyek ini layak diterima.</a:t>
          </a:r>
          <a:endParaRPr sz="1200">
            <a:latin typeface="Roboto"/>
            <a:ea typeface="Roboto"/>
            <a:cs typeface="Roboto"/>
            <a:sym typeface="Roboto"/>
          </a:endParaRPr>
        </a:p>
      </xdr:txBody>
    </xdr:sp>
    <xdr:clientData/>
  </xdr:twoCellAnchor>
</xdr:wsDr>
</file>

<file path=xl/drawings/drawing25.xml><?xml version="1.0" encoding="utf-8"?>
<xdr:wsDr xmlns:xdr="http://schemas.openxmlformats.org/drawingml/2006/spreadsheetDrawing" xmlns:a="http://schemas.openxmlformats.org/drawingml/2006/main">
  <xdr:twoCellAnchor>
    <xdr:from>
      <xdr:col>0</xdr:col>
      <xdr:colOff>0</xdr:colOff>
      <xdr:row>3</xdr:row>
      <xdr:rowOff>85725</xdr:rowOff>
    </xdr:from>
    <xdr:to>
      <xdr:col>11</xdr:col>
      <xdr:colOff>4800</xdr:colOff>
      <xdr:row>21</xdr:row>
      <xdr:rowOff>95250</xdr:rowOff>
    </xdr:to>
    <xdr:sp macro="" textlink="">
      <xdr:nvSpPr>
        <xdr:cNvPr id="4" name="Google Shape;111;g2e4f83b35c5_0_6">
          <a:extLst>
            <a:ext uri="{FF2B5EF4-FFF2-40B4-BE49-F238E27FC236}">
              <a16:creationId xmlns:a16="http://schemas.microsoft.com/office/drawing/2014/main" id="{F40B49BA-B13C-261E-C60C-9775D46CDBAD}"/>
            </a:ext>
          </a:extLst>
        </xdr:cNvPr>
        <xdr:cNvSpPr txBox="1"/>
      </xdr:nvSpPr>
      <xdr:spPr>
        <a:xfrm>
          <a:off x="0" y="657225"/>
          <a:ext cx="6958050" cy="3438525"/>
        </a:xfrm>
        <a:prstGeom prst="rect">
          <a:avLst/>
        </a:prstGeom>
        <a:solidFill>
          <a:schemeClr val="bg2"/>
        </a:solidFill>
        <a:ln>
          <a:noFill/>
        </a:ln>
      </xdr:spPr>
      <xdr:txBody>
        <a:bodyPr spcFirstLastPara="1" wrap="square" lIns="91425" tIns="91425" rIns="91425" bIns="91425" anchor="t" anchorCtr="0">
          <a:no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marR="0" lvl="0" indent="0" algn="l" rtl="0">
            <a:lnSpc>
              <a:spcPct val="115000"/>
            </a:lnSpc>
            <a:spcBef>
              <a:spcPts val="0"/>
            </a:spcBef>
            <a:spcAft>
              <a:spcPts val="0"/>
            </a:spcAft>
            <a:buClr>
              <a:srgbClr val="000000"/>
            </a:buClr>
            <a:buSzPts val="1100"/>
            <a:buFont typeface="Arial"/>
            <a:buNone/>
          </a:pPr>
          <a:r>
            <a:rPr lang="id" sz="1200">
              <a:latin typeface="Roboto"/>
              <a:ea typeface="Roboto"/>
              <a:cs typeface="Roboto"/>
              <a:sym typeface="Roboto"/>
            </a:rPr>
            <a:t>Flamingo Company menginvestasikan $150,000 dalam sebuah proyek baru. Proyek ini diharapkan menghasilkan arus kas bersih di masa depan sebagai berikut:</a:t>
          </a:r>
          <a:endParaRPr sz="1200">
            <a:latin typeface="Roboto"/>
            <a:ea typeface="Roboto"/>
            <a:cs typeface="Roboto"/>
            <a:sym typeface="Roboto"/>
          </a:endParaRPr>
        </a:p>
        <a:p>
          <a:pPr marL="457200" lvl="0" indent="-304800" algn="l" rtl="0">
            <a:lnSpc>
              <a:spcPct val="115000"/>
            </a:lnSpc>
            <a:spcBef>
              <a:spcPts val="0"/>
            </a:spcBef>
            <a:spcAft>
              <a:spcPts val="0"/>
            </a:spcAft>
            <a:buClr>
              <a:schemeClr val="dk1"/>
            </a:buClr>
            <a:buSzPts val="1200"/>
            <a:buChar char="●"/>
          </a:pPr>
          <a:r>
            <a:rPr lang="id" sz="1200">
              <a:latin typeface="Roboto"/>
              <a:ea typeface="Roboto"/>
              <a:cs typeface="Roboto"/>
              <a:sym typeface="Roboto"/>
            </a:rPr>
            <a:t>Tahun 1: $40,000</a:t>
          </a:r>
          <a:endParaRPr sz="1200">
            <a:latin typeface="Roboto"/>
            <a:ea typeface="Roboto"/>
            <a:cs typeface="Roboto"/>
            <a:sym typeface="Roboto"/>
          </a:endParaRPr>
        </a:p>
        <a:p>
          <a:pPr marL="457200" lvl="0" indent="-304800" algn="l" rtl="0">
            <a:lnSpc>
              <a:spcPct val="115000"/>
            </a:lnSpc>
            <a:spcBef>
              <a:spcPts val="0"/>
            </a:spcBef>
            <a:spcAft>
              <a:spcPts val="0"/>
            </a:spcAft>
            <a:buClr>
              <a:schemeClr val="dk1"/>
            </a:buClr>
            <a:buSzPts val="1200"/>
            <a:buChar char="●"/>
          </a:pPr>
          <a:r>
            <a:rPr lang="id" sz="1200">
              <a:latin typeface="Roboto"/>
              <a:ea typeface="Roboto"/>
              <a:cs typeface="Roboto"/>
              <a:sym typeface="Roboto"/>
            </a:rPr>
            <a:t>Tahun 2: $50,000</a:t>
          </a:r>
          <a:endParaRPr sz="1200">
            <a:latin typeface="Roboto"/>
            <a:ea typeface="Roboto"/>
            <a:cs typeface="Roboto"/>
            <a:sym typeface="Roboto"/>
          </a:endParaRPr>
        </a:p>
        <a:p>
          <a:pPr marL="457200" lvl="0" indent="-304800" algn="l" rtl="0">
            <a:lnSpc>
              <a:spcPct val="115000"/>
            </a:lnSpc>
            <a:spcBef>
              <a:spcPts val="0"/>
            </a:spcBef>
            <a:spcAft>
              <a:spcPts val="0"/>
            </a:spcAft>
            <a:buClr>
              <a:schemeClr val="dk1"/>
            </a:buClr>
            <a:buSzPts val="1200"/>
            <a:buChar char="●"/>
          </a:pPr>
          <a:r>
            <a:rPr lang="id" sz="1200">
              <a:latin typeface="Roboto"/>
              <a:ea typeface="Roboto"/>
              <a:cs typeface="Roboto"/>
              <a:sym typeface="Roboto"/>
            </a:rPr>
            <a:t>Tahun 3: $60,000</a:t>
          </a:r>
          <a:endParaRPr sz="1200">
            <a:latin typeface="Roboto"/>
            <a:ea typeface="Roboto"/>
            <a:cs typeface="Roboto"/>
            <a:sym typeface="Roboto"/>
          </a:endParaRPr>
        </a:p>
        <a:p>
          <a:pPr marL="457200" lvl="0" indent="-304800" algn="l" rtl="0">
            <a:lnSpc>
              <a:spcPct val="115000"/>
            </a:lnSpc>
            <a:spcBef>
              <a:spcPts val="0"/>
            </a:spcBef>
            <a:spcAft>
              <a:spcPts val="0"/>
            </a:spcAft>
            <a:buClr>
              <a:schemeClr val="dk1"/>
            </a:buClr>
            <a:buSzPts val="1200"/>
            <a:buChar char="●"/>
          </a:pPr>
          <a:r>
            <a:rPr lang="id" sz="1200">
              <a:latin typeface="Roboto"/>
              <a:ea typeface="Roboto"/>
              <a:cs typeface="Roboto"/>
              <a:sym typeface="Roboto"/>
            </a:rPr>
            <a:t>Tahun 4: $70,000</a:t>
          </a:r>
          <a:endParaRPr sz="1200">
            <a:latin typeface="Roboto"/>
            <a:ea typeface="Roboto"/>
            <a:cs typeface="Roboto"/>
            <a:sym typeface="Roboto"/>
          </a:endParaRPr>
        </a:p>
        <a:p>
          <a:pPr marL="0" lvl="0" indent="0" algn="l" rtl="0">
            <a:lnSpc>
              <a:spcPct val="115000"/>
            </a:lnSpc>
            <a:spcBef>
              <a:spcPts val="0"/>
            </a:spcBef>
            <a:spcAft>
              <a:spcPts val="0"/>
            </a:spcAft>
            <a:buNone/>
          </a:pPr>
          <a:endParaRPr sz="1200">
            <a:latin typeface="Roboto"/>
            <a:ea typeface="Roboto"/>
            <a:cs typeface="Roboto"/>
            <a:sym typeface="Roboto"/>
          </a:endParaRPr>
        </a:p>
        <a:p>
          <a:pPr marL="0" marR="0" lvl="0" indent="0" algn="l" rtl="0">
            <a:lnSpc>
              <a:spcPct val="115000"/>
            </a:lnSpc>
            <a:spcBef>
              <a:spcPts val="0"/>
            </a:spcBef>
            <a:spcAft>
              <a:spcPts val="0"/>
            </a:spcAft>
            <a:buClr>
              <a:srgbClr val="000000"/>
            </a:buClr>
            <a:buSzPts val="1100"/>
            <a:buFont typeface="Arial"/>
            <a:buNone/>
          </a:pPr>
          <a:r>
            <a:rPr lang="id" sz="1200" b="0" i="0" u="none" strike="noStrike" cap="none">
              <a:solidFill>
                <a:srgbClr val="000000"/>
              </a:solidFill>
              <a:latin typeface="Roboto"/>
              <a:ea typeface="Roboto"/>
              <a:cs typeface="Roboto"/>
              <a:sym typeface="Roboto"/>
            </a:rPr>
            <a:t>Jika opportunity cost/discount rate sebesar </a:t>
          </a:r>
          <a:r>
            <a:rPr lang="id" sz="1200">
              <a:latin typeface="Roboto"/>
              <a:ea typeface="Roboto"/>
              <a:cs typeface="Roboto"/>
              <a:sym typeface="Roboto"/>
            </a:rPr>
            <a:t>10</a:t>
          </a:r>
          <a:r>
            <a:rPr lang="id" sz="1200" b="0" i="0" u="none" strike="noStrike" cap="none">
              <a:solidFill>
                <a:srgbClr val="000000"/>
              </a:solidFill>
              <a:latin typeface="Roboto"/>
              <a:ea typeface="Roboto"/>
              <a:cs typeface="Roboto"/>
              <a:sym typeface="Roboto"/>
            </a:rPr>
            <a:t>% per tahun. </a:t>
          </a:r>
          <a:r>
            <a:rPr lang="id" sz="1200">
              <a:latin typeface="Roboto"/>
              <a:ea typeface="Roboto"/>
              <a:cs typeface="Roboto"/>
              <a:sym typeface="Roboto"/>
            </a:rPr>
            <a:t>Hitunglah IRR dan Apakah project tersebut diterima atau ditolak</a:t>
          </a:r>
          <a:r>
            <a:rPr lang="en-US" sz="1200">
              <a:latin typeface="Roboto"/>
              <a:ea typeface="Roboto"/>
              <a:cs typeface="Roboto"/>
              <a:sym typeface="Roboto"/>
            </a:rPr>
            <a:t>.</a:t>
          </a:r>
          <a:endParaRPr lang="en-US" sz="1200" b="1" i="0" u="none" strike="noStrike" cap="none">
            <a:solidFill>
              <a:srgbClr val="000000"/>
            </a:solidFill>
            <a:latin typeface="Roboto"/>
            <a:ea typeface="Roboto"/>
            <a:cs typeface="Roboto"/>
            <a:sym typeface="Roboto"/>
          </a:endParaRPr>
        </a:p>
        <a:p>
          <a:pPr marL="0" lvl="0" indent="0" algn="l" rtl="0">
            <a:lnSpc>
              <a:spcPct val="115000"/>
            </a:lnSpc>
            <a:spcBef>
              <a:spcPts val="0"/>
            </a:spcBef>
            <a:spcAft>
              <a:spcPts val="0"/>
            </a:spcAft>
            <a:buClr>
              <a:schemeClr val="dk1"/>
            </a:buClr>
            <a:buSzPts val="1100"/>
            <a:buFont typeface="Arial"/>
            <a:buNone/>
          </a:pPr>
          <a:endParaRPr lang="en-ID" sz="1200" b="1" i="0" u="none" strike="noStrike" cap="none">
            <a:solidFill>
              <a:srgbClr val="000000"/>
            </a:solidFill>
            <a:latin typeface="Roboto"/>
            <a:ea typeface="Roboto"/>
            <a:cs typeface="Roboto"/>
            <a:sym typeface="Roboto"/>
          </a:endParaRPr>
        </a:p>
        <a:p>
          <a:pPr marL="0" lvl="0" indent="0" algn="l" rtl="0">
            <a:lnSpc>
              <a:spcPct val="115000"/>
            </a:lnSpc>
            <a:spcBef>
              <a:spcPts val="0"/>
            </a:spcBef>
            <a:spcAft>
              <a:spcPts val="0"/>
            </a:spcAft>
            <a:buClr>
              <a:schemeClr val="dk1"/>
            </a:buClr>
            <a:buSzPts val="1100"/>
            <a:buFont typeface="Arial"/>
            <a:buNone/>
          </a:pPr>
          <a:r>
            <a:rPr lang="id" sz="1200">
              <a:latin typeface="Roboto"/>
              <a:ea typeface="Roboto"/>
              <a:cs typeface="Roboto"/>
              <a:sym typeface="Roboto"/>
            </a:rPr>
            <a:t>rate 10%</a:t>
          </a:r>
          <a:endParaRPr sz="1200">
            <a:latin typeface="Roboto"/>
            <a:ea typeface="Roboto"/>
            <a:cs typeface="Roboto"/>
            <a:sym typeface="Roboto"/>
          </a:endParaRPr>
        </a:p>
        <a:p>
          <a:pPr marL="0" lvl="0" indent="0" algn="l" rtl="0">
            <a:lnSpc>
              <a:spcPct val="115000"/>
            </a:lnSpc>
            <a:spcBef>
              <a:spcPts val="0"/>
            </a:spcBef>
            <a:spcAft>
              <a:spcPts val="0"/>
            </a:spcAft>
            <a:buClr>
              <a:schemeClr val="dk1"/>
            </a:buClr>
            <a:buSzPts val="1100"/>
            <a:buFont typeface="Arial"/>
            <a:buNone/>
          </a:pPr>
          <a:r>
            <a:rPr lang="id" sz="1200">
              <a:latin typeface="Roboto"/>
              <a:ea typeface="Roboto"/>
              <a:cs typeface="Roboto"/>
              <a:sym typeface="Roboto"/>
            </a:rPr>
            <a:t>Langkah 2 : Jika NPV &lt; 0, maka project tidak bisa diterima dengan discount rate 10%</a:t>
          </a:r>
          <a:endParaRPr sz="1200">
            <a:latin typeface="Roboto"/>
            <a:ea typeface="Roboto"/>
            <a:cs typeface="Roboto"/>
            <a:sym typeface="Roboto"/>
          </a:endParaRPr>
        </a:p>
        <a:p>
          <a:pPr marL="0" lvl="0" indent="0" algn="l" rtl="0">
            <a:lnSpc>
              <a:spcPct val="115000"/>
            </a:lnSpc>
            <a:spcBef>
              <a:spcPts val="0"/>
            </a:spcBef>
            <a:spcAft>
              <a:spcPts val="0"/>
            </a:spcAft>
            <a:buClr>
              <a:schemeClr val="dk1"/>
            </a:buClr>
            <a:buSzPts val="1100"/>
            <a:buFont typeface="Arial"/>
            <a:buNone/>
          </a:pPr>
          <a:r>
            <a:rPr lang="id" sz="1200">
              <a:latin typeface="Roboto"/>
              <a:ea typeface="Roboto"/>
              <a:cs typeface="Roboto"/>
              <a:sym typeface="Roboto"/>
            </a:rPr>
            <a:t>Langkah 3 : Jika NPV &gt; 0, maka project bisa diterima dengan discount rate 10%. Hitung IRR dengan cara menaikkan/menurunkan discount rate sampai hasil NPV mendekati 0</a:t>
          </a:r>
          <a:endParaRPr sz="1200">
            <a:latin typeface="Roboto"/>
            <a:ea typeface="Roboto"/>
            <a:cs typeface="Roboto"/>
            <a:sym typeface="Roboto"/>
          </a:endParaRPr>
        </a:p>
        <a:p>
          <a:pPr marL="0" lvl="0" indent="0" algn="l" rtl="0">
            <a:lnSpc>
              <a:spcPct val="115000"/>
            </a:lnSpc>
            <a:spcBef>
              <a:spcPts val="0"/>
            </a:spcBef>
            <a:spcAft>
              <a:spcPts val="0"/>
            </a:spcAft>
            <a:buClr>
              <a:schemeClr val="dk1"/>
            </a:buClr>
            <a:buSzPts val="1100"/>
            <a:buFont typeface="Arial"/>
            <a:buNone/>
          </a:pPr>
          <a:r>
            <a:rPr lang="id" sz="1200">
              <a:latin typeface="Roboto"/>
              <a:ea typeface="Roboto"/>
              <a:cs typeface="Roboto"/>
              <a:sym typeface="Roboto"/>
            </a:rPr>
            <a:t>Langkah 4 : Discount Rate dengan hasil NPV mendekati 0 adalah nilai IRR yang sesungguhnya</a:t>
          </a:r>
          <a:endParaRPr sz="1200">
            <a:latin typeface="Roboto"/>
            <a:ea typeface="Roboto"/>
            <a:cs typeface="Roboto"/>
            <a:sym typeface="Roboto"/>
          </a:endParaRPr>
        </a:p>
      </xdr:txBody>
    </xdr:sp>
    <xdr:clientData/>
  </xdr:twoCellAnchor>
  <xdr:twoCellAnchor>
    <xdr:from>
      <xdr:col>0</xdr:col>
      <xdr:colOff>161925</xdr:colOff>
      <xdr:row>0</xdr:row>
      <xdr:rowOff>28575</xdr:rowOff>
    </xdr:from>
    <xdr:to>
      <xdr:col>6</xdr:col>
      <xdr:colOff>238125</xdr:colOff>
      <xdr:row>2</xdr:row>
      <xdr:rowOff>91351</xdr:rowOff>
    </xdr:to>
    <xdr:sp macro="" textlink="">
      <xdr:nvSpPr>
        <xdr:cNvPr id="6" name="Google Shape;110;g2e4f83b35c5_0_6">
          <a:extLst>
            <a:ext uri="{FF2B5EF4-FFF2-40B4-BE49-F238E27FC236}">
              <a16:creationId xmlns:a16="http://schemas.microsoft.com/office/drawing/2014/main" id="{B86631A0-EDC4-4B2B-8BFF-FF8B865319D1}"/>
            </a:ext>
          </a:extLst>
        </xdr:cNvPr>
        <xdr:cNvSpPr txBox="1"/>
      </xdr:nvSpPr>
      <xdr:spPr>
        <a:xfrm>
          <a:off x="161925" y="28575"/>
          <a:ext cx="4676775" cy="443776"/>
        </a:xfrm>
        <a:prstGeom prst="rect">
          <a:avLst/>
        </a:prstGeom>
        <a:solidFill>
          <a:schemeClr val="bg2"/>
        </a:solidFill>
        <a:ln>
          <a:noFill/>
        </a:ln>
      </xdr:spPr>
      <xdr:txBody>
        <a:bodyPr spcFirstLastPara="1" wrap="square" lIns="0" tIns="12700" rIns="0" bIns="0" anchor="t" anchorCtr="0">
          <a:sp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lvl="0" indent="0" algn="l" rtl="0">
            <a:spcBef>
              <a:spcPts val="0"/>
            </a:spcBef>
            <a:spcAft>
              <a:spcPts val="0"/>
            </a:spcAft>
            <a:buClr>
              <a:schemeClr val="dk1"/>
            </a:buClr>
            <a:buSzPts val="1100"/>
            <a:buFont typeface="Arial"/>
            <a:buNone/>
          </a:pPr>
          <a:r>
            <a:rPr lang="id" sz="2800" b="1">
              <a:solidFill>
                <a:schemeClr val="tx1"/>
              </a:solidFill>
              <a:latin typeface="Roboto"/>
              <a:ea typeface="Roboto"/>
              <a:cs typeface="Roboto"/>
              <a:sym typeface="Roboto"/>
            </a:rPr>
            <a:t>Internal Rate of Return (IRR)</a:t>
          </a:r>
          <a:endParaRPr sz="2800" b="1">
            <a:solidFill>
              <a:schemeClr val="tx1"/>
            </a:solidFill>
            <a:latin typeface="Roboto"/>
            <a:ea typeface="Roboto"/>
            <a:cs typeface="Roboto"/>
            <a:sym typeface="Roboto"/>
          </a:endParaRPr>
        </a:p>
      </xdr:txBody>
    </xdr:sp>
    <xdr:clientData/>
  </xdr:twoCellAnchor>
  <xdr:twoCellAnchor>
    <xdr:from>
      <xdr:col>0</xdr:col>
      <xdr:colOff>0</xdr:colOff>
      <xdr:row>37</xdr:row>
      <xdr:rowOff>104775</xdr:rowOff>
    </xdr:from>
    <xdr:to>
      <xdr:col>11</xdr:col>
      <xdr:colOff>57150</xdr:colOff>
      <xdr:row>42</xdr:row>
      <xdr:rowOff>47625</xdr:rowOff>
    </xdr:to>
    <xdr:sp macro="" textlink="">
      <xdr:nvSpPr>
        <xdr:cNvPr id="8" name="Google Shape;110;p16">
          <a:extLst>
            <a:ext uri="{FF2B5EF4-FFF2-40B4-BE49-F238E27FC236}">
              <a16:creationId xmlns:a16="http://schemas.microsoft.com/office/drawing/2014/main" id="{5A74EC83-E557-4A55-B690-2389264903DF}"/>
            </a:ext>
          </a:extLst>
        </xdr:cNvPr>
        <xdr:cNvSpPr txBox="1"/>
      </xdr:nvSpPr>
      <xdr:spPr>
        <a:xfrm>
          <a:off x="0" y="7286625"/>
          <a:ext cx="7705725" cy="895350"/>
        </a:xfrm>
        <a:prstGeom prst="rect">
          <a:avLst/>
        </a:prstGeom>
        <a:solidFill>
          <a:schemeClr val="bg2"/>
        </a:solidFill>
        <a:ln>
          <a:noFill/>
        </a:ln>
      </xdr:spPr>
      <xdr:txBody>
        <a:bodyPr spcFirstLastPara="1" wrap="square" lIns="91425" tIns="91425" rIns="91425" bIns="91425" anchor="t" anchorCtr="0">
          <a:no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lvl="0" indent="0" algn="l" rtl="0">
            <a:lnSpc>
              <a:spcPct val="115000"/>
            </a:lnSpc>
            <a:spcBef>
              <a:spcPts val="0"/>
            </a:spcBef>
            <a:spcAft>
              <a:spcPts val="0"/>
            </a:spcAft>
            <a:buNone/>
          </a:pPr>
          <a:r>
            <a:rPr lang="en-US" sz="1200">
              <a:latin typeface="Roboto"/>
              <a:ea typeface="Roboto"/>
              <a:cs typeface="Roboto"/>
              <a:sym typeface="Roboto"/>
            </a:rPr>
            <a:t>NPV positif</a:t>
          </a:r>
          <a:r>
            <a:rPr lang="en-US" sz="1200" baseline="0">
              <a:latin typeface="Roboto"/>
              <a:ea typeface="Roboto"/>
              <a:cs typeface="Roboto"/>
              <a:sym typeface="Roboto"/>
            </a:rPr>
            <a:t> pada </a:t>
          </a:r>
          <a:r>
            <a:rPr lang="en-US" sz="1200">
              <a:latin typeface="Roboto"/>
              <a:ea typeface="Roboto"/>
              <a:cs typeface="Roboto"/>
              <a:sym typeface="Roboto"/>
            </a:rPr>
            <a:t>tingkat</a:t>
          </a:r>
          <a:r>
            <a:rPr lang="en-US" sz="1200" baseline="0">
              <a:latin typeface="Roboto"/>
              <a:ea typeface="Roboto"/>
              <a:cs typeface="Roboto"/>
              <a:sym typeface="Roboto"/>
            </a:rPr>
            <a:t> suku bunga 15% dan proyek menghasilkan pengembalian sekitar 15,62% yang lebih tinggi dari discount rate 10%. Jadi proyek tersebut layak diterima.</a:t>
          </a:r>
          <a:endParaRPr sz="1200">
            <a:latin typeface="Roboto"/>
            <a:ea typeface="Roboto"/>
            <a:cs typeface="Roboto"/>
            <a:sym typeface="Roboto"/>
          </a:endParaRPr>
        </a:p>
      </xdr:txBody>
    </xdr:sp>
    <xdr:clientData/>
  </xdr:twoCellAnchor>
</xdr:wsDr>
</file>

<file path=xl/drawings/drawing26.xml><?xml version="1.0" encoding="utf-8"?>
<xdr:wsDr xmlns:xdr="http://schemas.openxmlformats.org/drawingml/2006/spreadsheetDrawing" xmlns:a="http://schemas.openxmlformats.org/drawingml/2006/main">
  <xdr:twoCellAnchor>
    <xdr:from>
      <xdr:col>0</xdr:col>
      <xdr:colOff>0</xdr:colOff>
      <xdr:row>4</xdr:row>
      <xdr:rowOff>47624</xdr:rowOff>
    </xdr:from>
    <xdr:to>
      <xdr:col>9</xdr:col>
      <xdr:colOff>388500</xdr:colOff>
      <xdr:row>14</xdr:row>
      <xdr:rowOff>114299</xdr:rowOff>
    </xdr:to>
    <xdr:sp macro="" textlink="">
      <xdr:nvSpPr>
        <xdr:cNvPr id="3" name="Google Shape;160;g2e4f83b35c5_0_61">
          <a:extLst>
            <a:ext uri="{FF2B5EF4-FFF2-40B4-BE49-F238E27FC236}">
              <a16:creationId xmlns:a16="http://schemas.microsoft.com/office/drawing/2014/main" id="{C9260A0A-F548-E000-BD55-7AE24FEEAD2E}"/>
            </a:ext>
          </a:extLst>
        </xdr:cNvPr>
        <xdr:cNvSpPr txBox="1"/>
      </xdr:nvSpPr>
      <xdr:spPr>
        <a:xfrm>
          <a:off x="0" y="809624"/>
          <a:ext cx="5970150" cy="1971675"/>
        </a:xfrm>
        <a:prstGeom prst="rect">
          <a:avLst/>
        </a:prstGeom>
        <a:solidFill>
          <a:schemeClr val="bg2"/>
        </a:solidFill>
        <a:ln>
          <a:noFill/>
        </a:ln>
      </xdr:spPr>
      <xdr:txBody>
        <a:bodyPr spcFirstLastPara="1" wrap="square" lIns="91425" tIns="91425" rIns="91425" bIns="91425" anchor="t" anchorCtr="0">
          <a:no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marR="0" lvl="0" indent="0" algn="l" rtl="0">
            <a:lnSpc>
              <a:spcPct val="115000"/>
            </a:lnSpc>
            <a:spcBef>
              <a:spcPts val="0"/>
            </a:spcBef>
            <a:spcAft>
              <a:spcPts val="0"/>
            </a:spcAft>
            <a:buClr>
              <a:srgbClr val="000000"/>
            </a:buClr>
            <a:buSzPts val="1100"/>
            <a:buFont typeface="Arial"/>
            <a:buNone/>
          </a:pPr>
          <a:r>
            <a:rPr lang="id" sz="1100">
              <a:latin typeface="Roboto"/>
              <a:ea typeface="Roboto"/>
              <a:cs typeface="Roboto"/>
              <a:sym typeface="Roboto"/>
            </a:rPr>
            <a:t>Flamingo Company menginvestasikan $150,000 dalam sebuah proyek baru. Proyek ini diharapkan menghasilkan arus kas bersih di masa depan sebagai berikut:</a:t>
          </a:r>
          <a:endParaRPr sz="1100">
            <a:latin typeface="Roboto"/>
            <a:ea typeface="Roboto"/>
            <a:cs typeface="Roboto"/>
            <a:sym typeface="Roboto"/>
          </a:endParaRPr>
        </a:p>
        <a:p>
          <a:pPr marL="0" marR="0" lvl="0" indent="0" algn="l" rtl="0">
            <a:lnSpc>
              <a:spcPct val="115000"/>
            </a:lnSpc>
            <a:spcBef>
              <a:spcPts val="0"/>
            </a:spcBef>
            <a:spcAft>
              <a:spcPts val="0"/>
            </a:spcAft>
            <a:buClr>
              <a:srgbClr val="000000"/>
            </a:buClr>
            <a:buSzPts val="1100"/>
            <a:buFont typeface="Arial"/>
            <a:buNone/>
          </a:pPr>
          <a:endParaRPr sz="1100">
            <a:latin typeface="Roboto"/>
            <a:ea typeface="Roboto"/>
            <a:cs typeface="Roboto"/>
            <a:sym typeface="Roboto"/>
          </a:endParaRPr>
        </a:p>
        <a:p>
          <a:pPr marL="457200" lvl="0" indent="-317500" algn="l" rtl="0">
            <a:lnSpc>
              <a:spcPct val="115000"/>
            </a:lnSpc>
            <a:spcBef>
              <a:spcPts val="0"/>
            </a:spcBef>
            <a:spcAft>
              <a:spcPts val="0"/>
            </a:spcAft>
            <a:buClr>
              <a:schemeClr val="dk1"/>
            </a:buClr>
            <a:buSzPts val="1400"/>
            <a:buChar char="●"/>
          </a:pPr>
          <a:r>
            <a:rPr lang="id" sz="1100">
              <a:latin typeface="Roboto"/>
              <a:ea typeface="Roboto"/>
              <a:cs typeface="Roboto"/>
              <a:sym typeface="Roboto"/>
            </a:rPr>
            <a:t>Tahun 1: $40,000</a:t>
          </a:r>
          <a:endParaRPr sz="1100">
            <a:latin typeface="Roboto"/>
            <a:ea typeface="Roboto"/>
            <a:cs typeface="Roboto"/>
            <a:sym typeface="Roboto"/>
          </a:endParaRPr>
        </a:p>
        <a:p>
          <a:pPr marL="457200" lvl="0" indent="-317500" algn="l" rtl="0">
            <a:lnSpc>
              <a:spcPct val="115000"/>
            </a:lnSpc>
            <a:spcBef>
              <a:spcPts val="0"/>
            </a:spcBef>
            <a:spcAft>
              <a:spcPts val="0"/>
            </a:spcAft>
            <a:buClr>
              <a:schemeClr val="dk1"/>
            </a:buClr>
            <a:buSzPts val="1400"/>
            <a:buChar char="●"/>
          </a:pPr>
          <a:r>
            <a:rPr lang="id" sz="1100">
              <a:latin typeface="Roboto"/>
              <a:ea typeface="Roboto"/>
              <a:cs typeface="Roboto"/>
              <a:sym typeface="Roboto"/>
            </a:rPr>
            <a:t>Tahun 2: $50,000</a:t>
          </a:r>
          <a:endParaRPr sz="1100">
            <a:latin typeface="Roboto"/>
            <a:ea typeface="Roboto"/>
            <a:cs typeface="Roboto"/>
            <a:sym typeface="Roboto"/>
          </a:endParaRPr>
        </a:p>
        <a:p>
          <a:pPr marL="457200" lvl="0" indent="-317500" algn="l" rtl="0">
            <a:lnSpc>
              <a:spcPct val="115000"/>
            </a:lnSpc>
            <a:spcBef>
              <a:spcPts val="0"/>
            </a:spcBef>
            <a:spcAft>
              <a:spcPts val="0"/>
            </a:spcAft>
            <a:buClr>
              <a:schemeClr val="dk1"/>
            </a:buClr>
            <a:buSzPts val="1400"/>
            <a:buChar char="●"/>
          </a:pPr>
          <a:r>
            <a:rPr lang="id" sz="1100">
              <a:latin typeface="Roboto"/>
              <a:ea typeface="Roboto"/>
              <a:cs typeface="Roboto"/>
              <a:sym typeface="Roboto"/>
            </a:rPr>
            <a:t>Tahun 3: $60,000</a:t>
          </a:r>
          <a:endParaRPr sz="1100">
            <a:latin typeface="Roboto"/>
            <a:ea typeface="Roboto"/>
            <a:cs typeface="Roboto"/>
            <a:sym typeface="Roboto"/>
          </a:endParaRPr>
        </a:p>
        <a:p>
          <a:pPr marL="457200" lvl="0" indent="-317500" algn="l" rtl="0">
            <a:lnSpc>
              <a:spcPct val="115000"/>
            </a:lnSpc>
            <a:spcBef>
              <a:spcPts val="0"/>
            </a:spcBef>
            <a:spcAft>
              <a:spcPts val="0"/>
            </a:spcAft>
            <a:buClr>
              <a:schemeClr val="dk1"/>
            </a:buClr>
            <a:buSzPts val="1400"/>
            <a:buChar char="●"/>
          </a:pPr>
          <a:r>
            <a:rPr lang="id" sz="1100">
              <a:latin typeface="Roboto"/>
              <a:ea typeface="Roboto"/>
              <a:cs typeface="Roboto"/>
              <a:sym typeface="Roboto"/>
            </a:rPr>
            <a:t>Tahun 4: $70,000</a:t>
          </a:r>
          <a:endParaRPr sz="1100">
            <a:latin typeface="Roboto"/>
            <a:ea typeface="Roboto"/>
            <a:cs typeface="Roboto"/>
            <a:sym typeface="Roboto"/>
          </a:endParaRPr>
        </a:p>
        <a:p>
          <a:pPr marL="0" lvl="0" indent="0" algn="l" rtl="0">
            <a:lnSpc>
              <a:spcPct val="115000"/>
            </a:lnSpc>
            <a:spcBef>
              <a:spcPts val="0"/>
            </a:spcBef>
            <a:spcAft>
              <a:spcPts val="0"/>
            </a:spcAft>
            <a:buNone/>
          </a:pPr>
          <a:endParaRPr sz="1100">
            <a:latin typeface="Roboto"/>
            <a:ea typeface="Roboto"/>
            <a:cs typeface="Roboto"/>
            <a:sym typeface="Roboto"/>
          </a:endParaRPr>
        </a:p>
        <a:p>
          <a:pPr marL="0" lvl="0" indent="0" algn="l" rtl="0">
            <a:lnSpc>
              <a:spcPct val="115000"/>
            </a:lnSpc>
            <a:spcBef>
              <a:spcPts val="0"/>
            </a:spcBef>
            <a:spcAft>
              <a:spcPts val="0"/>
            </a:spcAft>
            <a:buClr>
              <a:schemeClr val="dk1"/>
            </a:buClr>
            <a:buSzPts val="1100"/>
            <a:buFont typeface="Arial"/>
            <a:buNone/>
          </a:pPr>
          <a:r>
            <a:rPr lang="id" sz="1100">
              <a:latin typeface="Roboto"/>
              <a:ea typeface="Roboto"/>
              <a:cs typeface="Roboto"/>
              <a:sym typeface="Roboto"/>
            </a:rPr>
            <a:t>Hitunglah Payback Period (Non Discounted Cash Flow)</a:t>
          </a:r>
          <a:endParaRPr sz="1100">
            <a:latin typeface="Roboto"/>
            <a:ea typeface="Roboto"/>
            <a:cs typeface="Roboto"/>
            <a:sym typeface="Roboto"/>
          </a:endParaRPr>
        </a:p>
      </xdr:txBody>
    </xdr:sp>
    <xdr:clientData/>
  </xdr:twoCellAnchor>
  <xdr:twoCellAnchor>
    <xdr:from>
      <xdr:col>0</xdr:col>
      <xdr:colOff>0</xdr:colOff>
      <xdr:row>21</xdr:row>
      <xdr:rowOff>19050</xdr:rowOff>
    </xdr:from>
    <xdr:to>
      <xdr:col>4</xdr:col>
      <xdr:colOff>495300</xdr:colOff>
      <xdr:row>24</xdr:row>
      <xdr:rowOff>104775</xdr:rowOff>
    </xdr:to>
    <xdr:sp macro="" textlink="">
      <xdr:nvSpPr>
        <xdr:cNvPr id="5" name="Google Shape;186;g2e4f83b35c5_0_87">
          <a:extLst>
            <a:ext uri="{FF2B5EF4-FFF2-40B4-BE49-F238E27FC236}">
              <a16:creationId xmlns:a16="http://schemas.microsoft.com/office/drawing/2014/main" id="{417DB146-64BF-F542-5867-8BDE206D2198}"/>
            </a:ext>
          </a:extLst>
        </xdr:cNvPr>
        <xdr:cNvSpPr/>
      </xdr:nvSpPr>
      <xdr:spPr>
        <a:xfrm>
          <a:off x="0" y="4067175"/>
          <a:ext cx="3028950" cy="657225"/>
        </a:xfrm>
        <a:prstGeom prst="rect">
          <a:avLst/>
        </a:prstGeom>
        <a:solidFill>
          <a:schemeClr val="bg2"/>
        </a:solidFill>
        <a:ln w="9525" cap="flat" cmpd="sng">
          <a:solidFill>
            <a:schemeClr val="dk1"/>
          </a:solidFill>
          <a:prstDash val="solid"/>
          <a:round/>
          <a:headEnd type="none" w="sm" len="sm"/>
          <a:tailEnd type="none" w="sm" len="sm"/>
        </a:ln>
      </xdr:spPr>
      <xdr:txBody>
        <a:bodyPr spcFirstLastPara="1" wrap="square" lIns="91425" tIns="91425" rIns="91425" bIns="91425" anchor="t" anchorCtr="0">
          <a:no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lvl="0" indent="0" algn="l" rtl="0">
            <a:spcBef>
              <a:spcPts val="0"/>
            </a:spcBef>
            <a:spcAft>
              <a:spcPts val="0"/>
            </a:spcAft>
            <a:buNone/>
          </a:pPr>
          <a:r>
            <a:rPr lang="id" sz="1100"/>
            <a:t>Kesimpulan : </a:t>
          </a:r>
          <a:endParaRPr lang="en-US" sz="1100"/>
        </a:p>
        <a:p>
          <a:pPr marL="0" lvl="0" indent="0" algn="l" rtl="0">
            <a:spcBef>
              <a:spcPts val="0"/>
            </a:spcBef>
            <a:spcAft>
              <a:spcPts val="0"/>
            </a:spcAft>
            <a:buNone/>
          </a:pPr>
          <a:endParaRPr lang="en-US" sz="1100"/>
        </a:p>
        <a:p>
          <a:pPr marL="0" lvl="0" indent="0" algn="l" rtl="0">
            <a:spcBef>
              <a:spcPts val="0"/>
            </a:spcBef>
            <a:spcAft>
              <a:spcPts val="0"/>
            </a:spcAft>
            <a:buNone/>
          </a:pPr>
          <a:r>
            <a:rPr lang="en-US" sz="1100"/>
            <a:t>Payback periode adalah </a:t>
          </a:r>
          <a:r>
            <a:rPr lang="en-US" sz="1100">
              <a:highlight>
                <a:srgbClr val="FFFF00"/>
              </a:highlight>
            </a:rPr>
            <a:t>3 tahun.</a:t>
          </a:r>
          <a:endParaRPr sz="1100">
            <a:highlight>
              <a:srgbClr val="FFFF00"/>
            </a:highlight>
          </a:endParaRPr>
        </a:p>
      </xdr:txBody>
    </xdr:sp>
    <xdr:clientData/>
  </xdr:twoCellAnchor>
  <xdr:twoCellAnchor>
    <xdr:from>
      <xdr:col>0</xdr:col>
      <xdr:colOff>0</xdr:colOff>
      <xdr:row>0</xdr:row>
      <xdr:rowOff>133350</xdr:rowOff>
    </xdr:from>
    <xdr:to>
      <xdr:col>4</xdr:col>
      <xdr:colOff>171450</xdr:colOff>
      <xdr:row>3</xdr:row>
      <xdr:rowOff>5626</xdr:rowOff>
    </xdr:to>
    <xdr:sp macro="" textlink="">
      <xdr:nvSpPr>
        <xdr:cNvPr id="7" name="Google Shape;159;g2e4f83b35c5_0_61">
          <a:extLst>
            <a:ext uri="{FF2B5EF4-FFF2-40B4-BE49-F238E27FC236}">
              <a16:creationId xmlns:a16="http://schemas.microsoft.com/office/drawing/2014/main" id="{501A47F9-74D7-D6AA-1B63-7CEBB6C9F7BB}"/>
            </a:ext>
          </a:extLst>
        </xdr:cNvPr>
        <xdr:cNvSpPr txBox="1"/>
      </xdr:nvSpPr>
      <xdr:spPr>
        <a:xfrm>
          <a:off x="0" y="133350"/>
          <a:ext cx="2705100" cy="443776"/>
        </a:xfrm>
        <a:prstGeom prst="rect">
          <a:avLst/>
        </a:prstGeom>
        <a:solidFill>
          <a:schemeClr val="bg2"/>
        </a:solidFill>
        <a:ln>
          <a:noFill/>
        </a:ln>
      </xdr:spPr>
      <xdr:txBody>
        <a:bodyPr spcFirstLastPara="1" wrap="square" lIns="0" tIns="12700" rIns="0" bIns="0" anchor="t" anchorCtr="0">
          <a:sp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lvl="0" indent="0" algn="l" rtl="0">
            <a:spcBef>
              <a:spcPts val="0"/>
            </a:spcBef>
            <a:spcAft>
              <a:spcPts val="0"/>
            </a:spcAft>
            <a:buClr>
              <a:schemeClr val="dk1"/>
            </a:buClr>
            <a:buSzPts val="1100"/>
            <a:buFont typeface="Arial"/>
            <a:buNone/>
          </a:pPr>
          <a:r>
            <a:rPr lang="id" sz="2800" b="1">
              <a:solidFill>
                <a:schemeClr val="tx1"/>
              </a:solidFill>
              <a:latin typeface="Roboto"/>
              <a:ea typeface="Roboto"/>
              <a:cs typeface="Roboto"/>
              <a:sym typeface="Roboto"/>
            </a:rPr>
            <a:t>Payback Period</a:t>
          </a:r>
          <a:endParaRPr sz="2800" b="1">
            <a:solidFill>
              <a:schemeClr val="tx1"/>
            </a:solidFill>
            <a:latin typeface="Roboto"/>
            <a:ea typeface="Roboto"/>
            <a:cs typeface="Roboto"/>
            <a:sym typeface="Roboto"/>
          </a:endParaRPr>
        </a:p>
      </xdr:txBody>
    </xdr:sp>
    <xdr:clientData/>
  </xdr:twoCellAnchor>
</xdr:wsDr>
</file>

<file path=xl/drawings/drawing27.xml><?xml version="1.0" encoding="utf-8"?>
<xdr:wsDr xmlns:xdr="http://schemas.openxmlformats.org/drawingml/2006/spreadsheetDrawing" xmlns:a="http://schemas.openxmlformats.org/drawingml/2006/main">
  <xdr:twoCellAnchor>
    <xdr:from>
      <xdr:col>0</xdr:col>
      <xdr:colOff>0</xdr:colOff>
      <xdr:row>4</xdr:row>
      <xdr:rowOff>123824</xdr:rowOff>
    </xdr:from>
    <xdr:to>
      <xdr:col>6</xdr:col>
      <xdr:colOff>19050</xdr:colOff>
      <xdr:row>21</xdr:row>
      <xdr:rowOff>95249</xdr:rowOff>
    </xdr:to>
    <xdr:sp macro="" textlink="">
      <xdr:nvSpPr>
        <xdr:cNvPr id="3" name="Google Shape;86;g2e4f83b35c5_0_6">
          <a:extLst>
            <a:ext uri="{FF2B5EF4-FFF2-40B4-BE49-F238E27FC236}">
              <a16:creationId xmlns:a16="http://schemas.microsoft.com/office/drawing/2014/main" id="{96B21B95-2DA5-5A9C-4C61-7169B27DB324}"/>
            </a:ext>
          </a:extLst>
        </xdr:cNvPr>
        <xdr:cNvSpPr txBox="1"/>
      </xdr:nvSpPr>
      <xdr:spPr>
        <a:xfrm>
          <a:off x="0" y="885824"/>
          <a:ext cx="8791575" cy="3209925"/>
        </a:xfrm>
        <a:prstGeom prst="rect">
          <a:avLst/>
        </a:prstGeom>
        <a:solidFill>
          <a:schemeClr val="bg2"/>
        </a:solidFill>
        <a:ln>
          <a:noFill/>
        </a:ln>
      </xdr:spPr>
      <xdr:txBody>
        <a:bodyPr spcFirstLastPara="1" wrap="square" lIns="91425" tIns="91425" rIns="91425" bIns="91425" anchor="t" anchorCtr="0">
          <a:no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marR="0" lvl="0" indent="0" algn="l" rtl="0">
            <a:lnSpc>
              <a:spcPct val="115000"/>
            </a:lnSpc>
            <a:spcBef>
              <a:spcPts val="0"/>
            </a:spcBef>
            <a:spcAft>
              <a:spcPts val="0"/>
            </a:spcAft>
            <a:buClr>
              <a:schemeClr val="dk1"/>
            </a:buClr>
            <a:buSzPts val="1100"/>
            <a:buFont typeface="Arial"/>
            <a:buNone/>
          </a:pPr>
          <a:r>
            <a:rPr lang="id">
              <a:latin typeface="Roboto"/>
              <a:ea typeface="Roboto"/>
              <a:cs typeface="Roboto"/>
              <a:sym typeface="Roboto"/>
            </a:rPr>
            <a:t>Dreamy Land adalah sebuah perusahaan baru yang menjual sabun jenis sabun cair. </a:t>
          </a:r>
          <a:endParaRPr>
            <a:latin typeface="Roboto"/>
            <a:ea typeface="Roboto"/>
            <a:cs typeface="Roboto"/>
            <a:sym typeface="Roboto"/>
          </a:endParaRPr>
        </a:p>
        <a:p>
          <a:pPr marL="0" marR="0" lvl="0" indent="0" algn="l" rtl="0">
            <a:lnSpc>
              <a:spcPct val="115000"/>
            </a:lnSpc>
            <a:spcBef>
              <a:spcPts val="0"/>
            </a:spcBef>
            <a:spcAft>
              <a:spcPts val="0"/>
            </a:spcAft>
            <a:buClr>
              <a:schemeClr val="dk1"/>
            </a:buClr>
            <a:buSzPts val="1100"/>
            <a:buFont typeface="Arial"/>
            <a:buNone/>
          </a:pPr>
          <a:r>
            <a:rPr lang="id">
              <a:latin typeface="Roboto"/>
              <a:ea typeface="Roboto"/>
              <a:cs typeface="Roboto"/>
              <a:sym typeface="Roboto"/>
            </a:rPr>
            <a:t>Mari asumsikan bahwa perusahaan ini baru memiliki 1 jenis barang untuk dijual. </a:t>
          </a:r>
          <a:endParaRPr>
            <a:latin typeface="Roboto"/>
            <a:ea typeface="Roboto"/>
            <a:cs typeface="Roboto"/>
            <a:sym typeface="Roboto"/>
          </a:endParaRPr>
        </a:p>
        <a:p>
          <a:pPr marL="0" marR="0" lvl="0" indent="0" algn="l" rtl="0">
            <a:lnSpc>
              <a:spcPct val="115000"/>
            </a:lnSpc>
            <a:spcBef>
              <a:spcPts val="0"/>
            </a:spcBef>
            <a:spcAft>
              <a:spcPts val="0"/>
            </a:spcAft>
            <a:buClr>
              <a:schemeClr val="dk1"/>
            </a:buClr>
            <a:buSzPts val="1100"/>
            <a:buFont typeface="Arial"/>
            <a:buNone/>
          </a:pPr>
          <a:endParaRPr>
            <a:latin typeface="Roboto"/>
            <a:ea typeface="Roboto"/>
            <a:cs typeface="Roboto"/>
            <a:sym typeface="Roboto"/>
          </a:endParaRPr>
        </a:p>
        <a:p>
          <a:pPr marL="0" marR="0" lvl="0" indent="0" algn="l" rtl="0">
            <a:lnSpc>
              <a:spcPct val="115000"/>
            </a:lnSpc>
            <a:spcBef>
              <a:spcPts val="0"/>
            </a:spcBef>
            <a:spcAft>
              <a:spcPts val="0"/>
            </a:spcAft>
            <a:buClr>
              <a:schemeClr val="dk1"/>
            </a:buClr>
            <a:buSzPts val="1100"/>
            <a:buFont typeface="Arial"/>
            <a:buNone/>
          </a:pPr>
          <a:r>
            <a:rPr lang="id">
              <a:latin typeface="Roboto"/>
              <a:ea typeface="Roboto"/>
              <a:cs typeface="Roboto"/>
              <a:sym typeface="Roboto"/>
            </a:rPr>
            <a:t>Harga Barang yang Dijual: $20 </a:t>
          </a:r>
          <a:endParaRPr>
            <a:latin typeface="Roboto"/>
            <a:ea typeface="Roboto"/>
            <a:cs typeface="Roboto"/>
            <a:sym typeface="Roboto"/>
          </a:endParaRPr>
        </a:p>
        <a:p>
          <a:pPr marL="0" marR="0" lvl="0" indent="0" algn="l" rtl="0">
            <a:lnSpc>
              <a:spcPct val="115000"/>
            </a:lnSpc>
            <a:spcBef>
              <a:spcPts val="0"/>
            </a:spcBef>
            <a:spcAft>
              <a:spcPts val="0"/>
            </a:spcAft>
            <a:buClr>
              <a:schemeClr val="dk1"/>
            </a:buClr>
            <a:buSzPts val="1100"/>
            <a:buFont typeface="Arial"/>
            <a:buNone/>
          </a:pPr>
          <a:r>
            <a:rPr lang="id">
              <a:latin typeface="Roboto"/>
              <a:ea typeface="Roboto"/>
              <a:cs typeface="Roboto"/>
              <a:sym typeface="Roboto"/>
            </a:rPr>
            <a:t>Data Proyeksi Penjualan (Unit) pada tahun 2023</a:t>
          </a:r>
          <a:endParaRPr>
            <a:latin typeface="Roboto"/>
            <a:ea typeface="Roboto"/>
            <a:cs typeface="Roboto"/>
            <a:sym typeface="Roboto"/>
          </a:endParaRPr>
        </a:p>
        <a:p>
          <a:pPr marL="457200" lvl="0" indent="-317500" algn="l" rtl="0">
            <a:lnSpc>
              <a:spcPct val="115000"/>
            </a:lnSpc>
            <a:spcBef>
              <a:spcPts val="0"/>
            </a:spcBef>
            <a:spcAft>
              <a:spcPts val="0"/>
            </a:spcAft>
            <a:buSzPts val="1400"/>
            <a:buFont typeface="Roboto"/>
            <a:buChar char="●"/>
          </a:pPr>
          <a:r>
            <a:rPr lang="id">
              <a:latin typeface="Roboto"/>
              <a:ea typeface="Roboto"/>
              <a:cs typeface="Roboto"/>
              <a:sym typeface="Roboto"/>
            </a:rPr>
            <a:t>Triwulan 1	5,000</a:t>
          </a:r>
          <a:endParaRPr>
            <a:latin typeface="Roboto"/>
            <a:ea typeface="Roboto"/>
            <a:cs typeface="Roboto"/>
            <a:sym typeface="Roboto"/>
          </a:endParaRPr>
        </a:p>
        <a:p>
          <a:pPr marL="457200" lvl="0" indent="-317500" algn="l" rtl="0">
            <a:lnSpc>
              <a:spcPct val="115000"/>
            </a:lnSpc>
            <a:spcBef>
              <a:spcPts val="0"/>
            </a:spcBef>
            <a:spcAft>
              <a:spcPts val="0"/>
            </a:spcAft>
            <a:buSzPts val="1400"/>
            <a:buFont typeface="Roboto"/>
            <a:buChar char="●"/>
          </a:pPr>
          <a:r>
            <a:rPr lang="id">
              <a:latin typeface="Roboto"/>
              <a:ea typeface="Roboto"/>
              <a:cs typeface="Roboto"/>
              <a:sym typeface="Roboto"/>
            </a:rPr>
            <a:t>Triwulan 2	7,000</a:t>
          </a:r>
          <a:endParaRPr>
            <a:latin typeface="Roboto"/>
            <a:ea typeface="Roboto"/>
            <a:cs typeface="Roboto"/>
            <a:sym typeface="Roboto"/>
          </a:endParaRPr>
        </a:p>
        <a:p>
          <a:pPr marL="457200" lvl="0" indent="-317500" algn="l" rtl="0">
            <a:lnSpc>
              <a:spcPct val="115000"/>
            </a:lnSpc>
            <a:spcBef>
              <a:spcPts val="0"/>
            </a:spcBef>
            <a:spcAft>
              <a:spcPts val="0"/>
            </a:spcAft>
            <a:buSzPts val="1400"/>
            <a:buFont typeface="Roboto"/>
            <a:buChar char="●"/>
          </a:pPr>
          <a:r>
            <a:rPr lang="id">
              <a:latin typeface="Roboto"/>
              <a:ea typeface="Roboto"/>
              <a:cs typeface="Roboto"/>
              <a:sym typeface="Roboto"/>
            </a:rPr>
            <a:t>Triwulan 3	6,500</a:t>
          </a:r>
          <a:endParaRPr>
            <a:latin typeface="Roboto"/>
            <a:ea typeface="Roboto"/>
            <a:cs typeface="Roboto"/>
            <a:sym typeface="Roboto"/>
          </a:endParaRPr>
        </a:p>
        <a:p>
          <a:pPr marL="457200" lvl="0" indent="-317500" algn="l" rtl="0">
            <a:lnSpc>
              <a:spcPct val="115000"/>
            </a:lnSpc>
            <a:spcBef>
              <a:spcPts val="0"/>
            </a:spcBef>
            <a:spcAft>
              <a:spcPts val="0"/>
            </a:spcAft>
            <a:buSzPts val="1400"/>
            <a:buFont typeface="Roboto"/>
            <a:buChar char="●"/>
          </a:pPr>
          <a:r>
            <a:rPr lang="id">
              <a:latin typeface="Roboto"/>
              <a:ea typeface="Roboto"/>
              <a:cs typeface="Roboto"/>
              <a:sym typeface="Roboto"/>
            </a:rPr>
            <a:t>Triwulan 4	8,000</a:t>
          </a:r>
          <a:endParaRPr>
            <a:latin typeface="Roboto"/>
            <a:ea typeface="Roboto"/>
            <a:cs typeface="Roboto"/>
            <a:sym typeface="Roboto"/>
          </a:endParaRPr>
        </a:p>
        <a:p>
          <a:pPr marL="0" lvl="0" indent="0" algn="l" rtl="0">
            <a:lnSpc>
              <a:spcPct val="115000"/>
            </a:lnSpc>
            <a:spcBef>
              <a:spcPts val="0"/>
            </a:spcBef>
            <a:spcAft>
              <a:spcPts val="0"/>
            </a:spcAft>
            <a:buNone/>
          </a:pPr>
          <a:endParaRPr>
            <a:latin typeface="Roboto"/>
            <a:ea typeface="Roboto"/>
            <a:cs typeface="Roboto"/>
            <a:sym typeface="Roboto"/>
          </a:endParaRPr>
        </a:p>
        <a:p>
          <a:pPr marL="0" lvl="0" indent="0" algn="l" rtl="0">
            <a:lnSpc>
              <a:spcPct val="115000"/>
            </a:lnSpc>
            <a:spcBef>
              <a:spcPts val="0"/>
            </a:spcBef>
            <a:spcAft>
              <a:spcPts val="0"/>
            </a:spcAft>
            <a:buNone/>
          </a:pPr>
          <a:r>
            <a:rPr lang="id">
              <a:latin typeface="Roboto"/>
              <a:ea typeface="Roboto"/>
              <a:cs typeface="Roboto"/>
              <a:sym typeface="Roboto"/>
            </a:rPr>
            <a:t>Buatlah tabel Anggaran Penjualan untuk perusahaan Dreamy Land berdasarkan data di atas.</a:t>
          </a:r>
          <a:endParaRPr>
            <a:latin typeface="Roboto"/>
            <a:ea typeface="Roboto"/>
            <a:cs typeface="Roboto"/>
            <a:sym typeface="Roboto"/>
          </a:endParaRPr>
        </a:p>
      </xdr:txBody>
    </xdr:sp>
    <xdr:clientData/>
  </xdr:twoCellAnchor>
  <xdr:twoCellAnchor>
    <xdr:from>
      <xdr:col>0</xdr:col>
      <xdr:colOff>161925</xdr:colOff>
      <xdr:row>0</xdr:row>
      <xdr:rowOff>161925</xdr:rowOff>
    </xdr:from>
    <xdr:to>
      <xdr:col>3</xdr:col>
      <xdr:colOff>1524000</xdr:colOff>
      <xdr:row>3</xdr:row>
      <xdr:rowOff>157425</xdr:rowOff>
    </xdr:to>
    <xdr:sp macro="" textlink="">
      <xdr:nvSpPr>
        <xdr:cNvPr id="5" name="Google Shape;85;g2e4f83b35c5_0_6">
          <a:extLst>
            <a:ext uri="{FF2B5EF4-FFF2-40B4-BE49-F238E27FC236}">
              <a16:creationId xmlns:a16="http://schemas.microsoft.com/office/drawing/2014/main" id="{5539D813-ECEB-1D71-0EDA-AC95EA8FB93C}"/>
            </a:ext>
          </a:extLst>
        </xdr:cNvPr>
        <xdr:cNvSpPr txBox="1"/>
      </xdr:nvSpPr>
      <xdr:spPr>
        <a:xfrm>
          <a:off x="161925" y="161925"/>
          <a:ext cx="4962525" cy="567000"/>
        </a:xfrm>
        <a:prstGeom prst="rect">
          <a:avLst/>
        </a:prstGeom>
        <a:solidFill>
          <a:schemeClr val="bg2"/>
        </a:solidFill>
        <a:ln>
          <a:noFill/>
        </a:ln>
      </xdr:spPr>
      <xdr:txBody>
        <a:bodyPr spcFirstLastPara="1" wrap="square" lIns="0" tIns="12700" rIns="0" bIns="0" anchor="t" anchorCtr="0">
          <a:sp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marR="0" lvl="0" indent="0" algn="l" rtl="0">
            <a:lnSpc>
              <a:spcPct val="100000"/>
            </a:lnSpc>
            <a:spcBef>
              <a:spcPts val="0"/>
            </a:spcBef>
            <a:spcAft>
              <a:spcPts val="0"/>
            </a:spcAft>
            <a:buClr>
              <a:schemeClr val="dk1"/>
            </a:buClr>
            <a:buSzPts val="1100"/>
            <a:buFont typeface="Arial"/>
            <a:buNone/>
          </a:pPr>
          <a:r>
            <a:rPr lang="id" sz="3600" b="1">
              <a:solidFill>
                <a:schemeClr val="tx1"/>
              </a:solidFill>
              <a:latin typeface="Roboto"/>
              <a:ea typeface="Roboto"/>
              <a:cs typeface="Roboto"/>
              <a:sym typeface="Roboto"/>
            </a:rPr>
            <a:t>Anggaran Operasional</a:t>
          </a:r>
          <a:endParaRPr sz="3600" b="1" i="0" u="none" strike="noStrike" cap="none">
            <a:solidFill>
              <a:schemeClr val="tx1"/>
            </a:solidFill>
            <a:latin typeface="Roboto"/>
            <a:ea typeface="Roboto"/>
            <a:cs typeface="Roboto"/>
            <a:sym typeface="Roboto"/>
          </a:endParaRPr>
        </a:p>
      </xdr:txBody>
    </xdr:sp>
    <xdr:clientData/>
  </xdr:twoCellAnchor>
  <xdr:twoCellAnchor>
    <xdr:from>
      <xdr:col>0</xdr:col>
      <xdr:colOff>9526</xdr:colOff>
      <xdr:row>31</xdr:row>
      <xdr:rowOff>123825</xdr:rowOff>
    </xdr:from>
    <xdr:to>
      <xdr:col>6</xdr:col>
      <xdr:colOff>38101</xdr:colOff>
      <xdr:row>37</xdr:row>
      <xdr:rowOff>14924</xdr:rowOff>
    </xdr:to>
    <xdr:sp macro="" textlink="">
      <xdr:nvSpPr>
        <xdr:cNvPr id="7" name="Google Shape;130;g2e50d107984_0_26">
          <a:extLst>
            <a:ext uri="{FF2B5EF4-FFF2-40B4-BE49-F238E27FC236}">
              <a16:creationId xmlns:a16="http://schemas.microsoft.com/office/drawing/2014/main" id="{707D8F09-DF9E-3288-84DD-AA85BEC31CD5}"/>
            </a:ext>
          </a:extLst>
        </xdr:cNvPr>
        <xdr:cNvSpPr txBox="1"/>
      </xdr:nvSpPr>
      <xdr:spPr>
        <a:xfrm>
          <a:off x="9526" y="6286500"/>
          <a:ext cx="8801100" cy="1034099"/>
        </a:xfrm>
        <a:prstGeom prst="rect">
          <a:avLst/>
        </a:prstGeom>
        <a:solidFill>
          <a:schemeClr val="bg2"/>
        </a:solidFill>
        <a:ln>
          <a:noFill/>
        </a:ln>
      </xdr:spPr>
      <xdr:txBody>
        <a:bodyPr spcFirstLastPara="1" wrap="square" lIns="91425" tIns="91425" rIns="91425" bIns="91425" anchor="t" anchorCtr="0">
          <a:sp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marR="0" lvl="0" indent="0" algn="l" rtl="0">
            <a:lnSpc>
              <a:spcPct val="115000"/>
            </a:lnSpc>
            <a:spcBef>
              <a:spcPts val="0"/>
            </a:spcBef>
            <a:spcAft>
              <a:spcPts val="0"/>
            </a:spcAft>
            <a:buClr>
              <a:schemeClr val="dk1"/>
            </a:buClr>
            <a:buSzPts val="1100"/>
            <a:buFont typeface="Arial"/>
            <a:buNone/>
          </a:pPr>
          <a:r>
            <a:rPr lang="id" sz="1200">
              <a:latin typeface="Roboto"/>
              <a:ea typeface="Roboto"/>
              <a:cs typeface="Roboto"/>
              <a:sym typeface="Roboto"/>
            </a:rPr>
            <a:t>Berdasarkan tabel sebelumnya, kita telah mengetahui berapa jumlah penjualan sabun cair yang dibutuhkan untuk memenuhi permintaan penjualan tahun 2023. Asumsikan bahwa kebijakan perusahaan mengharuskan 20% dari penjualan kuartal berikutnya sebagai persediaan akhir, dan persediaan awal kaos untuk triwulan pertama tahun 2024 adalah 1000 unit. Susunlah Anggaran Produksi Dreamy Land tahun 2023!</a:t>
          </a:r>
          <a:endParaRPr sz="1200">
            <a:latin typeface="Roboto"/>
            <a:ea typeface="Roboto"/>
            <a:cs typeface="Roboto"/>
            <a:sym typeface="Roboto"/>
          </a:endParaRPr>
        </a:p>
      </xdr:txBody>
    </xdr:sp>
    <xdr:clientData/>
  </xdr:twoCellAnchor>
  <xdr:twoCellAnchor>
    <xdr:from>
      <xdr:col>0</xdr:col>
      <xdr:colOff>1</xdr:colOff>
      <xdr:row>50</xdr:row>
      <xdr:rowOff>38100</xdr:rowOff>
    </xdr:from>
    <xdr:to>
      <xdr:col>6</xdr:col>
      <xdr:colOff>47626</xdr:colOff>
      <xdr:row>58</xdr:row>
      <xdr:rowOff>185296</xdr:rowOff>
    </xdr:to>
    <xdr:sp macro="" textlink="">
      <xdr:nvSpPr>
        <xdr:cNvPr id="12" name="Google Shape;153;g2e50d107984_0_47">
          <a:extLst>
            <a:ext uri="{FF2B5EF4-FFF2-40B4-BE49-F238E27FC236}">
              <a16:creationId xmlns:a16="http://schemas.microsoft.com/office/drawing/2014/main" id="{271496D8-4578-8B92-EAEA-919DEEB4C4B1}"/>
            </a:ext>
          </a:extLst>
        </xdr:cNvPr>
        <xdr:cNvSpPr txBox="1"/>
      </xdr:nvSpPr>
      <xdr:spPr>
        <a:xfrm>
          <a:off x="1" y="10277475"/>
          <a:ext cx="8820150" cy="1671196"/>
        </a:xfrm>
        <a:prstGeom prst="rect">
          <a:avLst/>
        </a:prstGeom>
        <a:solidFill>
          <a:schemeClr val="bg2"/>
        </a:solidFill>
        <a:ln>
          <a:noFill/>
        </a:ln>
      </xdr:spPr>
      <xdr:txBody>
        <a:bodyPr spcFirstLastPara="1" wrap="square" lIns="91425" tIns="91425" rIns="91425" bIns="91425" anchor="t" anchorCtr="0">
          <a:sp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marR="0" lvl="0" indent="0" algn="l" rtl="0">
            <a:lnSpc>
              <a:spcPct val="115000"/>
            </a:lnSpc>
            <a:spcBef>
              <a:spcPts val="0"/>
            </a:spcBef>
            <a:spcAft>
              <a:spcPts val="0"/>
            </a:spcAft>
            <a:buClr>
              <a:schemeClr val="dk1"/>
            </a:buClr>
            <a:buSzPts val="1100"/>
            <a:buFont typeface="Arial"/>
            <a:buNone/>
          </a:pPr>
          <a:r>
            <a:rPr lang="id" sz="1200" b="0" i="0" u="none" strike="noStrike" cap="none">
              <a:solidFill>
                <a:srgbClr val="000000"/>
              </a:solidFill>
              <a:latin typeface="Roboto"/>
              <a:ea typeface="Roboto"/>
              <a:cs typeface="Roboto"/>
              <a:sym typeface="Roboto"/>
            </a:rPr>
            <a:t>Asumsikan untuk memproduksi satu botol sabun mandi membutuhkan dua jenis bahan baku : </a:t>
          </a:r>
          <a:endParaRPr sz="1200" b="0" i="0" u="none" strike="noStrike" cap="none">
            <a:solidFill>
              <a:srgbClr val="000000"/>
            </a:solidFill>
            <a:latin typeface="Roboto"/>
            <a:ea typeface="Roboto"/>
            <a:cs typeface="Roboto"/>
            <a:sym typeface="Roboto"/>
          </a:endParaRPr>
        </a:p>
        <a:p>
          <a:pPr marL="0" marR="0" lvl="0" indent="0" algn="l" rtl="0">
            <a:lnSpc>
              <a:spcPct val="115000"/>
            </a:lnSpc>
            <a:spcBef>
              <a:spcPts val="0"/>
            </a:spcBef>
            <a:spcAft>
              <a:spcPts val="0"/>
            </a:spcAft>
            <a:buClr>
              <a:schemeClr val="dk1"/>
            </a:buClr>
            <a:buSzPts val="1100"/>
            <a:buFont typeface="Arial"/>
            <a:buNone/>
          </a:pPr>
          <a:r>
            <a:rPr lang="id" sz="1200" b="0" i="0" u="none" strike="noStrike" cap="none">
              <a:solidFill>
                <a:srgbClr val="000000"/>
              </a:solidFill>
              <a:latin typeface="Roboto"/>
              <a:ea typeface="Roboto"/>
              <a:cs typeface="Roboto"/>
              <a:sym typeface="Roboto"/>
            </a:rPr>
            <a:t>Bahan Kimia sebanyak 120 ml sebesar $5 </a:t>
          </a:r>
          <a:endParaRPr sz="1200" b="0" i="0" u="none" strike="noStrike" cap="none">
            <a:solidFill>
              <a:srgbClr val="000000"/>
            </a:solidFill>
            <a:latin typeface="Roboto"/>
            <a:ea typeface="Roboto"/>
            <a:cs typeface="Roboto"/>
            <a:sym typeface="Roboto"/>
          </a:endParaRPr>
        </a:p>
        <a:p>
          <a:pPr marL="0" marR="0" lvl="0" indent="0" algn="l" rtl="0">
            <a:lnSpc>
              <a:spcPct val="115000"/>
            </a:lnSpc>
            <a:spcBef>
              <a:spcPts val="0"/>
            </a:spcBef>
            <a:spcAft>
              <a:spcPts val="0"/>
            </a:spcAft>
            <a:buClr>
              <a:schemeClr val="dk1"/>
            </a:buClr>
            <a:buSzPts val="1100"/>
            <a:buFont typeface="Arial"/>
            <a:buNone/>
          </a:pPr>
          <a:r>
            <a:rPr lang="id" sz="1200" b="0" i="0" u="none" strike="noStrike" cap="none">
              <a:solidFill>
                <a:srgbClr val="000000"/>
              </a:solidFill>
              <a:latin typeface="Roboto"/>
              <a:ea typeface="Roboto"/>
              <a:cs typeface="Roboto"/>
              <a:sym typeface="Roboto"/>
            </a:rPr>
            <a:t>Packaging 1 botol sebesar $0.20 </a:t>
          </a:r>
          <a:endParaRPr sz="1200" b="0" i="0" u="none" strike="noStrike" cap="none">
            <a:solidFill>
              <a:srgbClr val="000000"/>
            </a:solidFill>
            <a:latin typeface="Roboto"/>
            <a:ea typeface="Roboto"/>
            <a:cs typeface="Roboto"/>
            <a:sym typeface="Roboto"/>
          </a:endParaRPr>
        </a:p>
        <a:p>
          <a:pPr marL="0" marR="0" lvl="0" indent="0" algn="l" rtl="0">
            <a:lnSpc>
              <a:spcPct val="115000"/>
            </a:lnSpc>
            <a:spcBef>
              <a:spcPts val="0"/>
            </a:spcBef>
            <a:spcAft>
              <a:spcPts val="0"/>
            </a:spcAft>
            <a:buClr>
              <a:schemeClr val="dk1"/>
            </a:buClr>
            <a:buSzPts val="1100"/>
            <a:buFont typeface="Arial"/>
            <a:buNone/>
          </a:pPr>
          <a:r>
            <a:rPr lang="id" sz="1200" b="0" i="0" u="none" strike="noStrike" cap="none">
              <a:solidFill>
                <a:srgbClr val="000000"/>
              </a:solidFill>
              <a:latin typeface="Roboto"/>
              <a:ea typeface="Roboto"/>
              <a:cs typeface="Roboto"/>
              <a:sym typeface="Roboto"/>
            </a:rPr>
            <a:t>Kebijakan perusahaan mengharuskan 10% dari produksi bulan berikutnya sebagai persediaan akhir. Asumsikan perusahaan memiliki persediaan awal berupa 100 L bahan kimia, dan 100 botol yang tersedia pada tanggal 1 Januari.</a:t>
          </a:r>
          <a:endParaRPr sz="1200" b="0" i="0" u="none" strike="noStrike" cap="none">
            <a:solidFill>
              <a:srgbClr val="000000"/>
            </a:solidFill>
            <a:latin typeface="Roboto"/>
            <a:ea typeface="Roboto"/>
            <a:cs typeface="Roboto"/>
            <a:sym typeface="Roboto"/>
          </a:endParaRPr>
        </a:p>
        <a:p>
          <a:pPr marL="0" marR="0" lvl="0" indent="0" algn="l" rtl="0">
            <a:lnSpc>
              <a:spcPct val="115000"/>
            </a:lnSpc>
            <a:spcBef>
              <a:spcPts val="0"/>
            </a:spcBef>
            <a:spcAft>
              <a:spcPts val="0"/>
            </a:spcAft>
            <a:buClr>
              <a:schemeClr val="dk1"/>
            </a:buClr>
            <a:buSzPts val="1100"/>
            <a:buFont typeface="Arial"/>
            <a:buNone/>
          </a:pPr>
          <a:endParaRPr sz="1200" b="0" i="0" u="none" strike="noStrike" cap="none">
            <a:solidFill>
              <a:srgbClr val="000000"/>
            </a:solidFill>
            <a:latin typeface="Roboto"/>
            <a:ea typeface="Roboto"/>
            <a:cs typeface="Roboto"/>
            <a:sym typeface="Roboto"/>
          </a:endParaRPr>
        </a:p>
        <a:p>
          <a:pPr marL="0" marR="0" lvl="0" indent="0" algn="l" rtl="0">
            <a:lnSpc>
              <a:spcPct val="115000"/>
            </a:lnSpc>
            <a:spcBef>
              <a:spcPts val="0"/>
            </a:spcBef>
            <a:spcAft>
              <a:spcPts val="0"/>
            </a:spcAft>
            <a:buClr>
              <a:schemeClr val="dk1"/>
            </a:buClr>
            <a:buSzPts val="1100"/>
            <a:buFont typeface="Arial"/>
            <a:buNone/>
          </a:pPr>
          <a:r>
            <a:rPr lang="id" sz="1200" b="0" i="0" u="none" strike="noStrike" cap="none">
              <a:solidFill>
                <a:srgbClr val="000000"/>
              </a:solidFill>
              <a:latin typeface="Roboto"/>
              <a:ea typeface="Roboto"/>
              <a:cs typeface="Roboto"/>
              <a:sym typeface="Roboto"/>
            </a:rPr>
            <a:t>Susunlah Anggaran Pembelian Bahan Baku Langsung Dreamy Land pada 2023!</a:t>
          </a:r>
          <a:endParaRPr sz="1200" b="0" i="0" u="none" strike="noStrike" cap="none">
            <a:solidFill>
              <a:srgbClr val="000000"/>
            </a:solidFill>
            <a:latin typeface="Roboto"/>
            <a:ea typeface="Roboto"/>
            <a:cs typeface="Roboto"/>
            <a:sym typeface="Roboto"/>
          </a:endParaRPr>
        </a:p>
      </xdr:txBody>
    </xdr:sp>
    <xdr:clientData/>
  </xdr:twoCellAnchor>
  <xdr:twoCellAnchor>
    <xdr:from>
      <xdr:col>0</xdr:col>
      <xdr:colOff>0</xdr:colOff>
      <xdr:row>89</xdr:row>
      <xdr:rowOff>98149</xdr:rowOff>
    </xdr:from>
    <xdr:to>
      <xdr:col>5</xdr:col>
      <xdr:colOff>1104900</xdr:colOff>
      <xdr:row>93</xdr:row>
      <xdr:rowOff>160643</xdr:rowOff>
    </xdr:to>
    <xdr:sp macro="" textlink="">
      <xdr:nvSpPr>
        <xdr:cNvPr id="14" name="Google Shape;176;g2e50d107984_0_76">
          <a:extLst>
            <a:ext uri="{FF2B5EF4-FFF2-40B4-BE49-F238E27FC236}">
              <a16:creationId xmlns:a16="http://schemas.microsoft.com/office/drawing/2014/main" id="{A04B6E7C-87C8-D526-189C-45E1CFCDC603}"/>
            </a:ext>
          </a:extLst>
        </xdr:cNvPr>
        <xdr:cNvSpPr txBox="1"/>
      </xdr:nvSpPr>
      <xdr:spPr>
        <a:xfrm>
          <a:off x="0" y="15835106"/>
          <a:ext cx="8711096" cy="835537"/>
        </a:xfrm>
        <a:prstGeom prst="rect">
          <a:avLst/>
        </a:prstGeom>
        <a:solidFill>
          <a:schemeClr val="bg2"/>
        </a:solidFill>
        <a:ln>
          <a:noFill/>
        </a:ln>
      </xdr:spPr>
      <xdr:txBody>
        <a:bodyPr spcFirstLastPara="1" wrap="square" lIns="91425" tIns="91425" rIns="91425" bIns="91425" anchor="t" anchorCtr="0">
          <a:sp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lvl="0" indent="0" algn="l" rtl="0">
            <a:lnSpc>
              <a:spcPct val="115000"/>
            </a:lnSpc>
            <a:spcBef>
              <a:spcPts val="0"/>
            </a:spcBef>
            <a:spcAft>
              <a:spcPts val="0"/>
            </a:spcAft>
            <a:buClr>
              <a:schemeClr val="dk1"/>
            </a:buClr>
            <a:buSzPts val="1100"/>
            <a:buFont typeface="Arial"/>
            <a:buNone/>
          </a:pPr>
          <a:r>
            <a:rPr lang="id" sz="1200">
              <a:latin typeface="Roboto"/>
              <a:ea typeface="Roboto"/>
              <a:cs typeface="Roboto"/>
              <a:sym typeface="Roboto"/>
            </a:rPr>
            <a:t>Asumsikan untuk produksi 100 unit botol sabun mandi membutuhkan 12 jam tenaga kerja langsung. Maka, waktu tenaga kerja langsung per kaos sablon adalah 0,12 (100/12 Jam). Asumsikan rata-rata upah per jam tenaga kerja sebesar $12. Susunlah Anggaran Tenaga Kerja Langsung Dreamy Land tahun 2023 !</a:t>
          </a:r>
          <a:endParaRPr sz="1200">
            <a:latin typeface="Roboto"/>
            <a:ea typeface="Roboto"/>
            <a:cs typeface="Roboto"/>
            <a:sym typeface="Roboto"/>
          </a:endParaRPr>
        </a:p>
      </xdr:txBody>
    </xdr:sp>
    <xdr:clientData/>
  </xdr:twoCellAnchor>
  <xdr:twoCellAnchor>
    <xdr:from>
      <xdr:col>0</xdr:col>
      <xdr:colOff>0</xdr:colOff>
      <xdr:row>105</xdr:row>
      <xdr:rowOff>82826</xdr:rowOff>
    </xdr:from>
    <xdr:to>
      <xdr:col>6</xdr:col>
      <xdr:colOff>2484</xdr:colOff>
      <xdr:row>109</xdr:row>
      <xdr:rowOff>142559</xdr:rowOff>
    </xdr:to>
    <xdr:sp macro="" textlink="">
      <xdr:nvSpPr>
        <xdr:cNvPr id="16" name="Google Shape;199;g2e50d107984_0_100">
          <a:extLst>
            <a:ext uri="{FF2B5EF4-FFF2-40B4-BE49-F238E27FC236}">
              <a16:creationId xmlns:a16="http://schemas.microsoft.com/office/drawing/2014/main" id="{3B582F6B-CFD2-B6F7-D462-325C667F3835}"/>
            </a:ext>
          </a:extLst>
        </xdr:cNvPr>
        <xdr:cNvSpPr txBox="1"/>
      </xdr:nvSpPr>
      <xdr:spPr>
        <a:xfrm>
          <a:off x="0" y="19519348"/>
          <a:ext cx="8768245" cy="832776"/>
        </a:xfrm>
        <a:prstGeom prst="rect">
          <a:avLst/>
        </a:prstGeom>
        <a:solidFill>
          <a:schemeClr val="bg2"/>
        </a:solidFill>
        <a:ln>
          <a:noFill/>
        </a:ln>
      </xdr:spPr>
      <xdr:txBody>
        <a:bodyPr spcFirstLastPara="1" wrap="square" lIns="91425" tIns="91425" rIns="91425" bIns="91425" anchor="t" anchorCtr="0">
          <a:sp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marR="0" lvl="0" indent="0" algn="l" rtl="0">
            <a:lnSpc>
              <a:spcPct val="115000"/>
            </a:lnSpc>
            <a:spcBef>
              <a:spcPts val="0"/>
            </a:spcBef>
            <a:spcAft>
              <a:spcPts val="0"/>
            </a:spcAft>
            <a:buClr>
              <a:schemeClr val="dk1"/>
            </a:buClr>
            <a:buSzPts val="1100"/>
            <a:buFont typeface="Arial"/>
            <a:buNone/>
          </a:pPr>
          <a:r>
            <a:rPr lang="id" sz="1200" b="0" i="0" u="none" strike="noStrike" cap="none">
              <a:solidFill>
                <a:srgbClr val="000000"/>
              </a:solidFill>
              <a:latin typeface="Roboto"/>
              <a:ea typeface="Roboto"/>
              <a:cs typeface="Roboto"/>
              <a:sym typeface="Roboto"/>
            </a:rPr>
            <a:t>Asumsikan untuk perhitungan anggaran biaya overhead terdapat 2 pool biaya overhead, overhead variabel dan overhead tetap. Biaya overhead variabel dianggarkan dengan tarif $7 per jam tenaga kerja langsung. Sedangkan, untuk biaya overhead tetap dianggarkan sebesar $4000 setahun atau $1000 per triwulan. Susunlah Anggaran Biaya Overhead Dreamy Land tahun 2023 !</a:t>
          </a:r>
          <a:endParaRPr sz="1200" b="0" i="0" u="none" strike="noStrike" cap="none">
            <a:solidFill>
              <a:srgbClr val="000000"/>
            </a:solidFill>
            <a:latin typeface="Roboto"/>
            <a:ea typeface="Roboto"/>
            <a:cs typeface="Roboto"/>
            <a:sym typeface="Roboto"/>
          </a:endParaRPr>
        </a:p>
      </xdr:txBody>
    </xdr:sp>
    <xdr:clientData/>
  </xdr:twoCellAnchor>
  <xdr:twoCellAnchor>
    <xdr:from>
      <xdr:col>0</xdr:col>
      <xdr:colOff>0</xdr:colOff>
      <xdr:row>122</xdr:row>
      <xdr:rowOff>0</xdr:rowOff>
    </xdr:from>
    <xdr:to>
      <xdr:col>6</xdr:col>
      <xdr:colOff>12533</xdr:colOff>
      <xdr:row>124</xdr:row>
      <xdr:rowOff>21014</xdr:rowOff>
    </xdr:to>
    <xdr:sp macro="" textlink="">
      <xdr:nvSpPr>
        <xdr:cNvPr id="18" name="Google Shape;222;g2e50d107984_0_146">
          <a:extLst>
            <a:ext uri="{FF2B5EF4-FFF2-40B4-BE49-F238E27FC236}">
              <a16:creationId xmlns:a16="http://schemas.microsoft.com/office/drawing/2014/main" id="{D65A17D7-C670-FC80-BA5A-F34F22189866}"/>
            </a:ext>
          </a:extLst>
        </xdr:cNvPr>
        <xdr:cNvSpPr txBox="1"/>
      </xdr:nvSpPr>
      <xdr:spPr>
        <a:xfrm>
          <a:off x="0" y="27058520"/>
          <a:ext cx="8798092" cy="397001"/>
        </a:xfrm>
        <a:prstGeom prst="rect">
          <a:avLst/>
        </a:prstGeom>
        <a:solidFill>
          <a:schemeClr val="bg2"/>
        </a:solidFill>
        <a:ln>
          <a:noFill/>
        </a:ln>
      </xdr:spPr>
      <xdr:txBody>
        <a:bodyPr spcFirstLastPara="1" wrap="square" lIns="91425" tIns="91425" rIns="91425" bIns="91425" anchor="t" anchorCtr="0">
          <a:sp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marR="0" lvl="0" indent="0" algn="l" rtl="0">
            <a:lnSpc>
              <a:spcPct val="115000"/>
            </a:lnSpc>
            <a:spcBef>
              <a:spcPts val="0"/>
            </a:spcBef>
            <a:spcAft>
              <a:spcPts val="0"/>
            </a:spcAft>
            <a:buClr>
              <a:schemeClr val="dk1"/>
            </a:buClr>
            <a:buSzPts val="1100"/>
            <a:buFont typeface="Arial"/>
            <a:buNone/>
          </a:pPr>
          <a:r>
            <a:rPr lang="id" sz="1200" b="0" i="0" u="none" strike="noStrike" cap="none">
              <a:solidFill>
                <a:srgbClr val="000000"/>
              </a:solidFill>
              <a:latin typeface="Roboto"/>
              <a:ea typeface="Roboto"/>
              <a:cs typeface="Roboto"/>
              <a:sym typeface="Roboto"/>
            </a:rPr>
            <a:t>Hitunglah biaya unit per produk dengan menggunakan informasi dari tabel 1 sampai dengan tabel 5!</a:t>
          </a:r>
          <a:endParaRPr sz="1200" b="0" i="0" u="none" strike="noStrike" cap="none">
            <a:solidFill>
              <a:srgbClr val="000000"/>
            </a:solidFill>
            <a:latin typeface="Roboto"/>
            <a:ea typeface="Roboto"/>
            <a:cs typeface="Roboto"/>
            <a:sym typeface="Roboto"/>
          </a:endParaRPr>
        </a:p>
      </xdr:txBody>
    </xdr:sp>
    <xdr:clientData/>
  </xdr:twoCellAnchor>
</xdr:wsDr>
</file>

<file path=xl/drawings/drawing28.xml><?xml version="1.0" encoding="utf-8"?>
<xdr:wsDr xmlns:xdr="http://schemas.openxmlformats.org/drawingml/2006/spreadsheetDrawing" xmlns:a="http://schemas.openxmlformats.org/drawingml/2006/main">
  <xdr:twoCellAnchor>
    <xdr:from>
      <xdr:col>0</xdr:col>
      <xdr:colOff>0</xdr:colOff>
      <xdr:row>0</xdr:row>
      <xdr:rowOff>133350</xdr:rowOff>
    </xdr:from>
    <xdr:to>
      <xdr:col>1</xdr:col>
      <xdr:colOff>317500</xdr:colOff>
      <xdr:row>3</xdr:row>
      <xdr:rowOff>11579</xdr:rowOff>
    </xdr:to>
    <xdr:sp macro="" textlink="">
      <xdr:nvSpPr>
        <xdr:cNvPr id="3" name="Google Shape;85;g2e4f83b35c5_0_6">
          <a:extLst>
            <a:ext uri="{FF2B5EF4-FFF2-40B4-BE49-F238E27FC236}">
              <a16:creationId xmlns:a16="http://schemas.microsoft.com/office/drawing/2014/main" id="{B84E11D3-5E67-E7E6-D40F-E52041FBC1C4}"/>
            </a:ext>
          </a:extLst>
        </xdr:cNvPr>
        <xdr:cNvSpPr txBox="1"/>
      </xdr:nvSpPr>
      <xdr:spPr>
        <a:xfrm>
          <a:off x="0" y="133350"/>
          <a:ext cx="2430859" cy="443776"/>
        </a:xfrm>
        <a:prstGeom prst="rect">
          <a:avLst/>
        </a:prstGeom>
        <a:solidFill>
          <a:schemeClr val="bg2"/>
        </a:solidFill>
        <a:ln>
          <a:noFill/>
        </a:ln>
      </xdr:spPr>
      <xdr:txBody>
        <a:bodyPr spcFirstLastPara="1" wrap="square" lIns="0" tIns="12700" rIns="0" bIns="0" anchor="t" anchorCtr="0">
          <a:sp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marR="0" lvl="0" indent="0" algn="l" rtl="0">
            <a:lnSpc>
              <a:spcPct val="100000"/>
            </a:lnSpc>
            <a:spcBef>
              <a:spcPts val="0"/>
            </a:spcBef>
            <a:spcAft>
              <a:spcPts val="0"/>
            </a:spcAft>
            <a:buClr>
              <a:schemeClr val="dk1"/>
            </a:buClr>
            <a:buSzPts val="1100"/>
            <a:buFont typeface="Arial"/>
            <a:buNone/>
          </a:pPr>
          <a:r>
            <a:rPr lang="id" sz="2800" b="1">
              <a:solidFill>
                <a:sysClr val="windowText" lastClr="000000"/>
              </a:solidFill>
              <a:latin typeface="Roboto"/>
              <a:ea typeface="Roboto"/>
              <a:cs typeface="Roboto"/>
              <a:sym typeface="Roboto"/>
            </a:rPr>
            <a:t>Anggaran Kas</a:t>
          </a:r>
          <a:endParaRPr sz="2800" b="1" i="0" u="none" strike="noStrike" cap="none">
            <a:solidFill>
              <a:sysClr val="windowText" lastClr="000000"/>
            </a:solidFill>
            <a:latin typeface="Roboto"/>
            <a:ea typeface="Roboto"/>
            <a:cs typeface="Roboto"/>
            <a:sym typeface="Roboto"/>
          </a:endParaRPr>
        </a:p>
      </xdr:txBody>
    </xdr:sp>
    <xdr:clientData/>
  </xdr:twoCellAnchor>
  <xdr:twoCellAnchor>
    <xdr:from>
      <xdr:col>0</xdr:col>
      <xdr:colOff>0</xdr:colOff>
      <xdr:row>5</xdr:row>
      <xdr:rowOff>0</xdr:rowOff>
    </xdr:from>
    <xdr:to>
      <xdr:col>5</xdr:col>
      <xdr:colOff>161925</xdr:colOff>
      <xdr:row>7</xdr:row>
      <xdr:rowOff>16001</xdr:rowOff>
    </xdr:to>
    <xdr:sp macro="" textlink="">
      <xdr:nvSpPr>
        <xdr:cNvPr id="5" name="Google Shape;86;g2e4f83b35c5_0_6">
          <a:extLst>
            <a:ext uri="{FF2B5EF4-FFF2-40B4-BE49-F238E27FC236}">
              <a16:creationId xmlns:a16="http://schemas.microsoft.com/office/drawing/2014/main" id="{11A8F0D2-F818-ED3D-7E52-3CC051176FE9}"/>
            </a:ext>
          </a:extLst>
        </xdr:cNvPr>
        <xdr:cNvSpPr txBox="1"/>
      </xdr:nvSpPr>
      <xdr:spPr>
        <a:xfrm>
          <a:off x="0" y="952500"/>
          <a:ext cx="5572125" cy="397001"/>
        </a:xfrm>
        <a:prstGeom prst="rect">
          <a:avLst/>
        </a:prstGeom>
        <a:solidFill>
          <a:schemeClr val="bg2"/>
        </a:solidFill>
        <a:ln>
          <a:noFill/>
        </a:ln>
      </xdr:spPr>
      <xdr:txBody>
        <a:bodyPr spcFirstLastPara="1" wrap="square" lIns="91425" tIns="91425" rIns="91425" bIns="91425" anchor="t" anchorCtr="0">
          <a:sp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marR="0" lvl="0" indent="0" algn="l" rtl="0">
            <a:lnSpc>
              <a:spcPct val="115000"/>
            </a:lnSpc>
            <a:spcBef>
              <a:spcPts val="0"/>
            </a:spcBef>
            <a:spcAft>
              <a:spcPts val="0"/>
            </a:spcAft>
            <a:buClr>
              <a:schemeClr val="dk1"/>
            </a:buClr>
            <a:buSzPts val="1100"/>
            <a:buFont typeface="Arial"/>
            <a:buNone/>
          </a:pPr>
          <a:r>
            <a:rPr lang="id" sz="1200" b="0" i="0" u="none" strike="noStrike" cap="none">
              <a:solidFill>
                <a:srgbClr val="000000"/>
              </a:solidFill>
              <a:latin typeface="Roboto"/>
              <a:ea typeface="Roboto"/>
              <a:cs typeface="Roboto"/>
              <a:sym typeface="Roboto"/>
            </a:rPr>
            <a:t>Berikut adalah data estimasi arus kas selama triwulan 1 milik PT Ameena Jaya </a:t>
          </a:r>
          <a:endParaRPr sz="1200" b="0" i="0" u="none" strike="noStrike" cap="none">
            <a:solidFill>
              <a:srgbClr val="000000"/>
            </a:solidFill>
            <a:latin typeface="Roboto"/>
            <a:ea typeface="Roboto"/>
            <a:cs typeface="Roboto"/>
            <a:sym typeface="Roboto"/>
          </a:endParaRPr>
        </a:p>
      </xdr:txBody>
    </xdr:sp>
    <xdr:clientData/>
  </xdr:twoCellAnchor>
  <xdr:twoCellAnchor>
    <xdr:from>
      <xdr:col>0</xdr:col>
      <xdr:colOff>0</xdr:colOff>
      <xdr:row>12</xdr:row>
      <xdr:rowOff>114300</xdr:rowOff>
    </xdr:from>
    <xdr:to>
      <xdr:col>6</xdr:col>
      <xdr:colOff>285750</xdr:colOff>
      <xdr:row>23</xdr:row>
      <xdr:rowOff>47625</xdr:rowOff>
    </xdr:to>
    <xdr:sp macro="" textlink="">
      <xdr:nvSpPr>
        <xdr:cNvPr id="7" name="Google Shape;88;g2e4f83b35c5_0_6">
          <a:extLst>
            <a:ext uri="{FF2B5EF4-FFF2-40B4-BE49-F238E27FC236}">
              <a16:creationId xmlns:a16="http://schemas.microsoft.com/office/drawing/2014/main" id="{4E179D68-EB00-3A6C-02B2-BB70E161F6EA}"/>
            </a:ext>
          </a:extLst>
        </xdr:cNvPr>
        <xdr:cNvSpPr txBox="1"/>
      </xdr:nvSpPr>
      <xdr:spPr>
        <a:xfrm>
          <a:off x="0" y="2438400"/>
          <a:ext cx="6305550" cy="2038350"/>
        </a:xfrm>
        <a:prstGeom prst="rect">
          <a:avLst/>
        </a:prstGeom>
        <a:solidFill>
          <a:schemeClr val="bg2"/>
        </a:solidFill>
        <a:ln>
          <a:noFill/>
        </a:ln>
      </xdr:spPr>
      <xdr:txBody>
        <a:bodyPr spcFirstLastPara="1" wrap="square" lIns="91425" tIns="91425" rIns="91425" bIns="91425" anchor="t" anchorCtr="0">
          <a:no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269999" lvl="0" indent="-256199" algn="l" rtl="0">
            <a:lnSpc>
              <a:spcPct val="115000"/>
            </a:lnSpc>
            <a:spcBef>
              <a:spcPts val="0"/>
            </a:spcBef>
            <a:spcAft>
              <a:spcPts val="0"/>
            </a:spcAft>
            <a:buSzPts val="1200"/>
            <a:buChar char="●"/>
          </a:pPr>
          <a:r>
            <a:rPr lang="id" sz="1200"/>
            <a:t>Saldo Awal Kas Perusahaan: Rp10,000</a:t>
          </a:r>
          <a:endParaRPr sz="1200"/>
        </a:p>
        <a:p>
          <a:pPr marL="269999" lvl="0" indent="-256199" algn="l" rtl="0">
            <a:lnSpc>
              <a:spcPct val="115000"/>
            </a:lnSpc>
            <a:spcBef>
              <a:spcPts val="0"/>
            </a:spcBef>
            <a:spcAft>
              <a:spcPts val="0"/>
            </a:spcAft>
            <a:buSzPts val="1200"/>
            <a:buChar char="●"/>
          </a:pPr>
          <a:r>
            <a:rPr lang="id" sz="1200"/>
            <a:t>Saldo Kas Minimum yang Ditetapkan Perusahaan: Rp5,000</a:t>
          </a:r>
          <a:endParaRPr sz="1200"/>
        </a:p>
        <a:p>
          <a:pPr marL="269999" lvl="0" indent="-256199" algn="l" rtl="0">
            <a:lnSpc>
              <a:spcPct val="115000"/>
            </a:lnSpc>
            <a:spcBef>
              <a:spcPts val="0"/>
            </a:spcBef>
            <a:spcAft>
              <a:spcPts val="0"/>
            </a:spcAft>
            <a:buSzPts val="1200"/>
            <a:buChar char="●"/>
          </a:pPr>
          <a:r>
            <a:rPr lang="id" sz="1200"/>
            <a:t>Tingkat Bunga Tahunan untuk Pinjaman: 12%</a:t>
          </a:r>
          <a:endParaRPr sz="1200"/>
        </a:p>
        <a:p>
          <a:pPr marL="269999" lvl="0" indent="-256199" algn="l" rtl="0">
            <a:lnSpc>
              <a:spcPct val="115000"/>
            </a:lnSpc>
            <a:spcBef>
              <a:spcPts val="0"/>
            </a:spcBef>
            <a:spcAft>
              <a:spcPts val="0"/>
            </a:spcAft>
            <a:buSzPts val="1200"/>
            <a:buChar char="●"/>
          </a:pPr>
          <a:r>
            <a:rPr lang="id" sz="1200"/>
            <a:t>Periode Perhitungan (Triwulan): 3 bulan (Januari - Maret)</a:t>
          </a:r>
          <a:endParaRPr sz="1200"/>
        </a:p>
        <a:p>
          <a:pPr marL="269999" lvl="0" indent="-256199" algn="l" rtl="0">
            <a:lnSpc>
              <a:spcPct val="115000"/>
            </a:lnSpc>
            <a:spcBef>
              <a:spcPts val="0"/>
            </a:spcBef>
            <a:spcAft>
              <a:spcPts val="0"/>
            </a:spcAft>
            <a:buSzPts val="1200"/>
            <a:buChar char="●"/>
          </a:pPr>
          <a:r>
            <a:rPr lang="id" sz="1200"/>
            <a:t>Pinjaman dilakukan di setiap awal periode dan pembayaran dilakukan setiap akhir periode. </a:t>
          </a:r>
          <a:endParaRPr sz="1200"/>
        </a:p>
        <a:p>
          <a:pPr marL="269999" lvl="0" indent="-256199" algn="l" rtl="0">
            <a:lnSpc>
              <a:spcPct val="115000"/>
            </a:lnSpc>
            <a:spcBef>
              <a:spcPts val="0"/>
            </a:spcBef>
            <a:spcAft>
              <a:spcPts val="0"/>
            </a:spcAft>
            <a:buSzPts val="1200"/>
            <a:buChar char="●"/>
          </a:pPr>
          <a:r>
            <a:rPr lang="id" sz="1200"/>
            <a:t>Bunga harus dilunasi pada saat pelunasan pinjaman.</a:t>
          </a:r>
          <a:endParaRPr sz="1200"/>
        </a:p>
        <a:p>
          <a:pPr marL="0" marR="0" lvl="0" indent="0" algn="l" rtl="0">
            <a:lnSpc>
              <a:spcPct val="115000"/>
            </a:lnSpc>
            <a:spcBef>
              <a:spcPts val="0"/>
            </a:spcBef>
            <a:spcAft>
              <a:spcPts val="0"/>
            </a:spcAft>
            <a:buClr>
              <a:schemeClr val="dk1"/>
            </a:buClr>
            <a:buSzPts val="1100"/>
            <a:buFont typeface="Arial"/>
            <a:buNone/>
          </a:pPr>
          <a:endParaRPr sz="1200" b="0" i="0" u="none" strike="noStrike" cap="none">
            <a:solidFill>
              <a:srgbClr val="000000"/>
            </a:solidFill>
            <a:latin typeface="Roboto"/>
            <a:ea typeface="Roboto"/>
            <a:cs typeface="Roboto"/>
            <a:sym typeface="Arial"/>
          </a:endParaRPr>
        </a:p>
        <a:p>
          <a:pPr marL="0" marR="0" lvl="0" indent="0" algn="l" rtl="0">
            <a:lnSpc>
              <a:spcPct val="115000"/>
            </a:lnSpc>
            <a:spcBef>
              <a:spcPts val="0"/>
            </a:spcBef>
            <a:spcAft>
              <a:spcPts val="0"/>
            </a:spcAft>
            <a:buClr>
              <a:schemeClr val="dk1"/>
            </a:buClr>
            <a:buSzPts val="1100"/>
            <a:buFont typeface="Arial"/>
            <a:buNone/>
          </a:pPr>
          <a:r>
            <a:rPr lang="id" sz="1200" b="0" i="0" u="none" strike="noStrike" cap="none">
              <a:solidFill>
                <a:srgbClr val="000000"/>
              </a:solidFill>
              <a:latin typeface="Roboto"/>
              <a:ea typeface="Roboto"/>
              <a:cs typeface="Roboto"/>
              <a:sym typeface="Roboto"/>
            </a:rPr>
            <a:t>Susunlah anggaran kas PT Ameena Jaya!</a:t>
          </a:r>
          <a:endParaRPr sz="1200" b="0" i="0" u="none" strike="noStrike" cap="none">
            <a:solidFill>
              <a:srgbClr val="000000"/>
            </a:solidFill>
            <a:latin typeface="Roboto"/>
            <a:ea typeface="Roboto"/>
            <a:cs typeface="Roboto"/>
            <a:sym typeface="Arial"/>
          </a:endParaRPr>
        </a:p>
      </xdr:txBody>
    </xdr:sp>
    <xdr:clientData/>
  </xdr:twoCellAnchor>
  <xdr:twoCellAnchor>
    <xdr:from>
      <xdr:col>0</xdr:col>
      <xdr:colOff>0</xdr:colOff>
      <xdr:row>41</xdr:row>
      <xdr:rowOff>0</xdr:rowOff>
    </xdr:from>
    <xdr:to>
      <xdr:col>5</xdr:col>
      <xdr:colOff>99218</xdr:colOff>
      <xdr:row>43</xdr:row>
      <xdr:rowOff>128236</xdr:rowOff>
    </xdr:to>
    <xdr:sp macro="" textlink="">
      <xdr:nvSpPr>
        <xdr:cNvPr id="9" name="TextBox 1">
          <a:extLst>
            <a:ext uri="{FF2B5EF4-FFF2-40B4-BE49-F238E27FC236}">
              <a16:creationId xmlns:a16="http://schemas.microsoft.com/office/drawing/2014/main" id="{20F5CF7F-BFDF-4232-E866-0DE6D919D032}"/>
            </a:ext>
          </a:extLst>
        </xdr:cNvPr>
        <xdr:cNvSpPr txBox="1"/>
      </xdr:nvSpPr>
      <xdr:spPr>
        <a:xfrm>
          <a:off x="0" y="8324453"/>
          <a:ext cx="5516562" cy="505267"/>
        </a:xfrm>
        <a:prstGeom prst="rect">
          <a:avLst/>
        </a:prstGeom>
        <a:solidFill>
          <a:schemeClr val="bg2"/>
        </a:solidFill>
      </xdr:spPr>
      <xdr:txBody>
        <a:bodyPr wrap="square" rtlCol="0">
          <a:sp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r>
            <a:rPr lang="en-US"/>
            <a:t>Dikarenakan kas</a:t>
          </a:r>
          <a:r>
            <a:rPr lang="en-US" baseline="0"/>
            <a:t> tidak dibawah 5000</a:t>
          </a:r>
          <a:r>
            <a:rPr lang="en-US"/>
            <a:t> perhitungan bunga diabaikan (tidak minjam).</a:t>
          </a:r>
          <a:endParaRPr lang="en-ID"/>
        </a:p>
      </xdr:txBody>
    </xdr:sp>
    <xdr:clientData/>
  </xdr:twoCellAnchor>
</xdr:wsDr>
</file>

<file path=xl/drawings/drawing29.xml><?xml version="1.0" encoding="utf-8"?>
<xdr:wsDr xmlns:xdr="http://schemas.openxmlformats.org/drawingml/2006/spreadsheetDrawing" xmlns:a="http://schemas.openxmlformats.org/drawingml/2006/main">
  <xdr:twoCellAnchor>
    <xdr:from>
      <xdr:col>0</xdr:col>
      <xdr:colOff>1</xdr:colOff>
      <xdr:row>3</xdr:row>
      <xdr:rowOff>57150</xdr:rowOff>
    </xdr:from>
    <xdr:to>
      <xdr:col>7</xdr:col>
      <xdr:colOff>1676401</xdr:colOff>
      <xdr:row>18</xdr:row>
      <xdr:rowOff>85725</xdr:rowOff>
    </xdr:to>
    <xdr:sp macro="" textlink="">
      <xdr:nvSpPr>
        <xdr:cNvPr id="3" name="Google Shape;86;p15">
          <a:extLst>
            <a:ext uri="{FF2B5EF4-FFF2-40B4-BE49-F238E27FC236}">
              <a16:creationId xmlns:a16="http://schemas.microsoft.com/office/drawing/2014/main" id="{971487F7-D91E-EF2A-E2E7-96AC1BF5D1ED}"/>
            </a:ext>
          </a:extLst>
        </xdr:cNvPr>
        <xdr:cNvSpPr txBox="1"/>
      </xdr:nvSpPr>
      <xdr:spPr>
        <a:xfrm>
          <a:off x="1" y="628650"/>
          <a:ext cx="10229850" cy="2886075"/>
        </a:xfrm>
        <a:prstGeom prst="rect">
          <a:avLst/>
        </a:prstGeom>
        <a:noFill/>
        <a:ln>
          <a:noFill/>
        </a:ln>
      </xdr:spPr>
      <xdr:txBody>
        <a:bodyPr spcFirstLastPara="1" wrap="square" lIns="91425" tIns="91425" rIns="91425" bIns="91425" anchor="ctr" anchorCtr="0">
          <a:no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lvl="0" indent="0" algn="l" rtl="0">
            <a:lnSpc>
              <a:spcPct val="115000"/>
            </a:lnSpc>
            <a:spcBef>
              <a:spcPts val="0"/>
            </a:spcBef>
            <a:spcAft>
              <a:spcPts val="0"/>
            </a:spcAft>
            <a:buClr>
              <a:schemeClr val="dk1"/>
            </a:buClr>
            <a:buSzPts val="1100"/>
            <a:buFont typeface="Arial"/>
            <a:buNone/>
          </a:pPr>
          <a:r>
            <a:rPr lang="id" sz="1200">
              <a:latin typeface="Roboto"/>
              <a:ea typeface="Roboto"/>
              <a:cs typeface="Roboto"/>
              <a:sym typeface="Roboto"/>
            </a:rPr>
            <a:t>Kamu adalah seorang Tax Consultant di MAB Consulting, sebuah konsultan pajak terbaik &amp; profesional di Surabaya. Saat ini kamu sedang menangani salah satu klien kamu yaitu Bpk. Hendra dan istrinya. Beliau merupakan direktur Bank Mandiri yang memiliki istri dan 3 anak. Untuk kewajiban perpajakannya, Bpk. Hendra dan istri menghendaki hanya mempunyai satu NPWP. </a:t>
          </a:r>
          <a:endParaRPr sz="1200">
            <a:latin typeface="Roboto"/>
            <a:ea typeface="Roboto"/>
            <a:cs typeface="Roboto"/>
            <a:sym typeface="Roboto"/>
          </a:endParaRPr>
        </a:p>
        <a:p>
          <a:pPr marL="0" lvl="0" indent="0" algn="l" rtl="0">
            <a:lnSpc>
              <a:spcPct val="115000"/>
            </a:lnSpc>
            <a:spcBef>
              <a:spcPts val="0"/>
            </a:spcBef>
            <a:spcAft>
              <a:spcPts val="0"/>
            </a:spcAft>
            <a:buClr>
              <a:schemeClr val="dk1"/>
            </a:buClr>
            <a:buSzPts val="1100"/>
            <a:buFont typeface="Arial"/>
            <a:buNone/>
          </a:pPr>
          <a:endParaRPr sz="1200">
            <a:latin typeface="Roboto"/>
            <a:ea typeface="Roboto"/>
            <a:cs typeface="Roboto"/>
            <a:sym typeface="Roboto"/>
          </a:endParaRPr>
        </a:p>
        <a:p>
          <a:pPr marL="0" lvl="0" indent="0" algn="l" rtl="0">
            <a:lnSpc>
              <a:spcPct val="115000"/>
            </a:lnSpc>
            <a:spcBef>
              <a:spcPts val="0"/>
            </a:spcBef>
            <a:spcAft>
              <a:spcPts val="0"/>
            </a:spcAft>
            <a:buClr>
              <a:schemeClr val="dk1"/>
            </a:buClr>
            <a:buSzPts val="1100"/>
            <a:buFont typeface="Arial"/>
            <a:buNone/>
          </a:pPr>
          <a:r>
            <a:rPr lang="id" sz="1200">
              <a:latin typeface="Roboto"/>
              <a:ea typeface="Roboto"/>
              <a:cs typeface="Roboto"/>
              <a:sym typeface="Roboto"/>
            </a:rPr>
            <a:t>Berikut rincian bukti potong yang diterima oleh Bpk. Hendra dan istri:</a:t>
          </a:r>
          <a:endParaRPr sz="1200">
            <a:latin typeface="Roboto"/>
            <a:ea typeface="Roboto"/>
            <a:cs typeface="Roboto"/>
            <a:sym typeface="Roboto"/>
          </a:endParaRPr>
        </a:p>
        <a:p>
          <a:pPr marL="179999" lvl="0" indent="-171450" algn="l" rtl="0">
            <a:lnSpc>
              <a:spcPct val="115000"/>
            </a:lnSpc>
            <a:spcBef>
              <a:spcPts val="0"/>
            </a:spcBef>
            <a:spcAft>
              <a:spcPts val="0"/>
            </a:spcAft>
            <a:buSzPts val="1200"/>
            <a:buFont typeface="Roboto"/>
            <a:buChar char="●"/>
          </a:pPr>
          <a:r>
            <a:rPr lang="id" sz="1200">
              <a:latin typeface="Roboto"/>
              <a:ea typeface="Roboto"/>
              <a:cs typeface="Roboto"/>
              <a:sym typeface="Roboto"/>
            </a:rPr>
            <a:t>Bpk. Hendra bekerja di Bank Mandiri dengan penghasilan netto selama satu tahun sebesar Rp 480.000.000, pajak yang telah dipotong oleh perusahaan sebesar 54.000.000</a:t>
          </a:r>
          <a:endParaRPr sz="1200">
            <a:latin typeface="Roboto"/>
            <a:ea typeface="Roboto"/>
            <a:cs typeface="Roboto"/>
            <a:sym typeface="Roboto"/>
          </a:endParaRPr>
        </a:p>
        <a:p>
          <a:pPr marL="179999" lvl="0" indent="-171450" algn="l" rtl="0">
            <a:lnSpc>
              <a:spcPct val="115000"/>
            </a:lnSpc>
            <a:spcBef>
              <a:spcPts val="0"/>
            </a:spcBef>
            <a:spcAft>
              <a:spcPts val="0"/>
            </a:spcAft>
            <a:buSzPts val="1200"/>
            <a:buFont typeface="Roboto"/>
            <a:buChar char="●"/>
          </a:pPr>
          <a:r>
            <a:rPr lang="id" sz="1200">
              <a:latin typeface="Roboto"/>
              <a:ea typeface="Roboto"/>
              <a:cs typeface="Roboto"/>
              <a:sym typeface="Roboto"/>
            </a:rPr>
            <a:t>Istri Bpk. Hendra bekerja di Clarice Beauty Clinic dengan penghasilan netto selama satu tahun sebesar Rp 60.000.000, pajak yang telah dipotong oleh perusahaan sebesar Rp 250.000</a:t>
          </a:r>
          <a:endParaRPr sz="1200">
            <a:latin typeface="Roboto"/>
            <a:ea typeface="Roboto"/>
            <a:cs typeface="Roboto"/>
            <a:sym typeface="Roboto"/>
          </a:endParaRPr>
        </a:p>
        <a:p>
          <a:pPr marL="0" lvl="0" indent="0" algn="l" rtl="0">
            <a:lnSpc>
              <a:spcPct val="115000"/>
            </a:lnSpc>
            <a:spcBef>
              <a:spcPts val="0"/>
            </a:spcBef>
            <a:spcAft>
              <a:spcPts val="0"/>
            </a:spcAft>
            <a:buClr>
              <a:schemeClr val="dk1"/>
            </a:buClr>
            <a:buSzPts val="1100"/>
            <a:buFont typeface="Arial"/>
            <a:buNone/>
          </a:pPr>
          <a:endParaRPr sz="1200">
            <a:latin typeface="Roboto"/>
            <a:ea typeface="Roboto"/>
            <a:cs typeface="Roboto"/>
            <a:sym typeface="Roboto"/>
          </a:endParaRPr>
        </a:p>
        <a:p>
          <a:pPr marL="0" lvl="0" indent="0" algn="l" rtl="0">
            <a:lnSpc>
              <a:spcPct val="115000"/>
            </a:lnSpc>
            <a:spcBef>
              <a:spcPts val="0"/>
            </a:spcBef>
            <a:spcAft>
              <a:spcPts val="0"/>
            </a:spcAft>
            <a:buClr>
              <a:schemeClr val="dk1"/>
            </a:buClr>
            <a:buSzPts val="1100"/>
            <a:buFont typeface="Arial"/>
            <a:buNone/>
          </a:pPr>
          <a:r>
            <a:rPr lang="id" sz="1200" b="1">
              <a:latin typeface="Roboto"/>
              <a:ea typeface="Roboto"/>
              <a:cs typeface="Roboto"/>
              <a:sym typeface="Roboto"/>
            </a:rPr>
            <a:t>Sebagai seorang Tax Consultant, kamu harus membantu klien tersebut untuk mengetahui kewajiban PPh akhir tahun yang wajib dibayar. Buatlah perhitungan di Google Sheet.</a:t>
          </a:r>
          <a:endParaRPr sz="1200" b="1">
            <a:latin typeface="Roboto"/>
            <a:ea typeface="Roboto"/>
            <a:cs typeface="Roboto"/>
            <a:sym typeface="Roboto"/>
          </a:endParaRPr>
        </a:p>
      </xdr:txBody>
    </xdr:sp>
    <xdr:clientData/>
  </xdr:twoCellAnchor>
  <xdr:twoCellAnchor>
    <xdr:from>
      <xdr:col>0</xdr:col>
      <xdr:colOff>57150</xdr:colOff>
      <xdr:row>0</xdr:row>
      <xdr:rowOff>142875</xdr:rowOff>
    </xdr:from>
    <xdr:to>
      <xdr:col>5</xdr:col>
      <xdr:colOff>457200</xdr:colOff>
      <xdr:row>3</xdr:row>
      <xdr:rowOff>61275</xdr:rowOff>
    </xdr:to>
    <xdr:sp macro="" textlink="">
      <xdr:nvSpPr>
        <xdr:cNvPr id="5" name="Google Shape;85;p15">
          <a:extLst>
            <a:ext uri="{FF2B5EF4-FFF2-40B4-BE49-F238E27FC236}">
              <a16:creationId xmlns:a16="http://schemas.microsoft.com/office/drawing/2014/main" id="{F7A5C230-2965-5620-AB72-C6CB5C7D5CF3}"/>
            </a:ext>
          </a:extLst>
        </xdr:cNvPr>
        <xdr:cNvSpPr txBox="1"/>
      </xdr:nvSpPr>
      <xdr:spPr>
        <a:xfrm>
          <a:off x="57150" y="142875"/>
          <a:ext cx="3448050" cy="489900"/>
        </a:xfrm>
        <a:prstGeom prst="rect">
          <a:avLst/>
        </a:prstGeom>
        <a:noFill/>
        <a:ln>
          <a:noFill/>
        </a:ln>
      </xdr:spPr>
      <xdr:txBody>
        <a:bodyPr spcFirstLastPara="1" wrap="square" lIns="0" tIns="12700" rIns="0" bIns="0" anchor="t" anchorCtr="0">
          <a:sp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12700" lvl="0" indent="0" algn="l" rtl="0">
            <a:spcBef>
              <a:spcPts val="0"/>
            </a:spcBef>
            <a:spcAft>
              <a:spcPts val="0"/>
            </a:spcAft>
            <a:buClr>
              <a:schemeClr val="dk1"/>
            </a:buClr>
            <a:buSzPts val="1100"/>
            <a:buFont typeface="Arial"/>
            <a:buNone/>
          </a:pPr>
          <a:r>
            <a:rPr lang="id" sz="3100" b="1">
              <a:solidFill>
                <a:schemeClr val="tx1"/>
              </a:solidFill>
              <a:latin typeface="Roboto"/>
              <a:ea typeface="Roboto"/>
              <a:cs typeface="Roboto"/>
              <a:sym typeface="Roboto"/>
            </a:rPr>
            <a:t>PPh Orang Pribadi</a:t>
          </a:r>
          <a:endParaRPr sz="3100" b="1">
            <a:solidFill>
              <a:schemeClr val="tx1"/>
            </a:solidFill>
            <a:latin typeface="Roboto"/>
            <a:ea typeface="Roboto"/>
            <a:cs typeface="Roboto"/>
            <a:sym typeface="Roboto"/>
          </a:endParaRPr>
        </a:p>
      </xdr:txBody>
    </xdr:sp>
    <xdr:clientData/>
  </xdr:twoCellAnchor>
  <xdr:twoCellAnchor>
    <xdr:from>
      <xdr:col>0</xdr:col>
      <xdr:colOff>0</xdr:colOff>
      <xdr:row>20</xdr:row>
      <xdr:rowOff>0</xdr:rowOff>
    </xdr:from>
    <xdr:to>
      <xdr:col>5</xdr:col>
      <xdr:colOff>225450</xdr:colOff>
      <xdr:row>22</xdr:row>
      <xdr:rowOff>1221</xdr:rowOff>
    </xdr:to>
    <xdr:sp macro="" textlink="">
      <xdr:nvSpPr>
        <xdr:cNvPr id="7" name="Google Shape;107;p16">
          <a:extLst>
            <a:ext uri="{FF2B5EF4-FFF2-40B4-BE49-F238E27FC236}">
              <a16:creationId xmlns:a16="http://schemas.microsoft.com/office/drawing/2014/main" id="{0C7081F1-46BF-D84E-3B56-583DB1D4A3FF}"/>
            </a:ext>
          </a:extLst>
        </xdr:cNvPr>
        <xdr:cNvSpPr txBox="1"/>
      </xdr:nvSpPr>
      <xdr:spPr>
        <a:xfrm>
          <a:off x="0" y="3810000"/>
          <a:ext cx="7216800" cy="382221"/>
        </a:xfrm>
        <a:prstGeom prst="rect">
          <a:avLst/>
        </a:prstGeom>
        <a:noFill/>
        <a:ln>
          <a:noFill/>
        </a:ln>
      </xdr:spPr>
      <xdr:txBody>
        <a:bodyPr spcFirstLastPara="1" wrap="square" lIns="0" tIns="12700" rIns="0" bIns="0" anchor="t" anchorCtr="0">
          <a:sp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12700" lvl="0" indent="0" algn="l" rtl="0">
            <a:spcBef>
              <a:spcPts val="0"/>
            </a:spcBef>
            <a:spcAft>
              <a:spcPts val="0"/>
            </a:spcAft>
            <a:buClr>
              <a:schemeClr val="dk1"/>
            </a:buClr>
            <a:buSzPts val="1100"/>
            <a:buFont typeface="Arial"/>
            <a:buNone/>
          </a:pPr>
          <a:r>
            <a:rPr lang="id" sz="2400" b="1">
              <a:solidFill>
                <a:schemeClr val="tx1"/>
              </a:solidFill>
              <a:latin typeface="Roboto"/>
              <a:ea typeface="Roboto"/>
              <a:cs typeface="Roboto"/>
              <a:sym typeface="Roboto"/>
            </a:rPr>
            <a:t>Tarif Efektif Rata-rata (TER)</a:t>
          </a:r>
          <a:endParaRPr sz="2400" b="1">
            <a:solidFill>
              <a:schemeClr val="tx1"/>
            </a:solidFill>
            <a:latin typeface="Roboto"/>
            <a:ea typeface="Roboto"/>
            <a:cs typeface="Roboto"/>
            <a:sym typeface="Roboto"/>
          </a:endParaRPr>
        </a:p>
      </xdr:txBody>
    </xdr:sp>
    <xdr:clientData/>
  </xdr:twoCellAnchor>
</xdr:wsDr>
</file>

<file path=xl/drawings/drawing30.xml><?xml version="1.0" encoding="utf-8"?>
<xdr:wsDr xmlns:xdr="http://schemas.openxmlformats.org/drawingml/2006/spreadsheetDrawing" xmlns:a="http://schemas.openxmlformats.org/drawingml/2006/main">
  <xdr:twoCellAnchor>
    <xdr:from>
      <xdr:col>0</xdr:col>
      <xdr:colOff>0</xdr:colOff>
      <xdr:row>3</xdr:row>
      <xdr:rowOff>161925</xdr:rowOff>
    </xdr:from>
    <xdr:to>
      <xdr:col>4</xdr:col>
      <xdr:colOff>1390650</xdr:colOff>
      <xdr:row>17</xdr:row>
      <xdr:rowOff>99825</xdr:rowOff>
    </xdr:to>
    <xdr:sp macro="" textlink="">
      <xdr:nvSpPr>
        <xdr:cNvPr id="3" name="Google Shape;87;p15">
          <a:extLst>
            <a:ext uri="{FF2B5EF4-FFF2-40B4-BE49-F238E27FC236}">
              <a16:creationId xmlns:a16="http://schemas.microsoft.com/office/drawing/2014/main" id="{154AAFA9-6313-5AA1-127A-C4E1E16160CC}"/>
            </a:ext>
          </a:extLst>
        </xdr:cNvPr>
        <xdr:cNvSpPr txBox="1"/>
      </xdr:nvSpPr>
      <xdr:spPr>
        <a:xfrm>
          <a:off x="0" y="733425"/>
          <a:ext cx="7639050" cy="2604900"/>
        </a:xfrm>
        <a:prstGeom prst="rect">
          <a:avLst/>
        </a:prstGeom>
        <a:solidFill>
          <a:schemeClr val="bg2">
            <a:lumMod val="90000"/>
          </a:schemeClr>
        </a:solidFill>
        <a:ln>
          <a:noFill/>
        </a:ln>
      </xdr:spPr>
      <xdr:txBody>
        <a:bodyPr spcFirstLastPara="1" wrap="square" lIns="91425" tIns="91425" rIns="91425" bIns="91425" anchor="ctr" anchorCtr="0">
          <a:no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lvl="0" indent="0" algn="l" rtl="0">
            <a:lnSpc>
              <a:spcPct val="115000"/>
            </a:lnSpc>
            <a:spcBef>
              <a:spcPts val="0"/>
            </a:spcBef>
            <a:spcAft>
              <a:spcPts val="0"/>
            </a:spcAft>
            <a:buNone/>
          </a:pPr>
          <a:r>
            <a:rPr lang="id" sz="1200">
              <a:latin typeface="Roboto"/>
              <a:ea typeface="Roboto"/>
              <a:cs typeface="Roboto"/>
              <a:sym typeface="Roboto"/>
            </a:rPr>
            <a:t>Kamu adalah seorang akuntan manajemen di Aerostreet, sebuah brand sepatu lokal asal Jawa Tengah yang berhasil mendunia. Saat ini Aerostreet juga meluncurkan produk baru berupa totebag kanvas.</a:t>
          </a:r>
          <a:endParaRPr sz="1200">
            <a:latin typeface="Roboto"/>
            <a:ea typeface="Roboto"/>
            <a:cs typeface="Roboto"/>
            <a:sym typeface="Roboto"/>
          </a:endParaRPr>
        </a:p>
        <a:p>
          <a:pPr marL="0" lvl="0" indent="0" algn="l" rtl="0">
            <a:lnSpc>
              <a:spcPct val="115000"/>
            </a:lnSpc>
            <a:spcBef>
              <a:spcPts val="0"/>
            </a:spcBef>
            <a:spcAft>
              <a:spcPts val="0"/>
            </a:spcAft>
            <a:buNone/>
          </a:pPr>
          <a:endParaRPr sz="1200">
            <a:latin typeface="Roboto"/>
            <a:ea typeface="Roboto"/>
            <a:cs typeface="Roboto"/>
            <a:sym typeface="Roboto"/>
          </a:endParaRPr>
        </a:p>
        <a:p>
          <a:pPr marL="0" lvl="0" indent="0" algn="l" rtl="0">
            <a:lnSpc>
              <a:spcPct val="115000"/>
            </a:lnSpc>
            <a:spcBef>
              <a:spcPts val="0"/>
            </a:spcBef>
            <a:spcAft>
              <a:spcPts val="0"/>
            </a:spcAft>
            <a:buNone/>
          </a:pPr>
          <a:r>
            <a:rPr lang="id" sz="1200">
              <a:latin typeface="Roboto"/>
              <a:ea typeface="Roboto"/>
              <a:cs typeface="Roboto"/>
              <a:sym typeface="Roboto"/>
            </a:rPr>
            <a:t>Head of finance dari perusahaan ini memberikan kamu sebuah data proyeksi laba rugi perusahaan pada tahun 2024. Kamu diminta untuk mengasumsikan jika perusahaan berhasil menjual 100 unit produk dengan harga per produknya Rp 20.000.</a:t>
          </a:r>
          <a:endParaRPr sz="1200">
            <a:latin typeface="Roboto"/>
            <a:ea typeface="Roboto"/>
            <a:cs typeface="Roboto"/>
            <a:sym typeface="Roboto"/>
          </a:endParaRPr>
        </a:p>
        <a:p>
          <a:pPr marL="0" lvl="0" indent="0" algn="l" rtl="0">
            <a:lnSpc>
              <a:spcPct val="115000"/>
            </a:lnSpc>
            <a:spcBef>
              <a:spcPts val="0"/>
            </a:spcBef>
            <a:spcAft>
              <a:spcPts val="0"/>
            </a:spcAft>
            <a:buNone/>
          </a:pPr>
          <a:endParaRPr sz="1200">
            <a:latin typeface="Roboto"/>
            <a:ea typeface="Roboto"/>
            <a:cs typeface="Roboto"/>
            <a:sym typeface="Roboto"/>
          </a:endParaRPr>
        </a:p>
        <a:p>
          <a:pPr marL="0" lvl="0" indent="0" algn="l" rtl="0">
            <a:lnSpc>
              <a:spcPct val="115000"/>
            </a:lnSpc>
            <a:spcBef>
              <a:spcPts val="0"/>
            </a:spcBef>
            <a:spcAft>
              <a:spcPts val="0"/>
            </a:spcAft>
            <a:buNone/>
          </a:pPr>
          <a:r>
            <a:rPr lang="id" sz="1200">
              <a:latin typeface="Roboto"/>
              <a:ea typeface="Roboto"/>
              <a:cs typeface="Roboto"/>
              <a:sym typeface="Roboto"/>
            </a:rPr>
            <a:t>Menurut kamu jika perusahaan menghendaki laba sebelum pajak Rp 3.000.000, berapa jumlah unit yang harus terjual? Kemudian, jika asumsi tarif pajak 25% dan laba setelah pajak yang diinginkan sebesar Rp 2.500.000 maka berapakah laba sebelum pajak?</a:t>
          </a:r>
          <a:endParaRPr sz="1200">
            <a:latin typeface="Roboto"/>
            <a:ea typeface="Roboto"/>
            <a:cs typeface="Roboto"/>
            <a:sym typeface="Roboto"/>
          </a:endParaRPr>
        </a:p>
      </xdr:txBody>
    </xdr:sp>
    <xdr:clientData/>
  </xdr:twoCellAnchor>
  <xdr:twoCellAnchor>
    <xdr:from>
      <xdr:col>0</xdr:col>
      <xdr:colOff>123826</xdr:colOff>
      <xdr:row>1</xdr:row>
      <xdr:rowOff>9525</xdr:rowOff>
    </xdr:from>
    <xdr:to>
      <xdr:col>3</xdr:col>
      <xdr:colOff>228601</xdr:colOff>
      <xdr:row>3</xdr:row>
      <xdr:rowOff>72301</xdr:rowOff>
    </xdr:to>
    <xdr:sp macro="" textlink="">
      <xdr:nvSpPr>
        <xdr:cNvPr id="5" name="Google Shape;86;p15">
          <a:extLst>
            <a:ext uri="{FF2B5EF4-FFF2-40B4-BE49-F238E27FC236}">
              <a16:creationId xmlns:a16="http://schemas.microsoft.com/office/drawing/2014/main" id="{ABA3B774-E8D8-A1C6-FB6C-D82932E1C961}"/>
            </a:ext>
          </a:extLst>
        </xdr:cNvPr>
        <xdr:cNvSpPr txBox="1"/>
      </xdr:nvSpPr>
      <xdr:spPr>
        <a:xfrm>
          <a:off x="123826" y="200025"/>
          <a:ext cx="4876800" cy="443776"/>
        </a:xfrm>
        <a:prstGeom prst="rect">
          <a:avLst/>
        </a:prstGeom>
        <a:solidFill>
          <a:schemeClr val="bg2">
            <a:lumMod val="90000"/>
          </a:schemeClr>
        </a:solidFill>
        <a:ln>
          <a:noFill/>
        </a:ln>
      </xdr:spPr>
      <xdr:txBody>
        <a:bodyPr spcFirstLastPara="1" wrap="square" lIns="0" tIns="12700" rIns="0" bIns="0" anchor="t" anchorCtr="0">
          <a:sp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12700" marR="0" lvl="0" indent="0" algn="l" rtl="0">
            <a:lnSpc>
              <a:spcPct val="100000"/>
            </a:lnSpc>
            <a:spcBef>
              <a:spcPts val="0"/>
            </a:spcBef>
            <a:spcAft>
              <a:spcPts val="0"/>
            </a:spcAft>
            <a:buClr>
              <a:srgbClr val="000000"/>
            </a:buClr>
            <a:buSzPts val="3600"/>
            <a:buFont typeface="Arial"/>
            <a:buNone/>
          </a:pPr>
          <a:r>
            <a:rPr lang="id" sz="2800" b="1">
              <a:solidFill>
                <a:schemeClr val="tx1"/>
              </a:solidFill>
              <a:latin typeface="Roboto"/>
              <a:ea typeface="Roboto"/>
              <a:cs typeface="Roboto"/>
              <a:sym typeface="Roboto"/>
            </a:rPr>
            <a:t>Analisis Biaya Volume Laba</a:t>
          </a:r>
          <a:endParaRPr sz="2800" b="1">
            <a:solidFill>
              <a:schemeClr val="tx1"/>
            </a:solidFill>
            <a:latin typeface="Roboto"/>
            <a:ea typeface="Roboto"/>
            <a:cs typeface="Roboto"/>
            <a:sym typeface="Roboto"/>
          </a:endParaRPr>
        </a:p>
      </xdr:txBody>
    </xdr:sp>
    <xdr:clientData/>
  </xdr:twoCellAnchor>
  <xdr:twoCellAnchor>
    <xdr:from>
      <xdr:col>0</xdr:col>
      <xdr:colOff>0</xdr:colOff>
      <xdr:row>18</xdr:row>
      <xdr:rowOff>0</xdr:rowOff>
    </xdr:from>
    <xdr:to>
      <xdr:col>4</xdr:col>
      <xdr:colOff>1047750</xdr:colOff>
      <xdr:row>21</xdr:row>
      <xdr:rowOff>125700</xdr:rowOff>
    </xdr:to>
    <xdr:sp macro="" textlink="">
      <xdr:nvSpPr>
        <xdr:cNvPr id="7" name="Google Shape;109;p16">
          <a:extLst>
            <a:ext uri="{FF2B5EF4-FFF2-40B4-BE49-F238E27FC236}">
              <a16:creationId xmlns:a16="http://schemas.microsoft.com/office/drawing/2014/main" id="{FCCFCE9C-E759-FA4E-2F40-AAA90D9736E5}"/>
            </a:ext>
          </a:extLst>
        </xdr:cNvPr>
        <xdr:cNvSpPr txBox="1"/>
      </xdr:nvSpPr>
      <xdr:spPr>
        <a:xfrm>
          <a:off x="0" y="3429000"/>
          <a:ext cx="6953250" cy="697200"/>
        </a:xfrm>
        <a:prstGeom prst="rect">
          <a:avLst/>
        </a:prstGeom>
        <a:noFill/>
        <a:ln>
          <a:noFill/>
        </a:ln>
      </xdr:spPr>
      <xdr:txBody>
        <a:bodyPr spcFirstLastPara="1" wrap="square" lIns="91425" tIns="91425" rIns="91425" bIns="91425" anchor="ctr" anchorCtr="0">
          <a:no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lvl="0" indent="0" algn="l" rtl="0">
            <a:lnSpc>
              <a:spcPct val="115000"/>
            </a:lnSpc>
            <a:spcBef>
              <a:spcPts val="0"/>
            </a:spcBef>
            <a:spcAft>
              <a:spcPts val="0"/>
            </a:spcAft>
            <a:buNone/>
          </a:pPr>
          <a:r>
            <a:rPr lang="id" sz="1200">
              <a:latin typeface="Roboto"/>
              <a:ea typeface="Roboto"/>
              <a:cs typeface="Roboto"/>
              <a:sym typeface="Roboto"/>
            </a:rPr>
            <a:t>Berikut adalah data proyeksi laba rugi Aerostreet tahun 2024. Asumsikan bahwa Aerostreet berhasil menjual 100 unit produk dengan harga per produknya Rp 20.000.</a:t>
          </a:r>
          <a:endParaRPr sz="1200">
            <a:latin typeface="Roboto"/>
            <a:ea typeface="Roboto"/>
            <a:cs typeface="Roboto"/>
            <a:sym typeface="Roboto"/>
          </a:endParaRPr>
        </a:p>
      </xdr:txBody>
    </xdr:sp>
    <xdr:clientData/>
  </xdr:twoCellAnchor>
  <xdr:oneCellAnchor>
    <xdr:from>
      <xdr:col>0</xdr:col>
      <xdr:colOff>0</xdr:colOff>
      <xdr:row>35</xdr:row>
      <xdr:rowOff>171450</xdr:rowOff>
    </xdr:from>
    <xdr:ext cx="6711389" cy="468077"/>
    <xdr:sp macro="" textlink="">
      <xdr:nvSpPr>
        <xdr:cNvPr id="8" name="TextBox 7">
          <a:extLst>
            <a:ext uri="{FF2B5EF4-FFF2-40B4-BE49-F238E27FC236}">
              <a16:creationId xmlns:a16="http://schemas.microsoft.com/office/drawing/2014/main" id="{8119EC8E-EDB3-91C3-5E6F-C5552E1C2625}"/>
            </a:ext>
          </a:extLst>
        </xdr:cNvPr>
        <xdr:cNvSpPr txBox="1"/>
      </xdr:nvSpPr>
      <xdr:spPr>
        <a:xfrm>
          <a:off x="0" y="7562850"/>
          <a:ext cx="6711389" cy="468077"/>
        </a:xfrm>
        <a:prstGeom prst="rect">
          <a:avLst/>
        </a:prstGeom>
        <a:solidFill>
          <a:schemeClr val="bg2">
            <a:lumMod val="9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marL="0" marR="0" lvl="0" indent="0" defTabSz="914400" rtl="0" eaLnBrk="1" fontAlgn="auto" latinLnBrk="0" hangingPunct="1">
            <a:lnSpc>
              <a:spcPct val="100000"/>
            </a:lnSpc>
            <a:spcBef>
              <a:spcPts val="0"/>
            </a:spcBef>
            <a:spcAft>
              <a:spcPts val="0"/>
            </a:spcAft>
            <a:buClrTx/>
            <a:buSzTx/>
            <a:buFontTx/>
            <a:buNone/>
            <a:tabLst/>
            <a:defRPr/>
          </a:pPr>
          <a:r>
            <a:rPr lang="en-US" sz="1200" b="0" i="0">
              <a:solidFill>
                <a:schemeClr val="tx1"/>
              </a:solidFill>
              <a:effectLst/>
              <a:latin typeface="+mn-lt"/>
              <a:ea typeface="+mn-ea"/>
              <a:cs typeface="+mn-cs"/>
            </a:rPr>
            <a:t>Jika Perusahaan menghedaki laba sebelum pajak Rp 3.000.000 bearti Perusahaan perlu menjual 239 unit</a:t>
          </a:r>
          <a:endParaRPr lang="en-ID" sz="1200">
            <a:effectLst/>
          </a:endParaRPr>
        </a:p>
        <a:p>
          <a:endParaRPr lang="en-ID" sz="1200"/>
        </a:p>
      </xdr:txBody>
    </xdr:sp>
    <xdr:clientData/>
  </xdr:oneCellAnchor>
  <xdr:oneCellAnchor>
    <xdr:from>
      <xdr:col>0</xdr:col>
      <xdr:colOff>9525</xdr:colOff>
      <xdr:row>47</xdr:row>
      <xdr:rowOff>19051</xdr:rowOff>
    </xdr:from>
    <xdr:ext cx="6724650" cy="419100"/>
    <xdr:sp macro="" textlink="">
      <xdr:nvSpPr>
        <xdr:cNvPr id="10" name="TextBox 9">
          <a:extLst>
            <a:ext uri="{FF2B5EF4-FFF2-40B4-BE49-F238E27FC236}">
              <a16:creationId xmlns:a16="http://schemas.microsoft.com/office/drawing/2014/main" id="{F1F3F977-4E13-49E9-928E-BD5DB36AF9CD}"/>
            </a:ext>
          </a:extLst>
        </xdr:cNvPr>
        <xdr:cNvSpPr txBox="1"/>
      </xdr:nvSpPr>
      <xdr:spPr>
        <a:xfrm>
          <a:off x="9525" y="9753601"/>
          <a:ext cx="6724650" cy="419100"/>
        </a:xfrm>
        <a:prstGeom prst="rect">
          <a:avLst/>
        </a:prstGeom>
        <a:solidFill>
          <a:schemeClr val="bg2">
            <a:lumMod val="9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marR="0" lvl="0" indent="0" defTabSz="914400" rtl="0" eaLnBrk="1" fontAlgn="auto" latinLnBrk="0" hangingPunct="1">
            <a:lnSpc>
              <a:spcPct val="100000"/>
            </a:lnSpc>
            <a:spcBef>
              <a:spcPts val="0"/>
            </a:spcBef>
            <a:spcAft>
              <a:spcPts val="0"/>
            </a:spcAft>
            <a:buClrTx/>
            <a:buSzTx/>
            <a:buFontTx/>
            <a:buNone/>
            <a:tabLst/>
            <a:defRPr/>
          </a:pPr>
          <a:r>
            <a:rPr lang="en-US" sz="1200" b="0" i="0">
              <a:solidFill>
                <a:schemeClr val="tx1"/>
              </a:solidFill>
              <a:effectLst/>
              <a:latin typeface="+mn-lt"/>
              <a:ea typeface="+mn-ea"/>
              <a:cs typeface="+mn-cs"/>
            </a:rPr>
            <a:t>Jika Perusahaan menjual 265 unit, </a:t>
          </a:r>
          <a:r>
            <a:rPr lang="en-US" sz="1200" b="0" i="0" baseline="0">
              <a:solidFill>
                <a:schemeClr val="tx1"/>
              </a:solidFill>
              <a:effectLst/>
              <a:latin typeface="+mn-lt"/>
              <a:ea typeface="+mn-ea"/>
              <a:cs typeface="+mn-cs"/>
            </a:rPr>
            <a:t>maka Laba sebelum pajaknya Rp 3.433.334</a:t>
          </a:r>
        </a:p>
        <a:p>
          <a:pPr marL="0" marR="0" lvl="0" indent="0" defTabSz="914400" rtl="0" eaLnBrk="1" fontAlgn="auto" latinLnBrk="0" hangingPunct="1">
            <a:lnSpc>
              <a:spcPct val="100000"/>
            </a:lnSpc>
            <a:spcBef>
              <a:spcPts val="0"/>
            </a:spcBef>
            <a:spcAft>
              <a:spcPts val="0"/>
            </a:spcAft>
            <a:buClrTx/>
            <a:buSzTx/>
            <a:buFontTx/>
            <a:buNone/>
            <a:tabLst/>
            <a:defRPr/>
          </a:pPr>
          <a:endParaRPr lang="en-US" sz="1200" b="0" i="0" baseline="0">
            <a:solidFill>
              <a:schemeClr val="tx1"/>
            </a:solidFill>
            <a:effectLst/>
            <a:latin typeface="+mn-lt"/>
            <a:ea typeface="+mn-ea"/>
            <a:cs typeface="+mn-cs"/>
          </a:endParaRPr>
        </a:p>
        <a:p>
          <a:pPr marL="0" marR="0" lvl="0" indent="0" defTabSz="914400" rtl="0" eaLnBrk="1" fontAlgn="auto" latinLnBrk="0" hangingPunct="1">
            <a:lnSpc>
              <a:spcPct val="100000"/>
            </a:lnSpc>
            <a:spcBef>
              <a:spcPts val="0"/>
            </a:spcBef>
            <a:spcAft>
              <a:spcPts val="0"/>
            </a:spcAft>
            <a:buClrTx/>
            <a:buSzTx/>
            <a:buFontTx/>
            <a:buNone/>
            <a:tabLst/>
            <a:defRPr/>
          </a:pPr>
          <a:endParaRPr lang="en-ID" sz="1200">
            <a:effectLst/>
          </a:endParaRPr>
        </a:p>
        <a:p>
          <a:endParaRPr lang="en-ID" sz="1200"/>
        </a:p>
      </xdr:txBody>
    </xdr:sp>
    <xdr:clientData/>
  </xdr:oneCellAnchor>
</xdr:wsDr>
</file>

<file path=xl/drawings/drawing31.xml><?xml version="1.0" encoding="utf-8"?>
<xdr:wsDr xmlns:xdr="http://schemas.openxmlformats.org/drawingml/2006/spreadsheetDrawing" xmlns:a="http://schemas.openxmlformats.org/drawingml/2006/main">
  <xdr:twoCellAnchor>
    <xdr:from>
      <xdr:col>0</xdr:col>
      <xdr:colOff>0</xdr:colOff>
      <xdr:row>4</xdr:row>
      <xdr:rowOff>161925</xdr:rowOff>
    </xdr:from>
    <xdr:to>
      <xdr:col>8</xdr:col>
      <xdr:colOff>304800</xdr:colOff>
      <xdr:row>13</xdr:row>
      <xdr:rowOff>38100</xdr:rowOff>
    </xdr:to>
    <xdr:sp macro="" textlink="">
      <xdr:nvSpPr>
        <xdr:cNvPr id="3" name="Google Shape;85;p15">
          <a:extLst>
            <a:ext uri="{FF2B5EF4-FFF2-40B4-BE49-F238E27FC236}">
              <a16:creationId xmlns:a16="http://schemas.microsoft.com/office/drawing/2014/main" id="{CCCABE66-C397-6EE0-21B8-38544489C8C0}"/>
            </a:ext>
          </a:extLst>
        </xdr:cNvPr>
        <xdr:cNvSpPr txBox="1"/>
      </xdr:nvSpPr>
      <xdr:spPr>
        <a:xfrm>
          <a:off x="0" y="923925"/>
          <a:ext cx="5181600" cy="1590675"/>
        </a:xfrm>
        <a:prstGeom prst="rect">
          <a:avLst/>
        </a:prstGeom>
        <a:solidFill>
          <a:schemeClr val="bg2">
            <a:lumMod val="90000"/>
          </a:schemeClr>
        </a:solidFill>
        <a:ln>
          <a:noFill/>
        </a:ln>
      </xdr:spPr>
      <xdr:txBody>
        <a:bodyPr spcFirstLastPara="1" wrap="square" lIns="91425" tIns="91425" rIns="91425" bIns="91425" anchor="ctr" anchorCtr="0">
          <a:no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lvl="0" indent="0" algn="l" rtl="0">
            <a:lnSpc>
              <a:spcPct val="115000"/>
            </a:lnSpc>
            <a:spcBef>
              <a:spcPts val="0"/>
            </a:spcBef>
            <a:spcAft>
              <a:spcPts val="0"/>
            </a:spcAft>
            <a:buNone/>
          </a:pPr>
          <a:r>
            <a:rPr lang="id" sz="1100">
              <a:latin typeface="Roboto"/>
              <a:ea typeface="Roboto"/>
              <a:cs typeface="Roboto"/>
              <a:sym typeface="Roboto"/>
            </a:rPr>
            <a:t>Kamu adalah seorang akuntan manajemen di PT. Mayora Indah Tbk, salah satu perusahaan makanan dan minuman terkemuka di Indonesia.</a:t>
          </a:r>
          <a:endParaRPr sz="1100">
            <a:latin typeface="Roboto"/>
            <a:ea typeface="Roboto"/>
            <a:cs typeface="Roboto"/>
            <a:sym typeface="Roboto"/>
          </a:endParaRPr>
        </a:p>
        <a:p>
          <a:pPr marL="0" lvl="0" indent="0" algn="l" rtl="0">
            <a:lnSpc>
              <a:spcPct val="115000"/>
            </a:lnSpc>
            <a:spcBef>
              <a:spcPts val="0"/>
            </a:spcBef>
            <a:spcAft>
              <a:spcPts val="0"/>
            </a:spcAft>
            <a:buNone/>
          </a:pPr>
          <a:endParaRPr sz="1100">
            <a:latin typeface="Roboto"/>
            <a:ea typeface="Roboto"/>
            <a:cs typeface="Roboto"/>
            <a:sym typeface="Roboto"/>
          </a:endParaRPr>
        </a:p>
        <a:p>
          <a:pPr marL="0" lvl="0" indent="0" algn="l" rtl="0">
            <a:lnSpc>
              <a:spcPct val="115000"/>
            </a:lnSpc>
            <a:spcBef>
              <a:spcPts val="0"/>
            </a:spcBef>
            <a:spcAft>
              <a:spcPts val="0"/>
            </a:spcAft>
            <a:buNone/>
          </a:pPr>
          <a:r>
            <a:rPr lang="id" sz="1100">
              <a:latin typeface="Roboto"/>
              <a:ea typeface="Roboto"/>
              <a:cs typeface="Roboto"/>
              <a:sym typeface="Roboto"/>
            </a:rPr>
            <a:t>Pak Anton sebagai Head of Finance memberikan kamu sebuah informasi terkait biaya produksi dan kamu ditugaskan untuk menentukan harga jual produk dengan menggunakan metode total cost. Asumsikan bahwa laba ditentukan 25% dari total aktiva yang diharapkan adalah Rp 100.000.000.</a:t>
          </a:r>
          <a:endParaRPr sz="1100">
            <a:latin typeface="Roboto"/>
            <a:ea typeface="Roboto"/>
            <a:cs typeface="Roboto"/>
            <a:sym typeface="Roboto"/>
          </a:endParaRPr>
        </a:p>
      </xdr:txBody>
    </xdr:sp>
    <xdr:clientData/>
  </xdr:twoCellAnchor>
  <xdr:twoCellAnchor>
    <xdr:from>
      <xdr:col>0</xdr:col>
      <xdr:colOff>0</xdr:colOff>
      <xdr:row>1</xdr:row>
      <xdr:rowOff>0</xdr:rowOff>
    </xdr:from>
    <xdr:to>
      <xdr:col>3</xdr:col>
      <xdr:colOff>485775</xdr:colOff>
      <xdr:row>3</xdr:row>
      <xdr:rowOff>124331</xdr:rowOff>
    </xdr:to>
    <xdr:sp macro="" textlink="">
      <xdr:nvSpPr>
        <xdr:cNvPr id="5" name="Google Shape;86;p15">
          <a:extLst>
            <a:ext uri="{FF2B5EF4-FFF2-40B4-BE49-F238E27FC236}">
              <a16:creationId xmlns:a16="http://schemas.microsoft.com/office/drawing/2014/main" id="{62E70D32-D097-975F-AADE-509092B78483}"/>
            </a:ext>
          </a:extLst>
        </xdr:cNvPr>
        <xdr:cNvSpPr txBox="1"/>
      </xdr:nvSpPr>
      <xdr:spPr>
        <a:xfrm>
          <a:off x="0" y="190500"/>
          <a:ext cx="4305300" cy="505331"/>
        </a:xfrm>
        <a:prstGeom prst="rect">
          <a:avLst/>
        </a:prstGeom>
        <a:solidFill>
          <a:schemeClr val="bg2">
            <a:lumMod val="90000"/>
          </a:schemeClr>
        </a:solidFill>
        <a:ln>
          <a:noFill/>
        </a:ln>
      </xdr:spPr>
      <xdr:txBody>
        <a:bodyPr spcFirstLastPara="1" wrap="square" lIns="0" tIns="12700" rIns="0" bIns="0" anchor="t" anchorCtr="0">
          <a:sp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12700" marR="0" lvl="0" indent="0" algn="l" rtl="0">
            <a:lnSpc>
              <a:spcPct val="100000"/>
            </a:lnSpc>
            <a:spcBef>
              <a:spcPts val="0"/>
            </a:spcBef>
            <a:spcAft>
              <a:spcPts val="0"/>
            </a:spcAft>
            <a:buClr>
              <a:srgbClr val="000000"/>
            </a:buClr>
            <a:buSzPts val="3600"/>
            <a:buFont typeface="Arial"/>
            <a:buNone/>
          </a:pPr>
          <a:r>
            <a:rPr lang="id" sz="3200" b="1">
              <a:solidFill>
                <a:schemeClr val="tx1"/>
              </a:solidFill>
              <a:latin typeface="Roboto"/>
              <a:ea typeface="Roboto"/>
              <a:cs typeface="Roboto"/>
              <a:sym typeface="Roboto"/>
            </a:rPr>
            <a:t>Penentuan Harga Jual</a:t>
          </a:r>
          <a:endParaRPr sz="3200" b="1">
            <a:solidFill>
              <a:schemeClr val="tx1"/>
            </a:solidFill>
            <a:latin typeface="Roboto"/>
            <a:ea typeface="Roboto"/>
            <a:cs typeface="Roboto"/>
            <a:sym typeface="Roboto"/>
          </a:endParaRPr>
        </a:p>
      </xdr:txBody>
    </xdr:sp>
    <xdr:clientData/>
  </xdr:twoCellAnchor>
  <xdr:twoCellAnchor>
    <xdr:from>
      <xdr:col>0</xdr:col>
      <xdr:colOff>0</xdr:colOff>
      <xdr:row>41</xdr:row>
      <xdr:rowOff>1</xdr:rowOff>
    </xdr:from>
    <xdr:to>
      <xdr:col>10</xdr:col>
      <xdr:colOff>504825</xdr:colOff>
      <xdr:row>43</xdr:row>
      <xdr:rowOff>95250</xdr:rowOff>
    </xdr:to>
    <xdr:sp macro="" textlink="">
      <xdr:nvSpPr>
        <xdr:cNvPr id="4" name="Google Shape;134;p17">
          <a:extLst>
            <a:ext uri="{FF2B5EF4-FFF2-40B4-BE49-F238E27FC236}">
              <a16:creationId xmlns:a16="http://schemas.microsoft.com/office/drawing/2014/main" id="{8F3D0C9C-BBBC-6A23-1231-C72A61A0EAA7}"/>
            </a:ext>
          </a:extLst>
        </xdr:cNvPr>
        <xdr:cNvSpPr/>
      </xdr:nvSpPr>
      <xdr:spPr>
        <a:xfrm>
          <a:off x="0" y="8515351"/>
          <a:ext cx="8591550" cy="476249"/>
        </a:xfrm>
        <a:prstGeom prst="rect">
          <a:avLst/>
        </a:prstGeom>
        <a:solidFill>
          <a:schemeClr val="bg2">
            <a:lumMod val="90000"/>
          </a:schemeClr>
        </a:solidFill>
        <a:ln w="9525" cap="flat" cmpd="sng">
          <a:solidFill>
            <a:srgbClr val="EEEEEE"/>
          </a:solidFill>
          <a:prstDash val="solid"/>
          <a:round/>
          <a:headEnd type="none" w="sm" len="sm"/>
          <a:tailEnd type="none" w="sm" len="sm"/>
        </a:ln>
      </xdr:spPr>
      <xdr:txBody>
        <a:bodyPr spcFirstLastPara="1" wrap="square" lIns="91425" tIns="91425" rIns="91425" bIns="91425" anchor="t" anchorCtr="0">
          <a:no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lvl="0" indent="0" algn="l" rtl="0">
            <a:spcBef>
              <a:spcPts val="0"/>
            </a:spcBef>
            <a:spcAft>
              <a:spcPts val="0"/>
            </a:spcAft>
            <a:buNone/>
          </a:pPr>
          <a:r>
            <a:rPr lang="id" sz="1200" b="0">
              <a:solidFill>
                <a:schemeClr val="tx1"/>
              </a:solidFill>
              <a:latin typeface="Roboto"/>
              <a:ea typeface="Roboto"/>
              <a:cs typeface="Roboto"/>
              <a:sym typeface="Roboto"/>
            </a:rPr>
            <a:t>Analisis :</a:t>
          </a:r>
          <a:r>
            <a:rPr lang="en-US" sz="1200" b="0">
              <a:solidFill>
                <a:schemeClr val="tx1"/>
              </a:solidFill>
              <a:latin typeface="Roboto"/>
              <a:ea typeface="Roboto"/>
              <a:cs typeface="Roboto"/>
              <a:sym typeface="Roboto"/>
            </a:rPr>
            <a:t> Jika</a:t>
          </a:r>
          <a:r>
            <a:rPr lang="en-US" sz="1200" b="0" baseline="0">
              <a:solidFill>
                <a:schemeClr val="tx1"/>
              </a:solidFill>
              <a:latin typeface="Roboto"/>
              <a:ea typeface="Roboto"/>
              <a:cs typeface="Roboto"/>
              <a:sym typeface="Roboto"/>
            </a:rPr>
            <a:t> perusahaan menghedaki laba 25% dari total aktiva maka harga jual yang perlu diberlakukan adalah Rp 11.600</a:t>
          </a:r>
        </a:p>
        <a:p>
          <a:pPr marL="0" lvl="0" indent="0" algn="l" rtl="0">
            <a:spcBef>
              <a:spcPts val="0"/>
            </a:spcBef>
            <a:spcAft>
              <a:spcPts val="0"/>
            </a:spcAft>
            <a:buNone/>
          </a:pPr>
          <a:r>
            <a:rPr lang="en-US" sz="1200" b="0" baseline="0">
              <a:solidFill>
                <a:schemeClr val="tx1"/>
              </a:solidFill>
              <a:latin typeface="Roboto"/>
              <a:ea typeface="Roboto"/>
              <a:cs typeface="Roboto"/>
              <a:sym typeface="Roboto"/>
            </a:rPr>
            <a:t>dengan biaya perunit sebesar Rp 6.600.</a:t>
          </a:r>
          <a:endParaRPr sz="1200" b="0">
            <a:solidFill>
              <a:schemeClr val="tx1"/>
            </a:solidFill>
            <a:latin typeface="Roboto"/>
            <a:ea typeface="Roboto"/>
            <a:cs typeface="Roboto"/>
            <a:sym typeface="Roboto"/>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0.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45.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46.xml.rels><?xml version="1.0" encoding="UTF-8" standalone="yes"?>
<Relationships xmlns="http://schemas.openxmlformats.org/package/2006/relationships"><Relationship Id="rId1" Type="http://schemas.openxmlformats.org/officeDocument/2006/relationships/drawing" Target="../drawings/drawing3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5AF566-B2B8-491A-9CAD-A83CC355E63C}">
  <sheetPr codeName="Sheet1">
    <tabColor rgb="FF006666"/>
  </sheetPr>
  <dimension ref="A1:I26"/>
  <sheetViews>
    <sheetView workbookViewId="0">
      <selection activeCell="H9" sqref="H9"/>
    </sheetView>
  </sheetViews>
  <sheetFormatPr defaultRowHeight="15"/>
  <cols>
    <col min="1" max="1" width="14.85546875" bestFit="1" customWidth="1"/>
    <col min="2" max="2" width="78.28515625" bestFit="1" customWidth="1"/>
    <col min="5" max="5" width="14.85546875" bestFit="1" customWidth="1"/>
    <col min="6" max="6" width="31" customWidth="1"/>
    <col min="7" max="7" width="6.5703125" customWidth="1"/>
    <col min="8" max="9" width="19" bestFit="1" customWidth="1"/>
  </cols>
  <sheetData>
    <row r="1" spans="1:9" ht="21">
      <c r="A1" s="376" t="s">
        <v>229</v>
      </c>
      <c r="B1" s="376"/>
    </row>
    <row r="2" spans="1:9" ht="18.75">
      <c r="A2" s="55" t="s">
        <v>1</v>
      </c>
      <c r="B2" s="55" t="s">
        <v>0</v>
      </c>
      <c r="C2" s="9"/>
      <c r="D2" s="9"/>
      <c r="E2" s="375" t="s">
        <v>2</v>
      </c>
      <c r="F2" s="375"/>
      <c r="G2" s="375"/>
      <c r="H2" s="375"/>
      <c r="I2" s="375"/>
    </row>
    <row r="3" spans="1:9" ht="18.75">
      <c r="A3" s="10">
        <v>45292</v>
      </c>
      <c r="B3" s="11" t="s">
        <v>9</v>
      </c>
      <c r="C3" s="9"/>
      <c r="D3" s="9"/>
      <c r="E3" s="55" t="s">
        <v>1</v>
      </c>
      <c r="F3" s="55" t="s">
        <v>3</v>
      </c>
      <c r="G3" s="55" t="s">
        <v>6</v>
      </c>
      <c r="H3" s="55" t="s">
        <v>4</v>
      </c>
      <c r="I3" s="55" t="s">
        <v>5</v>
      </c>
    </row>
    <row r="4" spans="1:9" ht="18.75">
      <c r="A4" s="10">
        <v>45296</v>
      </c>
      <c r="B4" s="11" t="s">
        <v>10</v>
      </c>
      <c r="C4" s="9"/>
      <c r="D4" s="9"/>
      <c r="E4" s="10">
        <f>A3</f>
        <v>45292</v>
      </c>
      <c r="F4" s="11" t="s">
        <v>7</v>
      </c>
      <c r="G4" s="11"/>
      <c r="H4" s="12">
        <v>40000000</v>
      </c>
      <c r="I4" s="12"/>
    </row>
    <row r="5" spans="1:9" ht="18.75">
      <c r="A5" s="10">
        <v>45301</v>
      </c>
      <c r="B5" s="11" t="s">
        <v>11</v>
      </c>
      <c r="C5" s="9"/>
      <c r="D5" s="9"/>
      <c r="E5" s="11"/>
      <c r="F5" s="11" t="s">
        <v>8</v>
      </c>
      <c r="G5" s="11"/>
      <c r="H5" s="12"/>
      <c r="I5" s="12">
        <f>H4</f>
        <v>40000000</v>
      </c>
    </row>
    <row r="6" spans="1:9" ht="18.75">
      <c r="A6" s="10">
        <v>45306</v>
      </c>
      <c r="B6" s="11" t="s">
        <v>12</v>
      </c>
      <c r="C6" s="9"/>
      <c r="D6" s="9"/>
      <c r="E6" s="10">
        <f>A4</f>
        <v>45296</v>
      </c>
      <c r="F6" s="11" t="s">
        <v>18</v>
      </c>
      <c r="G6" s="11"/>
      <c r="H6" s="12">
        <v>10000000</v>
      </c>
      <c r="I6" s="12"/>
    </row>
    <row r="7" spans="1:9" ht="18.75">
      <c r="A7" s="10">
        <v>45307</v>
      </c>
      <c r="B7" s="11" t="s">
        <v>13</v>
      </c>
      <c r="C7" s="9"/>
      <c r="D7" s="9"/>
      <c r="E7" s="11"/>
      <c r="F7" s="11" t="s">
        <v>7</v>
      </c>
      <c r="G7" s="11"/>
      <c r="H7" s="12"/>
      <c r="I7" s="12">
        <f>H6</f>
        <v>10000000</v>
      </c>
    </row>
    <row r="8" spans="1:9" ht="18.75">
      <c r="A8" s="10">
        <v>45314</v>
      </c>
      <c r="B8" s="11" t="s">
        <v>14</v>
      </c>
      <c r="C8" s="9"/>
      <c r="D8" s="9"/>
      <c r="E8" s="10">
        <f>A5</f>
        <v>45301</v>
      </c>
      <c r="F8" s="11" t="s">
        <v>19</v>
      </c>
      <c r="G8" s="11"/>
      <c r="H8" s="12">
        <v>5000000</v>
      </c>
      <c r="I8" s="12"/>
    </row>
    <row r="9" spans="1:9" ht="18.75">
      <c r="A9" s="10">
        <v>45317</v>
      </c>
      <c r="B9" s="11" t="s">
        <v>15</v>
      </c>
      <c r="C9" s="9"/>
      <c r="D9" s="9"/>
      <c r="E9" s="11"/>
      <c r="F9" s="11" t="s">
        <v>21</v>
      </c>
      <c r="G9" s="11"/>
      <c r="H9" s="12"/>
      <c r="I9" s="12">
        <f>H8</f>
        <v>5000000</v>
      </c>
    </row>
    <row r="10" spans="1:9" ht="18.75">
      <c r="A10" s="10">
        <v>45322</v>
      </c>
      <c r="B10" s="11" t="s">
        <v>16</v>
      </c>
      <c r="C10" s="9"/>
      <c r="D10" s="9"/>
      <c r="E10" s="10">
        <f>A6</f>
        <v>45306</v>
      </c>
      <c r="F10" s="11" t="s">
        <v>22</v>
      </c>
      <c r="G10" s="11"/>
      <c r="H10" s="12">
        <v>2000000</v>
      </c>
      <c r="I10" s="12"/>
    </row>
    <row r="11" spans="1:9" ht="18.75">
      <c r="A11" s="10">
        <v>45322</v>
      </c>
      <c r="B11" s="11" t="s">
        <v>17</v>
      </c>
      <c r="C11" s="9"/>
      <c r="D11" s="9"/>
      <c r="E11" s="11"/>
      <c r="F11" s="11" t="s">
        <v>7</v>
      </c>
      <c r="G11" s="11"/>
      <c r="H11" s="12"/>
      <c r="I11" s="12">
        <v>2000000</v>
      </c>
    </row>
    <row r="12" spans="1:9" ht="18.75">
      <c r="A12" s="9"/>
      <c r="B12" s="9"/>
      <c r="C12" s="9"/>
      <c r="D12" s="9"/>
      <c r="E12" s="10">
        <f>A7</f>
        <v>45307</v>
      </c>
      <c r="F12" s="11" t="s">
        <v>23</v>
      </c>
      <c r="G12" s="11"/>
      <c r="H12" s="12">
        <v>300000</v>
      </c>
      <c r="I12" s="12"/>
    </row>
    <row r="13" spans="1:9" ht="18.75">
      <c r="A13" s="9"/>
      <c r="B13" s="9"/>
      <c r="C13" s="9"/>
      <c r="D13" s="9"/>
      <c r="E13" s="11"/>
      <c r="F13" s="11" t="s">
        <v>7</v>
      </c>
      <c r="G13" s="11"/>
      <c r="H13" s="12"/>
      <c r="I13" s="12">
        <f>H12</f>
        <v>300000</v>
      </c>
    </row>
    <row r="14" spans="1:9" ht="18.75">
      <c r="A14" s="9"/>
      <c r="B14" s="9"/>
      <c r="C14" s="9"/>
      <c r="D14" s="9"/>
      <c r="E14" s="10">
        <f>A8</f>
        <v>45314</v>
      </c>
      <c r="F14" s="11" t="s">
        <v>21</v>
      </c>
      <c r="G14" s="11"/>
      <c r="H14" s="12">
        <f>H8</f>
        <v>5000000</v>
      </c>
      <c r="I14" s="12"/>
    </row>
    <row r="15" spans="1:9" ht="18.75">
      <c r="A15" s="9"/>
      <c r="B15" s="9"/>
      <c r="C15" s="9"/>
      <c r="D15" s="9"/>
      <c r="E15" s="11"/>
      <c r="F15" s="11" t="s">
        <v>7</v>
      </c>
      <c r="G15" s="11"/>
      <c r="H15" s="12"/>
      <c r="I15" s="12">
        <f>I9</f>
        <v>5000000</v>
      </c>
    </row>
    <row r="16" spans="1:9" ht="18.75">
      <c r="A16" s="9"/>
      <c r="B16" s="9"/>
      <c r="C16" s="9"/>
      <c r="D16" s="9"/>
      <c r="E16" s="10">
        <f>A9</f>
        <v>45317</v>
      </c>
      <c r="F16" s="11" t="s">
        <v>24</v>
      </c>
      <c r="G16" s="11"/>
      <c r="H16" s="12">
        <v>700000</v>
      </c>
      <c r="I16" s="12"/>
    </row>
    <row r="17" spans="1:9" ht="18.75">
      <c r="A17" s="9"/>
      <c r="B17" s="9"/>
      <c r="C17" s="9"/>
      <c r="D17" s="9"/>
      <c r="E17" s="11"/>
      <c r="F17" s="11" t="s">
        <v>7</v>
      </c>
      <c r="G17" s="11"/>
      <c r="H17" s="12"/>
      <c r="I17" s="12">
        <f>H16</f>
        <v>700000</v>
      </c>
    </row>
    <row r="18" spans="1:9" ht="18.75">
      <c r="A18" s="9"/>
      <c r="B18" s="9"/>
      <c r="C18" s="9"/>
      <c r="D18" s="9"/>
      <c r="E18" s="10">
        <f>A10</f>
        <v>45322</v>
      </c>
      <c r="F18" s="11" t="s">
        <v>25</v>
      </c>
      <c r="G18" s="11"/>
      <c r="H18" s="12">
        <v>1000000</v>
      </c>
      <c r="I18" s="12"/>
    </row>
    <row r="19" spans="1:9" ht="18.75">
      <c r="A19" s="9"/>
      <c r="B19" s="9"/>
      <c r="C19" s="9"/>
      <c r="D19" s="9"/>
      <c r="E19" s="11"/>
      <c r="F19" s="11" t="s">
        <v>7</v>
      </c>
      <c r="G19" s="11"/>
      <c r="H19" s="12"/>
      <c r="I19" s="12">
        <v>1000000</v>
      </c>
    </row>
    <row r="20" spans="1:9" ht="18.75">
      <c r="A20" s="9"/>
      <c r="B20" s="9"/>
      <c r="C20" s="9"/>
      <c r="D20" s="9"/>
      <c r="E20" s="10">
        <f>A11</f>
        <v>45322</v>
      </c>
      <c r="F20" s="11" t="s">
        <v>26</v>
      </c>
      <c r="G20" s="11"/>
      <c r="H20" s="12">
        <v>500000</v>
      </c>
      <c r="I20" s="12"/>
    </row>
    <row r="21" spans="1:9" ht="18.75">
      <c r="A21" s="9"/>
      <c r="B21" s="9"/>
      <c r="C21" s="9"/>
      <c r="D21" s="9"/>
      <c r="E21" s="11"/>
      <c r="F21" s="11" t="s">
        <v>7</v>
      </c>
      <c r="G21" s="11"/>
      <c r="H21" s="12"/>
      <c r="I21" s="12">
        <v>500000</v>
      </c>
    </row>
    <row r="22" spans="1:9" ht="18.75">
      <c r="A22" s="9"/>
      <c r="B22" s="9"/>
      <c r="C22" s="9"/>
      <c r="D22" s="9"/>
      <c r="E22" s="11"/>
      <c r="F22" s="11" t="s">
        <v>27</v>
      </c>
      <c r="G22" s="11"/>
      <c r="H22" s="12">
        <f>SUM(H4:H21)</f>
        <v>64500000</v>
      </c>
      <c r="I22" s="12">
        <f>SUM(I4:I21)</f>
        <v>64500000</v>
      </c>
    </row>
    <row r="23" spans="1:9">
      <c r="H23" s="1"/>
      <c r="I23" s="1"/>
    </row>
    <row r="24" spans="1:9">
      <c r="H24" s="1"/>
      <c r="I24" s="1"/>
    </row>
    <row r="25" spans="1:9">
      <c r="H25" s="1"/>
      <c r="I25" s="1"/>
    </row>
    <row r="26" spans="1:9">
      <c r="H26" s="1"/>
      <c r="I26" s="1"/>
    </row>
  </sheetData>
  <mergeCells count="2">
    <mergeCell ref="E2:I2"/>
    <mergeCell ref="A1:B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EBFF14-687C-4707-B391-5255E23FEA2F}">
  <sheetPr codeName="Sheet2">
    <tabColor theme="8" tint="0.39997558519241921"/>
  </sheetPr>
  <dimension ref="A1:D10"/>
  <sheetViews>
    <sheetView workbookViewId="0">
      <selection activeCell="A2" sqref="A2:D4"/>
    </sheetView>
  </sheetViews>
  <sheetFormatPr defaultRowHeight="15"/>
  <cols>
    <col min="1" max="1" width="19.140625" customWidth="1"/>
    <col min="2" max="2" width="12.7109375" bestFit="1" customWidth="1"/>
    <col min="3" max="3" width="18" customWidth="1"/>
    <col min="4" max="4" width="21" customWidth="1"/>
  </cols>
  <sheetData>
    <row r="1" spans="1:4" ht="21">
      <c r="A1" s="383" t="s">
        <v>230</v>
      </c>
      <c r="B1" s="383"/>
      <c r="C1" s="383"/>
      <c r="D1" s="383"/>
    </row>
    <row r="2" spans="1:4" ht="15.75" customHeight="1">
      <c r="A2" s="377" t="s">
        <v>34</v>
      </c>
      <c r="B2" s="378"/>
      <c r="C2" s="378"/>
      <c r="D2" s="379"/>
    </row>
    <row r="3" spans="1:4" ht="15.75" customHeight="1">
      <c r="A3" s="380" t="s">
        <v>35</v>
      </c>
      <c r="B3" s="381"/>
      <c r="C3" s="381"/>
      <c r="D3" s="382"/>
    </row>
    <row r="4" spans="1:4" ht="15.75" customHeight="1">
      <c r="A4" s="380" t="s">
        <v>36</v>
      </c>
      <c r="B4" s="381"/>
      <c r="C4" s="381"/>
      <c r="D4" s="382"/>
    </row>
    <row r="5" spans="1:4" ht="15.75">
      <c r="A5" s="2" t="s">
        <v>7</v>
      </c>
      <c r="B5" s="3">
        <v>40000000</v>
      </c>
      <c r="C5" s="2" t="s">
        <v>20</v>
      </c>
      <c r="D5" s="3">
        <v>5000000</v>
      </c>
    </row>
    <row r="6" spans="1:4" ht="15.75">
      <c r="A6" s="2" t="s">
        <v>37</v>
      </c>
      <c r="B6" s="3">
        <v>15000000</v>
      </c>
      <c r="C6" s="2" t="s">
        <v>38</v>
      </c>
      <c r="D6" s="3">
        <v>55000000</v>
      </c>
    </row>
    <row r="7" spans="1:4" ht="18">
      <c r="A7" s="2" t="s">
        <v>18</v>
      </c>
      <c r="B7" s="3">
        <v>2000000</v>
      </c>
      <c r="C7" s="4"/>
      <c r="D7" s="4"/>
    </row>
    <row r="8" spans="1:4" ht="18">
      <c r="A8" s="2" t="s">
        <v>19</v>
      </c>
      <c r="B8" s="3">
        <v>3000000</v>
      </c>
      <c r="C8" s="4"/>
      <c r="D8" s="4"/>
    </row>
    <row r="9" spans="1:4" ht="18">
      <c r="A9" s="4"/>
      <c r="B9" s="4"/>
      <c r="C9" s="4"/>
      <c r="D9" s="4"/>
    </row>
    <row r="10" spans="1:4" ht="15.75">
      <c r="A10" s="2" t="s">
        <v>39</v>
      </c>
      <c r="B10" s="3">
        <v>60000000</v>
      </c>
      <c r="C10" s="2" t="s">
        <v>40</v>
      </c>
      <c r="D10" s="3">
        <v>60000000</v>
      </c>
    </row>
  </sheetData>
  <mergeCells count="4">
    <mergeCell ref="A2:D2"/>
    <mergeCell ref="A3:D3"/>
    <mergeCell ref="A4:D4"/>
    <mergeCell ref="A1:D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CEB257-A149-4072-BDC3-2B289C4B1DEC}">
  <sheetPr codeName="Sheet3">
    <tabColor theme="8" tint="0.39997558519241921"/>
  </sheetPr>
  <dimension ref="A2:E23"/>
  <sheetViews>
    <sheetView topLeftCell="A2" zoomScale="96" zoomScaleNormal="96" workbookViewId="0">
      <selection activeCell="A3" sqref="A3:E3"/>
    </sheetView>
  </sheetViews>
  <sheetFormatPr defaultRowHeight="15"/>
  <cols>
    <col min="1" max="1" width="11.7109375" customWidth="1"/>
    <col min="2" max="2" width="21.140625" customWidth="1"/>
    <col min="3" max="3" width="8.85546875" customWidth="1"/>
    <col min="4" max="4" width="16.5703125" customWidth="1"/>
    <col min="5" max="5" width="19.28515625" customWidth="1"/>
  </cols>
  <sheetData>
    <row r="2" spans="1:5" ht="15.75">
      <c r="A2" s="384" t="s">
        <v>28</v>
      </c>
      <c r="B2" s="385"/>
      <c r="C2" s="386"/>
      <c r="D2" s="384" t="s">
        <v>29</v>
      </c>
      <c r="E2" s="386"/>
    </row>
    <row r="3" spans="1:5" ht="15.75">
      <c r="A3" s="316" t="s">
        <v>1</v>
      </c>
      <c r="B3" s="316" t="s">
        <v>3</v>
      </c>
      <c r="C3" s="316" t="s">
        <v>30</v>
      </c>
      <c r="D3" s="316" t="s">
        <v>4</v>
      </c>
      <c r="E3" s="316" t="s">
        <v>5</v>
      </c>
    </row>
    <row r="4" spans="1:5" ht="15.75">
      <c r="A4" s="5">
        <v>45660</v>
      </c>
      <c r="B4" s="31" t="s">
        <v>19</v>
      </c>
      <c r="C4" s="7">
        <v>121</v>
      </c>
      <c r="D4" s="8">
        <v>2000000</v>
      </c>
      <c r="E4" s="6"/>
    </row>
    <row r="5" spans="1:5" ht="15.75">
      <c r="A5" s="6"/>
      <c r="B5" s="32" t="s">
        <v>7</v>
      </c>
      <c r="C5" s="7">
        <v>101</v>
      </c>
      <c r="D5" s="6"/>
      <c r="E5" s="8">
        <v>2000000</v>
      </c>
    </row>
    <row r="6" spans="1:5" ht="15.75">
      <c r="A6" s="5">
        <v>45662</v>
      </c>
      <c r="B6" s="31" t="s">
        <v>18</v>
      </c>
      <c r="C6" s="7">
        <v>103</v>
      </c>
      <c r="D6" s="8">
        <v>3000000</v>
      </c>
      <c r="E6" s="6"/>
    </row>
    <row r="7" spans="1:5" ht="15.75">
      <c r="A7" s="6"/>
      <c r="B7" s="31" t="s">
        <v>7</v>
      </c>
      <c r="C7" s="7">
        <v>101</v>
      </c>
      <c r="D7" s="6"/>
      <c r="E7" s="8">
        <v>3000000</v>
      </c>
    </row>
    <row r="8" spans="1:5" ht="15.75">
      <c r="A8" s="5">
        <v>45667</v>
      </c>
      <c r="B8" s="31" t="s">
        <v>19</v>
      </c>
      <c r="C8" s="7">
        <v>121</v>
      </c>
      <c r="D8" s="8">
        <v>5000000</v>
      </c>
      <c r="E8" s="6"/>
    </row>
    <row r="9" spans="1:5" ht="15.75">
      <c r="A9" s="6"/>
      <c r="B9" s="31" t="s">
        <v>33</v>
      </c>
      <c r="C9" s="7">
        <v>201</v>
      </c>
      <c r="D9" s="6"/>
      <c r="E9" s="8">
        <v>5000000</v>
      </c>
    </row>
    <row r="10" spans="1:5" ht="15.75">
      <c r="A10" s="387">
        <v>45672</v>
      </c>
      <c r="B10" s="31" t="s">
        <v>7</v>
      </c>
      <c r="C10" s="7">
        <v>101</v>
      </c>
      <c r="D10" s="8">
        <v>2000000</v>
      </c>
      <c r="E10" s="6"/>
    </row>
    <row r="11" spans="1:5" ht="15.75">
      <c r="A11" s="388"/>
      <c r="B11" s="31" t="s">
        <v>75</v>
      </c>
      <c r="C11" s="7">
        <v>401</v>
      </c>
      <c r="D11" s="6"/>
      <c r="E11" s="8">
        <v>2000000</v>
      </c>
    </row>
    <row r="12" spans="1:5" ht="31.5">
      <c r="A12" s="388"/>
      <c r="B12" s="31" t="s">
        <v>31</v>
      </c>
      <c r="C12" s="7">
        <v>503</v>
      </c>
      <c r="D12" s="8">
        <v>2000000</v>
      </c>
      <c r="E12" s="6"/>
    </row>
    <row r="13" spans="1:5" ht="15.75">
      <c r="A13" s="389"/>
      <c r="B13" s="31" t="s">
        <v>19</v>
      </c>
      <c r="C13" s="7">
        <v>121</v>
      </c>
      <c r="D13" s="6"/>
      <c r="E13" s="8">
        <v>2000000</v>
      </c>
    </row>
    <row r="14" spans="1:5" ht="15.75">
      <c r="A14" s="5">
        <v>45673</v>
      </c>
      <c r="B14" s="31" t="s">
        <v>32</v>
      </c>
      <c r="C14" s="7">
        <v>502</v>
      </c>
      <c r="D14" s="8">
        <v>300000</v>
      </c>
      <c r="E14" s="6"/>
    </row>
    <row r="15" spans="1:5" ht="15.75">
      <c r="A15" s="6"/>
      <c r="B15" s="31" t="s">
        <v>7</v>
      </c>
      <c r="C15" s="7">
        <v>101</v>
      </c>
      <c r="D15" s="6"/>
      <c r="E15" s="8">
        <v>300000</v>
      </c>
    </row>
    <row r="16" spans="1:5" ht="15.75">
      <c r="A16" s="5">
        <v>45680</v>
      </c>
      <c r="B16" s="31" t="s">
        <v>33</v>
      </c>
      <c r="C16" s="7">
        <v>201</v>
      </c>
      <c r="D16" s="8">
        <v>5000000</v>
      </c>
      <c r="E16" s="6"/>
    </row>
    <row r="17" spans="1:5" ht="15.75">
      <c r="A17" s="6"/>
      <c r="B17" s="31" t="s">
        <v>7</v>
      </c>
      <c r="C17" s="7">
        <v>101</v>
      </c>
      <c r="D17" s="6"/>
      <c r="E17" s="8">
        <v>5000000</v>
      </c>
    </row>
    <row r="18" spans="1:5" ht="15.75">
      <c r="A18" s="5">
        <v>45683</v>
      </c>
      <c r="B18" s="31" t="s">
        <v>24</v>
      </c>
      <c r="C18" s="7">
        <v>504</v>
      </c>
      <c r="D18" s="8">
        <v>700000</v>
      </c>
      <c r="E18" s="6"/>
    </row>
    <row r="19" spans="1:5" ht="15.75">
      <c r="A19" s="6"/>
      <c r="B19" s="31" t="s">
        <v>7</v>
      </c>
      <c r="C19" s="7">
        <v>101</v>
      </c>
      <c r="D19" s="6"/>
      <c r="E19" s="8">
        <v>700000</v>
      </c>
    </row>
    <row r="20" spans="1:5" ht="15.75">
      <c r="A20" s="5">
        <v>45688</v>
      </c>
      <c r="B20" s="31" t="s">
        <v>25</v>
      </c>
      <c r="C20" s="7">
        <v>501</v>
      </c>
      <c r="D20" s="8">
        <v>1000000</v>
      </c>
      <c r="E20" s="6"/>
    </row>
    <row r="21" spans="1:5" ht="15.75">
      <c r="A21" s="6"/>
      <c r="B21" s="31" t="s">
        <v>7</v>
      </c>
      <c r="C21" s="7">
        <v>101</v>
      </c>
      <c r="D21" s="6"/>
      <c r="E21" s="8">
        <v>1000000</v>
      </c>
    </row>
    <row r="22" spans="1:5" ht="15.75">
      <c r="A22" s="5">
        <v>45688</v>
      </c>
      <c r="B22" s="31" t="s">
        <v>26</v>
      </c>
      <c r="C22" s="7">
        <v>302</v>
      </c>
      <c r="D22" s="136">
        <v>500000</v>
      </c>
      <c r="E22" s="6"/>
    </row>
    <row r="23" spans="1:5" ht="15.75">
      <c r="A23" s="6"/>
      <c r="B23" s="33" t="s">
        <v>7</v>
      </c>
      <c r="C23" s="7">
        <v>101</v>
      </c>
      <c r="D23" s="6"/>
      <c r="E23" s="8">
        <v>500000</v>
      </c>
    </row>
  </sheetData>
  <mergeCells count="3">
    <mergeCell ref="A2:C2"/>
    <mergeCell ref="D2:E2"/>
    <mergeCell ref="A10:A13"/>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ED9C40-2CAB-4E69-A839-48B5B8F120F8}">
  <sheetPr codeName="Sheet4">
    <tabColor theme="8" tint="0.39997558519241921"/>
  </sheetPr>
  <dimension ref="A1:H76"/>
  <sheetViews>
    <sheetView topLeftCell="A53" workbookViewId="0">
      <selection activeCell="A73" sqref="A73:H74"/>
    </sheetView>
  </sheetViews>
  <sheetFormatPr defaultColWidth="18.28515625" defaultRowHeight="15.75"/>
  <cols>
    <col min="1" max="2" width="18.28515625" style="13"/>
    <col min="3" max="3" width="40.140625" style="13" customWidth="1"/>
    <col min="4" max="4" width="14" style="13" customWidth="1"/>
    <col min="5" max="5" width="19.85546875" style="13" bestFit="1" customWidth="1"/>
    <col min="6" max="6" width="18.5703125" style="13" bestFit="1" customWidth="1"/>
    <col min="7" max="7" width="19.85546875" style="13" bestFit="1" customWidth="1"/>
    <col min="8" max="16384" width="18.28515625" style="13"/>
  </cols>
  <sheetData>
    <row r="1" spans="1:8">
      <c r="A1" s="404" t="s">
        <v>41</v>
      </c>
      <c r="B1" s="404"/>
      <c r="C1" s="404"/>
      <c r="D1" s="404"/>
      <c r="E1" s="404"/>
      <c r="F1" s="404"/>
      <c r="G1" s="404"/>
      <c r="H1" s="24" t="s">
        <v>42</v>
      </c>
    </row>
    <row r="2" spans="1:8">
      <c r="A2" s="393" t="s">
        <v>43</v>
      </c>
      <c r="B2" s="393"/>
      <c r="C2" s="393" t="s">
        <v>3</v>
      </c>
      <c r="D2" s="393" t="s">
        <v>6</v>
      </c>
      <c r="E2" s="393" t="s">
        <v>4</v>
      </c>
      <c r="F2" s="393" t="s">
        <v>5</v>
      </c>
      <c r="G2" s="393" t="s">
        <v>44</v>
      </c>
      <c r="H2" s="393"/>
    </row>
    <row r="3" spans="1:8">
      <c r="A3" s="393"/>
      <c r="B3" s="393"/>
      <c r="C3" s="393"/>
      <c r="D3" s="393"/>
      <c r="E3" s="393"/>
      <c r="F3" s="393"/>
      <c r="G3" s="284" t="s">
        <v>4</v>
      </c>
      <c r="H3" s="284" t="s">
        <v>5</v>
      </c>
    </row>
    <row r="4" spans="1:8">
      <c r="A4" s="16">
        <v>2024</v>
      </c>
      <c r="B4" s="17"/>
      <c r="C4" s="17"/>
      <c r="D4" s="17"/>
      <c r="E4" s="18"/>
      <c r="F4" s="18"/>
      <c r="G4" s="18"/>
      <c r="H4" s="18"/>
    </row>
    <row r="5" spans="1:8">
      <c r="A5" s="19" t="s">
        <v>45</v>
      </c>
      <c r="B5" s="19">
        <v>1</v>
      </c>
      <c r="C5" s="20" t="s">
        <v>44</v>
      </c>
      <c r="D5" s="19" t="s">
        <v>53</v>
      </c>
      <c r="E5" s="25">
        <v>40000000</v>
      </c>
      <c r="F5" s="26"/>
      <c r="G5" s="25">
        <f>E5-F5</f>
        <v>40000000</v>
      </c>
      <c r="H5" s="21"/>
    </row>
    <row r="6" spans="1:8">
      <c r="A6" s="401"/>
      <c r="B6" s="16">
        <v>3</v>
      </c>
      <c r="C6" s="405" t="s">
        <v>51</v>
      </c>
      <c r="D6" s="19" t="s">
        <v>52</v>
      </c>
      <c r="E6" s="27"/>
      <c r="F6" s="28">
        <v>2000000</v>
      </c>
      <c r="G6" s="28">
        <f>G5+E6-F6</f>
        <v>38000000</v>
      </c>
      <c r="H6" s="22"/>
    </row>
    <row r="7" spans="1:8">
      <c r="A7" s="402"/>
      <c r="B7" s="19">
        <v>5</v>
      </c>
      <c r="C7" s="406"/>
      <c r="D7" s="19" t="s">
        <v>52</v>
      </c>
      <c r="E7" s="26"/>
      <c r="F7" s="25">
        <v>3000000</v>
      </c>
      <c r="G7" s="28">
        <f t="shared" ref="G7:G13" si="0">G6+E7-F7</f>
        <v>35000000</v>
      </c>
      <c r="H7" s="21"/>
    </row>
    <row r="8" spans="1:8">
      <c r="A8" s="402"/>
      <c r="B8" s="16">
        <v>15</v>
      </c>
      <c r="C8" s="406"/>
      <c r="D8" s="19" t="s">
        <v>52</v>
      </c>
      <c r="E8" s="28">
        <v>2000000</v>
      </c>
      <c r="F8" s="27"/>
      <c r="G8" s="28">
        <f t="shared" si="0"/>
        <v>37000000</v>
      </c>
      <c r="H8" s="22"/>
    </row>
    <row r="9" spans="1:8">
      <c r="A9" s="402"/>
      <c r="B9" s="16">
        <v>16</v>
      </c>
      <c r="C9" s="406"/>
      <c r="D9" s="19" t="s">
        <v>52</v>
      </c>
      <c r="E9" s="27"/>
      <c r="F9" s="28">
        <v>300000</v>
      </c>
      <c r="G9" s="28">
        <f t="shared" si="0"/>
        <v>36700000</v>
      </c>
      <c r="H9" s="22"/>
    </row>
    <row r="10" spans="1:8">
      <c r="A10" s="402"/>
      <c r="B10" s="16">
        <v>23</v>
      </c>
      <c r="C10" s="406"/>
      <c r="D10" s="19" t="s">
        <v>52</v>
      </c>
      <c r="E10" s="27"/>
      <c r="F10" s="28">
        <v>5000000</v>
      </c>
      <c r="G10" s="28">
        <f t="shared" si="0"/>
        <v>31700000</v>
      </c>
      <c r="H10" s="22"/>
    </row>
    <row r="11" spans="1:8">
      <c r="A11" s="402"/>
      <c r="B11" s="16">
        <v>26</v>
      </c>
      <c r="C11" s="406"/>
      <c r="D11" s="19" t="s">
        <v>52</v>
      </c>
      <c r="E11" s="27"/>
      <c r="F11" s="28">
        <v>700000</v>
      </c>
      <c r="G11" s="28">
        <f t="shared" si="0"/>
        <v>31000000</v>
      </c>
      <c r="H11" s="22"/>
    </row>
    <row r="12" spans="1:8">
      <c r="A12" s="402"/>
      <c r="B12" s="16">
        <v>31</v>
      </c>
      <c r="C12" s="406"/>
      <c r="D12" s="19" t="s">
        <v>52</v>
      </c>
      <c r="E12" s="27"/>
      <c r="F12" s="28">
        <v>1000000</v>
      </c>
      <c r="G12" s="28">
        <f t="shared" si="0"/>
        <v>30000000</v>
      </c>
      <c r="H12" s="22"/>
    </row>
    <row r="13" spans="1:8">
      <c r="A13" s="403"/>
      <c r="B13" s="14">
        <v>31</v>
      </c>
      <c r="C13" s="407"/>
      <c r="D13" s="19" t="s">
        <v>52</v>
      </c>
      <c r="E13" s="29"/>
      <c r="F13" s="30">
        <v>500000</v>
      </c>
      <c r="G13" s="28">
        <f t="shared" si="0"/>
        <v>29500000</v>
      </c>
      <c r="H13" s="15"/>
    </row>
    <row r="15" spans="1:8">
      <c r="A15" s="398" t="s">
        <v>46</v>
      </c>
      <c r="B15" s="399"/>
      <c r="C15" s="399"/>
      <c r="D15" s="399"/>
      <c r="E15" s="399"/>
      <c r="F15" s="399"/>
      <c r="G15" s="400"/>
      <c r="H15" s="35" t="s">
        <v>47</v>
      </c>
    </row>
    <row r="16" spans="1:8">
      <c r="A16" s="393" t="s">
        <v>43</v>
      </c>
      <c r="B16" s="393"/>
      <c r="C16" s="393" t="s">
        <v>3</v>
      </c>
      <c r="D16" s="393" t="s">
        <v>30</v>
      </c>
      <c r="E16" s="393" t="s">
        <v>4</v>
      </c>
      <c r="F16" s="393" t="s">
        <v>5</v>
      </c>
      <c r="G16" s="393" t="s">
        <v>44</v>
      </c>
      <c r="H16" s="393"/>
    </row>
    <row r="17" spans="1:8">
      <c r="A17" s="393"/>
      <c r="B17" s="393"/>
      <c r="C17" s="393"/>
      <c r="D17" s="393"/>
      <c r="E17" s="393"/>
      <c r="F17" s="393"/>
      <c r="G17" s="284" t="s">
        <v>4</v>
      </c>
      <c r="H17" s="284" t="s">
        <v>5</v>
      </c>
    </row>
    <row r="18" spans="1:8">
      <c r="A18" s="16">
        <v>2024</v>
      </c>
      <c r="B18" s="17"/>
      <c r="C18" s="17"/>
      <c r="D18" s="17"/>
      <c r="E18" s="18"/>
      <c r="F18" s="18"/>
      <c r="G18" s="18"/>
      <c r="H18" s="18"/>
    </row>
    <row r="19" spans="1:8">
      <c r="A19" s="19" t="s">
        <v>45</v>
      </c>
      <c r="B19" s="19">
        <v>1</v>
      </c>
      <c r="C19" s="20" t="s">
        <v>44</v>
      </c>
      <c r="D19" s="19" t="s">
        <v>53</v>
      </c>
      <c r="E19" s="25">
        <v>15000000</v>
      </c>
      <c r="F19" s="26"/>
      <c r="G19" s="25">
        <v>15000000</v>
      </c>
      <c r="H19" s="21"/>
    </row>
    <row r="21" spans="1:8">
      <c r="A21" s="390" t="s">
        <v>49</v>
      </c>
      <c r="B21" s="391"/>
      <c r="C21" s="391"/>
      <c r="D21" s="391"/>
      <c r="E21" s="391"/>
      <c r="F21" s="391"/>
      <c r="G21" s="392"/>
      <c r="H21" s="35" t="s">
        <v>50</v>
      </c>
    </row>
    <row r="22" spans="1:8">
      <c r="A22" s="393" t="s">
        <v>43</v>
      </c>
      <c r="B22" s="393"/>
      <c r="C22" s="393" t="s">
        <v>3</v>
      </c>
      <c r="D22" s="393" t="s">
        <v>30</v>
      </c>
      <c r="E22" s="393" t="s">
        <v>4</v>
      </c>
      <c r="F22" s="393" t="s">
        <v>5</v>
      </c>
      <c r="G22" s="393" t="s">
        <v>44</v>
      </c>
      <c r="H22" s="393"/>
    </row>
    <row r="23" spans="1:8">
      <c r="A23" s="393"/>
      <c r="B23" s="393"/>
      <c r="C23" s="393"/>
      <c r="D23" s="393"/>
      <c r="E23" s="393"/>
      <c r="F23" s="393"/>
      <c r="G23" s="284" t="s">
        <v>4</v>
      </c>
      <c r="H23" s="284" t="s">
        <v>5</v>
      </c>
    </row>
    <row r="24" spans="1:8">
      <c r="A24" s="16">
        <v>2024</v>
      </c>
      <c r="B24" s="17"/>
      <c r="C24" s="17"/>
      <c r="D24" s="17"/>
      <c r="E24" s="18"/>
      <c r="F24" s="18"/>
      <c r="G24" s="18"/>
      <c r="H24" s="18"/>
    </row>
    <row r="25" spans="1:8">
      <c r="A25" s="19" t="s">
        <v>45</v>
      </c>
      <c r="B25" s="19">
        <v>1</v>
      </c>
      <c r="C25" s="137" t="s">
        <v>44</v>
      </c>
      <c r="D25" s="19" t="s">
        <v>53</v>
      </c>
      <c r="E25" s="25">
        <v>2000000</v>
      </c>
      <c r="F25" s="26"/>
      <c r="G25" s="25">
        <f>E25+F25</f>
        <v>2000000</v>
      </c>
      <c r="H25" s="21"/>
    </row>
    <row r="26" spans="1:8">
      <c r="A26" s="23"/>
      <c r="B26" s="16">
        <v>5</v>
      </c>
      <c r="C26" s="18" t="str">
        <f>C6</f>
        <v>Posting</v>
      </c>
      <c r="D26" s="19" t="s">
        <v>52</v>
      </c>
      <c r="E26" s="27">
        <v>3000000</v>
      </c>
      <c r="F26" s="28"/>
      <c r="G26" s="28">
        <f>G25+E26-F26</f>
        <v>5000000</v>
      </c>
      <c r="H26" s="22"/>
    </row>
    <row r="28" spans="1:8" ht="15.75" customHeight="1">
      <c r="A28" s="395" t="s">
        <v>57</v>
      </c>
      <c r="B28" s="396"/>
      <c r="C28" s="396"/>
      <c r="D28" s="396"/>
      <c r="E28" s="396"/>
      <c r="F28" s="396"/>
      <c r="G28" s="397"/>
      <c r="H28" s="35" t="s">
        <v>54</v>
      </c>
    </row>
    <row r="29" spans="1:8">
      <c r="A29" s="393" t="s">
        <v>43</v>
      </c>
      <c r="B29" s="393"/>
      <c r="C29" s="393" t="s">
        <v>3</v>
      </c>
      <c r="D29" s="393" t="s">
        <v>30</v>
      </c>
      <c r="E29" s="393" t="s">
        <v>4</v>
      </c>
      <c r="F29" s="393" t="s">
        <v>5</v>
      </c>
      <c r="G29" s="393" t="s">
        <v>44</v>
      </c>
      <c r="H29" s="393"/>
    </row>
    <row r="30" spans="1:8">
      <c r="A30" s="393"/>
      <c r="B30" s="393"/>
      <c r="C30" s="393"/>
      <c r="D30" s="393"/>
      <c r="E30" s="393"/>
      <c r="F30" s="393"/>
      <c r="G30" s="284" t="s">
        <v>4</v>
      </c>
      <c r="H30" s="284" t="s">
        <v>5</v>
      </c>
    </row>
    <row r="31" spans="1:8" ht="18">
      <c r="A31" s="36">
        <v>2024</v>
      </c>
      <c r="B31" s="4"/>
      <c r="C31" s="4"/>
      <c r="D31" s="4"/>
      <c r="E31" s="4"/>
      <c r="F31" s="4"/>
      <c r="G31" s="4"/>
      <c r="H31" s="4"/>
    </row>
    <row r="32" spans="1:8">
      <c r="A32" s="37" t="s">
        <v>45</v>
      </c>
      <c r="B32" s="37">
        <v>1</v>
      </c>
      <c r="C32" s="38" t="s">
        <v>44</v>
      </c>
      <c r="D32" s="37" t="s">
        <v>53</v>
      </c>
      <c r="E32" s="40"/>
      <c r="F32" s="41">
        <v>5000000</v>
      </c>
      <c r="G32" s="40"/>
      <c r="H32" s="42">
        <f>F32-E32</f>
        <v>5000000</v>
      </c>
    </row>
    <row r="33" spans="1:8" ht="23.25">
      <c r="A33" s="39"/>
      <c r="B33" s="37">
        <v>10</v>
      </c>
      <c r="C33" s="394" t="str">
        <f>C26</f>
        <v>Posting</v>
      </c>
      <c r="D33" s="37" t="s">
        <v>52</v>
      </c>
      <c r="E33" s="40"/>
      <c r="F33" s="42">
        <v>5000000</v>
      </c>
      <c r="G33" s="40"/>
      <c r="H33" s="42">
        <f>H32-E33+F33</f>
        <v>10000000</v>
      </c>
    </row>
    <row r="34" spans="1:8" ht="23.25">
      <c r="A34" s="39"/>
      <c r="B34" s="37">
        <v>23</v>
      </c>
      <c r="C34" s="394"/>
      <c r="D34" s="37" t="s">
        <v>52</v>
      </c>
      <c r="E34" s="42">
        <v>5000000</v>
      </c>
      <c r="F34" s="43"/>
      <c r="G34" s="40"/>
      <c r="H34" s="42">
        <f>H33-E34+F34</f>
        <v>5000000</v>
      </c>
    </row>
    <row r="36" spans="1:8">
      <c r="A36" s="390" t="s">
        <v>55</v>
      </c>
      <c r="B36" s="391"/>
      <c r="C36" s="391"/>
      <c r="D36" s="391"/>
      <c r="E36" s="391"/>
      <c r="F36" s="391"/>
      <c r="G36" s="392"/>
      <c r="H36" s="35" t="s">
        <v>56</v>
      </c>
    </row>
    <row r="37" spans="1:8">
      <c r="A37" s="393" t="s">
        <v>43</v>
      </c>
      <c r="B37" s="393"/>
      <c r="C37" s="393" t="s">
        <v>3</v>
      </c>
      <c r="D37" s="393" t="s">
        <v>30</v>
      </c>
      <c r="E37" s="393" t="s">
        <v>4</v>
      </c>
      <c r="F37" s="393" t="s">
        <v>5</v>
      </c>
      <c r="G37" s="393" t="s">
        <v>44</v>
      </c>
      <c r="H37" s="393"/>
    </row>
    <row r="38" spans="1:8">
      <c r="A38" s="393"/>
      <c r="B38" s="393"/>
      <c r="C38" s="393"/>
      <c r="D38" s="393"/>
      <c r="E38" s="393"/>
      <c r="F38" s="393"/>
      <c r="G38" s="284" t="s">
        <v>4</v>
      </c>
      <c r="H38" s="284" t="s">
        <v>5</v>
      </c>
    </row>
    <row r="39" spans="1:8" ht="18">
      <c r="A39" s="36">
        <v>2024</v>
      </c>
      <c r="B39" s="4"/>
      <c r="C39" s="4"/>
      <c r="D39" s="4"/>
      <c r="E39" s="4"/>
      <c r="F39" s="4"/>
      <c r="G39" s="4"/>
      <c r="H39" s="4"/>
    </row>
    <row r="40" spans="1:8">
      <c r="A40" s="37" t="s">
        <v>45</v>
      </c>
      <c r="B40" s="37">
        <v>1</v>
      </c>
      <c r="C40" s="38" t="s">
        <v>44</v>
      </c>
      <c r="D40" s="37" t="s">
        <v>48</v>
      </c>
      <c r="E40" s="40"/>
      <c r="F40" s="41">
        <v>55000000</v>
      </c>
      <c r="G40" s="40"/>
      <c r="H40" s="42">
        <f>F40+E40</f>
        <v>55000000</v>
      </c>
    </row>
    <row r="41" spans="1:8">
      <c r="A41"/>
      <c r="B41"/>
      <c r="C41"/>
      <c r="D41"/>
      <c r="E41"/>
      <c r="F41"/>
      <c r="G41"/>
      <c r="H41"/>
    </row>
    <row r="42" spans="1:8" ht="15.75" customHeight="1">
      <c r="A42" s="390" t="s">
        <v>58</v>
      </c>
      <c r="B42" s="391"/>
      <c r="C42" s="391"/>
      <c r="D42" s="391"/>
      <c r="E42" s="391"/>
      <c r="F42" s="391"/>
      <c r="G42" s="392"/>
      <c r="H42" s="35" t="s">
        <v>59</v>
      </c>
    </row>
    <row r="43" spans="1:8">
      <c r="A43" s="393" t="s">
        <v>43</v>
      </c>
      <c r="B43" s="393"/>
      <c r="C43" s="393" t="s">
        <v>3</v>
      </c>
      <c r="D43" s="393" t="s">
        <v>30</v>
      </c>
      <c r="E43" s="393" t="s">
        <v>4</v>
      </c>
      <c r="F43" s="393" t="s">
        <v>5</v>
      </c>
      <c r="G43" s="393" t="s">
        <v>44</v>
      </c>
      <c r="H43" s="393"/>
    </row>
    <row r="44" spans="1:8">
      <c r="A44" s="393"/>
      <c r="B44" s="393"/>
      <c r="C44" s="393"/>
      <c r="D44" s="393"/>
      <c r="E44" s="393"/>
      <c r="F44" s="393"/>
      <c r="G44" s="284" t="s">
        <v>4</v>
      </c>
      <c r="H44" s="284" t="s">
        <v>5</v>
      </c>
    </row>
    <row r="45" spans="1:8" ht="18">
      <c r="A45" s="36">
        <v>2024</v>
      </c>
      <c r="B45" s="4"/>
      <c r="C45" s="4"/>
      <c r="D45" s="4"/>
      <c r="E45" s="4"/>
      <c r="F45" s="4"/>
      <c r="G45" s="4"/>
      <c r="H45" s="4"/>
    </row>
    <row r="46" spans="1:8">
      <c r="A46" s="37" t="s">
        <v>45</v>
      </c>
      <c r="B46" s="37">
        <v>15</v>
      </c>
      <c r="C46" s="38" t="s">
        <v>51</v>
      </c>
      <c r="D46" s="37" t="s">
        <v>48</v>
      </c>
      <c r="E46" s="40"/>
      <c r="F46" s="41">
        <v>2000000</v>
      </c>
      <c r="G46" s="40"/>
      <c r="H46" s="42">
        <v>2000000</v>
      </c>
    </row>
    <row r="48" spans="1:8" ht="15.75" customHeight="1">
      <c r="A48" s="390" t="s">
        <v>60</v>
      </c>
      <c r="B48" s="391"/>
      <c r="C48" s="391"/>
      <c r="D48" s="391"/>
      <c r="E48" s="391"/>
      <c r="F48" s="391"/>
      <c r="G48" s="392"/>
      <c r="H48" s="35" t="s">
        <v>61</v>
      </c>
    </row>
    <row r="49" spans="1:8">
      <c r="A49" s="393" t="s">
        <v>43</v>
      </c>
      <c r="B49" s="393"/>
      <c r="C49" s="393" t="s">
        <v>3</v>
      </c>
      <c r="D49" s="393" t="s">
        <v>30</v>
      </c>
      <c r="E49" s="393" t="s">
        <v>4</v>
      </c>
      <c r="F49" s="393" t="s">
        <v>5</v>
      </c>
      <c r="G49" s="393" t="s">
        <v>44</v>
      </c>
      <c r="H49" s="393"/>
    </row>
    <row r="50" spans="1:8">
      <c r="A50" s="393"/>
      <c r="B50" s="393"/>
      <c r="C50" s="393"/>
      <c r="D50" s="393"/>
      <c r="E50" s="393"/>
      <c r="F50" s="393"/>
      <c r="G50" s="284" t="s">
        <v>4</v>
      </c>
      <c r="H50" s="284" t="s">
        <v>5</v>
      </c>
    </row>
    <row r="51" spans="1:8" ht="18">
      <c r="A51" s="36">
        <v>2024</v>
      </c>
      <c r="B51" s="4"/>
      <c r="C51" s="4"/>
      <c r="D51" s="4"/>
      <c r="E51" s="4"/>
      <c r="F51" s="4"/>
      <c r="G51" s="4"/>
      <c r="H51" s="4"/>
    </row>
    <row r="52" spans="1:8">
      <c r="A52" s="37" t="s">
        <v>45</v>
      </c>
      <c r="B52" s="37">
        <v>15</v>
      </c>
      <c r="C52" s="38" t="s">
        <v>51</v>
      </c>
      <c r="D52" s="37" t="s">
        <v>48</v>
      </c>
      <c r="E52" s="44">
        <v>2000000</v>
      </c>
      <c r="F52" s="44"/>
      <c r="G52" s="44">
        <v>2000000</v>
      </c>
      <c r="H52" s="42"/>
    </row>
    <row r="54" spans="1:8" ht="15.75" customHeight="1">
      <c r="A54" s="390" t="s">
        <v>62</v>
      </c>
      <c r="B54" s="391"/>
      <c r="C54" s="391"/>
      <c r="D54" s="391"/>
      <c r="E54" s="391"/>
      <c r="F54" s="391"/>
      <c r="G54" s="392"/>
      <c r="H54" s="35" t="s">
        <v>63</v>
      </c>
    </row>
    <row r="55" spans="1:8">
      <c r="A55" s="393" t="s">
        <v>43</v>
      </c>
      <c r="B55" s="393"/>
      <c r="C55" s="393" t="s">
        <v>3</v>
      </c>
      <c r="D55" s="393" t="s">
        <v>30</v>
      </c>
      <c r="E55" s="393" t="s">
        <v>4</v>
      </c>
      <c r="F55" s="393" t="s">
        <v>5</v>
      </c>
      <c r="G55" s="393" t="s">
        <v>44</v>
      </c>
      <c r="H55" s="393"/>
    </row>
    <row r="56" spans="1:8">
      <c r="A56" s="393"/>
      <c r="B56" s="393"/>
      <c r="C56" s="393"/>
      <c r="D56" s="393"/>
      <c r="E56" s="393"/>
      <c r="F56" s="393"/>
      <c r="G56" s="284" t="s">
        <v>4</v>
      </c>
      <c r="H56" s="284" t="s">
        <v>5</v>
      </c>
    </row>
    <row r="57" spans="1:8" ht="18">
      <c r="A57" s="36">
        <v>2024</v>
      </c>
      <c r="B57" s="4"/>
      <c r="C57" s="4"/>
      <c r="D57" s="4"/>
      <c r="E57" s="4"/>
      <c r="F57" s="4"/>
      <c r="G57" s="4"/>
      <c r="H57" s="4"/>
    </row>
    <row r="58" spans="1:8">
      <c r="A58" s="37" t="s">
        <v>45</v>
      </c>
      <c r="B58" s="37">
        <v>16</v>
      </c>
      <c r="C58" s="38" t="s">
        <v>51</v>
      </c>
      <c r="D58" s="37" t="s">
        <v>48</v>
      </c>
      <c r="E58" s="44">
        <v>300000</v>
      </c>
      <c r="F58" s="44"/>
      <c r="G58" s="44">
        <f>E58</f>
        <v>300000</v>
      </c>
      <c r="H58" s="42"/>
    </row>
    <row r="60" spans="1:8" ht="15.75" customHeight="1">
      <c r="A60" s="390" t="s">
        <v>64</v>
      </c>
      <c r="B60" s="391"/>
      <c r="C60" s="391"/>
      <c r="D60" s="391"/>
      <c r="E60" s="391"/>
      <c r="F60" s="391"/>
      <c r="G60" s="392"/>
      <c r="H60" s="35" t="s">
        <v>65</v>
      </c>
    </row>
    <row r="61" spans="1:8">
      <c r="A61" s="393" t="s">
        <v>43</v>
      </c>
      <c r="B61" s="393"/>
      <c r="C61" s="393" t="s">
        <v>3</v>
      </c>
      <c r="D61" s="393" t="s">
        <v>30</v>
      </c>
      <c r="E61" s="393" t="s">
        <v>4</v>
      </c>
      <c r="F61" s="393" t="s">
        <v>5</v>
      </c>
      <c r="G61" s="393" t="s">
        <v>44</v>
      </c>
      <c r="H61" s="393"/>
    </row>
    <row r="62" spans="1:8">
      <c r="A62" s="393"/>
      <c r="B62" s="393"/>
      <c r="C62" s="393"/>
      <c r="D62" s="393"/>
      <c r="E62" s="393"/>
      <c r="F62" s="393"/>
      <c r="G62" s="284" t="s">
        <v>4</v>
      </c>
      <c r="H62" s="284" t="s">
        <v>5</v>
      </c>
    </row>
    <row r="63" spans="1:8" ht="18">
      <c r="A63" s="36">
        <v>2024</v>
      </c>
      <c r="B63" s="4"/>
      <c r="C63" s="4"/>
      <c r="D63" s="4"/>
      <c r="E63" s="4"/>
      <c r="F63" s="4"/>
      <c r="G63" s="4"/>
      <c r="H63" s="4"/>
    </row>
    <row r="64" spans="1:8">
      <c r="A64" s="37" t="s">
        <v>45</v>
      </c>
      <c r="B64" s="37">
        <v>26</v>
      </c>
      <c r="C64" s="38" t="s">
        <v>51</v>
      </c>
      <c r="D64" s="37" t="s">
        <v>48</v>
      </c>
      <c r="E64" s="44">
        <v>700000</v>
      </c>
      <c r="F64" s="44"/>
      <c r="G64" s="44">
        <v>700000</v>
      </c>
      <c r="H64" s="42"/>
    </row>
    <row r="66" spans="1:8" ht="15.75" customHeight="1">
      <c r="A66" s="390" t="s">
        <v>66</v>
      </c>
      <c r="B66" s="391"/>
      <c r="C66" s="391"/>
      <c r="D66" s="391"/>
      <c r="E66" s="391"/>
      <c r="F66" s="391"/>
      <c r="G66" s="392"/>
      <c r="H66" s="35" t="s">
        <v>67</v>
      </c>
    </row>
    <row r="67" spans="1:8">
      <c r="A67" s="393" t="s">
        <v>43</v>
      </c>
      <c r="B67" s="393"/>
      <c r="C67" s="393" t="s">
        <v>3</v>
      </c>
      <c r="D67" s="393" t="s">
        <v>30</v>
      </c>
      <c r="E67" s="393" t="s">
        <v>4</v>
      </c>
      <c r="F67" s="393" t="s">
        <v>5</v>
      </c>
      <c r="G67" s="393" t="s">
        <v>44</v>
      </c>
      <c r="H67" s="393"/>
    </row>
    <row r="68" spans="1:8">
      <c r="A68" s="393"/>
      <c r="B68" s="393"/>
      <c r="C68" s="393"/>
      <c r="D68" s="393"/>
      <c r="E68" s="393"/>
      <c r="F68" s="393"/>
      <c r="G68" s="284" t="s">
        <v>4</v>
      </c>
      <c r="H68" s="284" t="s">
        <v>5</v>
      </c>
    </row>
    <row r="69" spans="1:8" ht="18">
      <c r="A69" s="36">
        <v>2024</v>
      </c>
      <c r="B69" s="4"/>
      <c r="C69" s="4"/>
      <c r="D69" s="4"/>
      <c r="E69" s="4"/>
      <c r="F69" s="4"/>
      <c r="G69" s="4"/>
      <c r="H69" s="4"/>
    </row>
    <row r="70" spans="1:8">
      <c r="A70" s="37" t="s">
        <v>45</v>
      </c>
      <c r="B70" s="37">
        <v>31</v>
      </c>
      <c r="C70" s="38" t="s">
        <v>51</v>
      </c>
      <c r="D70" s="37" t="s">
        <v>48</v>
      </c>
      <c r="E70" s="44">
        <v>1000000</v>
      </c>
      <c r="F70" s="44"/>
      <c r="G70" s="44">
        <v>1000000</v>
      </c>
      <c r="H70" s="42"/>
    </row>
    <row r="72" spans="1:8">
      <c r="A72" s="390" t="s">
        <v>68</v>
      </c>
      <c r="B72" s="391"/>
      <c r="C72" s="391"/>
      <c r="D72" s="391"/>
      <c r="E72" s="391"/>
      <c r="F72" s="391"/>
      <c r="G72" s="392"/>
      <c r="H72" s="35" t="s">
        <v>69</v>
      </c>
    </row>
    <row r="73" spans="1:8">
      <c r="A73" s="393" t="s">
        <v>43</v>
      </c>
      <c r="B73" s="393"/>
      <c r="C73" s="393" t="s">
        <v>3</v>
      </c>
      <c r="D73" s="393" t="s">
        <v>30</v>
      </c>
      <c r="E73" s="393" t="s">
        <v>4</v>
      </c>
      <c r="F73" s="393" t="s">
        <v>5</v>
      </c>
      <c r="G73" s="393" t="s">
        <v>44</v>
      </c>
      <c r="H73" s="393"/>
    </row>
    <row r="74" spans="1:8">
      <c r="A74" s="393"/>
      <c r="B74" s="393"/>
      <c r="C74" s="393"/>
      <c r="D74" s="393"/>
      <c r="E74" s="393"/>
      <c r="F74" s="393"/>
      <c r="G74" s="284" t="s">
        <v>4</v>
      </c>
      <c r="H74" s="284" t="s">
        <v>5</v>
      </c>
    </row>
    <row r="75" spans="1:8" ht="18">
      <c r="A75" s="36">
        <v>2024</v>
      </c>
      <c r="B75" s="4"/>
      <c r="C75" s="4"/>
      <c r="D75" s="4"/>
      <c r="E75" s="4"/>
      <c r="F75" s="4"/>
      <c r="G75" s="4"/>
      <c r="H75" s="4"/>
    </row>
    <row r="76" spans="1:8">
      <c r="A76" s="37" t="s">
        <v>45</v>
      </c>
      <c r="B76" s="37">
        <v>31</v>
      </c>
      <c r="C76" s="38" t="s">
        <v>51</v>
      </c>
      <c r="D76" s="37" t="s">
        <v>48</v>
      </c>
      <c r="E76" s="44">
        <v>500000</v>
      </c>
      <c r="F76" s="44"/>
      <c r="G76" s="44">
        <v>500000</v>
      </c>
      <c r="H76" s="42"/>
    </row>
  </sheetData>
  <mergeCells count="80">
    <mergeCell ref="A6:A13"/>
    <mergeCell ref="A1:G1"/>
    <mergeCell ref="A2:B3"/>
    <mergeCell ref="C2:C3"/>
    <mergeCell ref="D2:D3"/>
    <mergeCell ref="E2:E3"/>
    <mergeCell ref="F2:F3"/>
    <mergeCell ref="G2:H2"/>
    <mergeCell ref="C6:C13"/>
    <mergeCell ref="A15:G15"/>
    <mergeCell ref="A16:B17"/>
    <mergeCell ref="C16:C17"/>
    <mergeCell ref="D16:D17"/>
    <mergeCell ref="E16:E17"/>
    <mergeCell ref="F16:F17"/>
    <mergeCell ref="G16:H16"/>
    <mergeCell ref="A21:G21"/>
    <mergeCell ref="A22:B23"/>
    <mergeCell ref="C22:C23"/>
    <mergeCell ref="D22:D23"/>
    <mergeCell ref="E22:E23"/>
    <mergeCell ref="F22:F23"/>
    <mergeCell ref="G22:H22"/>
    <mergeCell ref="C33:C34"/>
    <mergeCell ref="A28:G28"/>
    <mergeCell ref="A29:B30"/>
    <mergeCell ref="C29:C30"/>
    <mergeCell ref="D29:D30"/>
    <mergeCell ref="E29:E30"/>
    <mergeCell ref="F29:F30"/>
    <mergeCell ref="G29:H29"/>
    <mergeCell ref="A36:G36"/>
    <mergeCell ref="A37:B38"/>
    <mergeCell ref="C37:C38"/>
    <mergeCell ref="D37:D38"/>
    <mergeCell ref="E37:E38"/>
    <mergeCell ref="F37:F38"/>
    <mergeCell ref="G37:H37"/>
    <mergeCell ref="A42:G42"/>
    <mergeCell ref="A43:B44"/>
    <mergeCell ref="C43:C44"/>
    <mergeCell ref="D43:D44"/>
    <mergeCell ref="E43:E44"/>
    <mergeCell ref="F43:F44"/>
    <mergeCell ref="G43:H43"/>
    <mergeCell ref="A48:G48"/>
    <mergeCell ref="A49:B50"/>
    <mergeCell ref="C49:C50"/>
    <mergeCell ref="D49:D50"/>
    <mergeCell ref="E49:E50"/>
    <mergeCell ref="F49:F50"/>
    <mergeCell ref="G49:H49"/>
    <mergeCell ref="A54:G54"/>
    <mergeCell ref="A55:B56"/>
    <mergeCell ref="C55:C56"/>
    <mergeCell ref="D55:D56"/>
    <mergeCell ref="E55:E56"/>
    <mergeCell ref="F55:F56"/>
    <mergeCell ref="G55:H55"/>
    <mergeCell ref="A60:G60"/>
    <mergeCell ref="A61:B62"/>
    <mergeCell ref="C61:C62"/>
    <mergeCell ref="D61:D62"/>
    <mergeCell ref="E61:E62"/>
    <mergeCell ref="F61:F62"/>
    <mergeCell ref="G61:H61"/>
    <mergeCell ref="A66:G66"/>
    <mergeCell ref="A67:B68"/>
    <mergeCell ref="C67:C68"/>
    <mergeCell ref="D67:D68"/>
    <mergeCell ref="E67:E68"/>
    <mergeCell ref="F67:F68"/>
    <mergeCell ref="G67:H67"/>
    <mergeCell ref="A72:G72"/>
    <mergeCell ref="A73:B74"/>
    <mergeCell ref="C73:C74"/>
    <mergeCell ref="D73:D74"/>
    <mergeCell ref="E73:E74"/>
    <mergeCell ref="F73:F74"/>
    <mergeCell ref="G73:H73"/>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652F68-69A6-4BF7-ABE4-D70421AF7131}">
  <sheetPr codeName="Sheet5">
    <tabColor rgb="FF006666"/>
  </sheetPr>
  <dimension ref="A1:D10"/>
  <sheetViews>
    <sheetView workbookViewId="0">
      <selection activeCell="E34" sqref="E34"/>
    </sheetView>
  </sheetViews>
  <sheetFormatPr defaultRowHeight="15"/>
  <cols>
    <col min="1" max="1" width="21.7109375" customWidth="1"/>
    <col min="2" max="2" width="12.7109375" bestFit="1" customWidth="1"/>
    <col min="3" max="3" width="14.85546875" customWidth="1"/>
    <col min="4" max="4" width="32.5703125" customWidth="1"/>
  </cols>
  <sheetData>
    <row r="1" spans="1:4" ht="21">
      <c r="A1" s="383" t="s">
        <v>231</v>
      </c>
      <c r="B1" s="383"/>
      <c r="C1" s="383"/>
      <c r="D1" s="383"/>
    </row>
    <row r="2" spans="1:4" ht="15.75" customHeight="1">
      <c r="A2" s="408" t="s">
        <v>34</v>
      </c>
      <c r="B2" s="409"/>
      <c r="C2" s="409"/>
      <c r="D2" s="410"/>
    </row>
    <row r="3" spans="1:4" ht="15.75" customHeight="1">
      <c r="A3" s="411" t="s">
        <v>35</v>
      </c>
      <c r="B3" s="412"/>
      <c r="C3" s="412"/>
      <c r="D3" s="413"/>
    </row>
    <row r="4" spans="1:4" ht="15.75" customHeight="1">
      <c r="A4" s="411" t="s">
        <v>36</v>
      </c>
      <c r="B4" s="412"/>
      <c r="C4" s="412"/>
      <c r="D4" s="413"/>
    </row>
    <row r="5" spans="1:4" ht="15.75">
      <c r="A5" s="2" t="s">
        <v>7</v>
      </c>
      <c r="B5" s="3">
        <v>40000000</v>
      </c>
      <c r="C5" s="2" t="s">
        <v>20</v>
      </c>
      <c r="D5" s="3">
        <v>5000000</v>
      </c>
    </row>
    <row r="6" spans="1:4" ht="15.75">
      <c r="A6" s="2" t="s">
        <v>37</v>
      </c>
      <c r="B6" s="3">
        <v>15000000</v>
      </c>
      <c r="C6" s="2" t="s">
        <v>38</v>
      </c>
      <c r="D6" s="3">
        <v>55000000</v>
      </c>
    </row>
    <row r="7" spans="1:4" ht="15.75">
      <c r="A7" s="2" t="s">
        <v>18</v>
      </c>
      <c r="B7" s="3">
        <v>2000000</v>
      </c>
      <c r="C7" s="414"/>
      <c r="D7" s="415"/>
    </row>
    <row r="8" spans="1:4" ht="15.75">
      <c r="A8" s="2" t="s">
        <v>19</v>
      </c>
      <c r="B8" s="3">
        <v>3000000</v>
      </c>
      <c r="C8" s="416"/>
      <c r="D8" s="417"/>
    </row>
    <row r="9" spans="1:4" ht="18">
      <c r="A9" s="4"/>
      <c r="B9" s="4"/>
      <c r="C9" s="418"/>
      <c r="D9" s="419"/>
    </row>
    <row r="10" spans="1:4" ht="31.5">
      <c r="A10" s="2" t="s">
        <v>39</v>
      </c>
      <c r="B10" s="3">
        <v>60000000</v>
      </c>
      <c r="C10" s="2" t="s">
        <v>40</v>
      </c>
      <c r="D10" s="3">
        <v>60000000</v>
      </c>
    </row>
  </sheetData>
  <mergeCells count="5">
    <mergeCell ref="A2:D2"/>
    <mergeCell ref="A3:D3"/>
    <mergeCell ref="A4:D4"/>
    <mergeCell ref="C7:D9"/>
    <mergeCell ref="A1:D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198192-77AB-4754-9B9E-247E8DCB180C}">
  <sheetPr codeName="Sheet6">
    <tabColor rgb="FF006666"/>
  </sheetPr>
  <dimension ref="A1:E14"/>
  <sheetViews>
    <sheetView workbookViewId="0">
      <selection sqref="A1:C1"/>
    </sheetView>
  </sheetViews>
  <sheetFormatPr defaultRowHeight="15"/>
  <cols>
    <col min="1" max="1" width="11.28515625" customWidth="1"/>
    <col min="2" max="2" width="35.7109375" customWidth="1"/>
    <col min="3" max="3" width="11.42578125" customWidth="1"/>
    <col min="4" max="5" width="12.7109375" bestFit="1" customWidth="1"/>
  </cols>
  <sheetData>
    <row r="1" spans="1:5" ht="15.75">
      <c r="A1" s="420" t="s">
        <v>70</v>
      </c>
      <c r="B1" s="421"/>
      <c r="C1" s="422"/>
      <c r="D1" s="420" t="s">
        <v>29</v>
      </c>
      <c r="E1" s="422"/>
    </row>
    <row r="2" spans="1:5" ht="15.75">
      <c r="A2" s="56" t="s">
        <v>1</v>
      </c>
      <c r="B2" s="56" t="s">
        <v>3</v>
      </c>
      <c r="C2" s="56" t="s">
        <v>30</v>
      </c>
      <c r="D2" s="56" t="s">
        <v>4</v>
      </c>
      <c r="E2" s="56" t="s">
        <v>5</v>
      </c>
    </row>
    <row r="3" spans="1:5" ht="15.75">
      <c r="A3" s="6" t="s">
        <v>71</v>
      </c>
      <c r="B3" s="6" t="s">
        <v>7</v>
      </c>
      <c r="C3" s="57"/>
      <c r="D3" s="8">
        <v>40000</v>
      </c>
      <c r="E3" s="6"/>
    </row>
    <row r="4" spans="1:5" ht="15.75">
      <c r="A4" s="6"/>
      <c r="B4" s="6" t="s">
        <v>72</v>
      </c>
      <c r="C4" s="57"/>
      <c r="D4" s="6"/>
      <c r="E4" s="8">
        <v>40000</v>
      </c>
    </row>
    <row r="5" spans="1:5" ht="15.75">
      <c r="A5" s="6" t="s">
        <v>71</v>
      </c>
      <c r="B5" s="6" t="s">
        <v>72</v>
      </c>
      <c r="C5" s="57"/>
      <c r="D5" s="8">
        <v>45000</v>
      </c>
      <c r="E5" s="6"/>
    </row>
    <row r="6" spans="1:5" ht="15.75">
      <c r="A6" s="6"/>
      <c r="B6" s="6" t="s">
        <v>75</v>
      </c>
      <c r="C6" s="57"/>
      <c r="D6" s="6"/>
      <c r="E6" s="8">
        <v>45000</v>
      </c>
    </row>
    <row r="7" spans="1:5" ht="15.75">
      <c r="A7" s="6" t="s">
        <v>71</v>
      </c>
      <c r="B7" s="6" t="s">
        <v>25</v>
      </c>
      <c r="C7" s="57"/>
      <c r="D7" s="8">
        <v>5000</v>
      </c>
      <c r="E7" s="6"/>
    </row>
    <row r="8" spans="1:5" ht="15.75">
      <c r="A8" s="6"/>
      <c r="B8" s="6" t="s">
        <v>76</v>
      </c>
      <c r="C8" s="57"/>
      <c r="D8" s="6"/>
      <c r="E8" s="8">
        <v>5000</v>
      </c>
    </row>
    <row r="9" spans="1:5" ht="15.75">
      <c r="A9" s="6" t="s">
        <v>71</v>
      </c>
      <c r="B9" s="6" t="s">
        <v>73</v>
      </c>
      <c r="C9" s="57"/>
      <c r="D9" s="8">
        <v>2000</v>
      </c>
      <c r="E9" s="6"/>
    </row>
    <row r="10" spans="1:5" ht="15.75">
      <c r="A10" s="6"/>
      <c r="B10" s="6" t="s">
        <v>77</v>
      </c>
      <c r="C10" s="57"/>
      <c r="D10" s="6"/>
      <c r="E10" s="8">
        <v>2000</v>
      </c>
    </row>
    <row r="11" spans="1:5" ht="15.75">
      <c r="A11" s="6" t="s">
        <v>71</v>
      </c>
      <c r="B11" s="6" t="s">
        <v>74</v>
      </c>
      <c r="C11" s="57"/>
      <c r="D11" s="8">
        <v>1000</v>
      </c>
      <c r="E11" s="6"/>
    </row>
    <row r="12" spans="1:5" ht="15.75">
      <c r="A12" s="6"/>
      <c r="B12" s="6" t="s">
        <v>78</v>
      </c>
      <c r="C12" s="57"/>
      <c r="D12" s="6"/>
      <c r="E12" s="8">
        <v>1000</v>
      </c>
    </row>
    <row r="14" spans="1:5">
      <c r="D14" s="34"/>
      <c r="E14" s="34"/>
    </row>
  </sheetData>
  <mergeCells count="2">
    <mergeCell ref="A1:C1"/>
    <mergeCell ref="D1:E1"/>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A234AF-4D0C-41AA-A2E6-6FB2E4400E49}">
  <sheetPr codeName="Sheet7">
    <tabColor rgb="FF006666"/>
  </sheetPr>
  <dimension ref="A1:H21"/>
  <sheetViews>
    <sheetView workbookViewId="0">
      <selection activeCell="C4" sqref="C4:D4"/>
    </sheetView>
  </sheetViews>
  <sheetFormatPr defaultRowHeight="15"/>
  <cols>
    <col min="1" max="1" width="32.140625" customWidth="1"/>
    <col min="2" max="2" width="16.140625" customWidth="1"/>
    <col min="3" max="4" width="13.85546875" bestFit="1" customWidth="1"/>
    <col min="5" max="6" width="12.85546875" bestFit="1" customWidth="1"/>
    <col min="7" max="7" width="13.85546875" bestFit="1" customWidth="1"/>
    <col min="8" max="8" width="15" customWidth="1"/>
  </cols>
  <sheetData>
    <row r="1" spans="1:8">
      <c r="A1" s="423" t="s">
        <v>34</v>
      </c>
      <c r="B1" s="424"/>
      <c r="C1" s="424"/>
      <c r="D1" s="424"/>
      <c r="E1" s="424"/>
      <c r="F1" s="424"/>
      <c r="G1" s="424"/>
      <c r="H1" s="425"/>
    </row>
    <row r="2" spans="1:8">
      <c r="A2" s="426" t="s">
        <v>79</v>
      </c>
      <c r="B2" s="427"/>
      <c r="C2" s="427"/>
      <c r="D2" s="427"/>
      <c r="E2" s="427"/>
      <c r="F2" s="427"/>
      <c r="G2" s="427"/>
      <c r="H2" s="428"/>
    </row>
    <row r="3" spans="1:8">
      <c r="A3" s="429" t="s">
        <v>80</v>
      </c>
      <c r="B3" s="430"/>
      <c r="C3" s="430"/>
      <c r="D3" s="430"/>
      <c r="E3" s="430"/>
      <c r="F3" s="430"/>
      <c r="G3" s="430"/>
      <c r="H3" s="431"/>
    </row>
    <row r="4" spans="1:8" ht="15.75">
      <c r="A4" s="432" t="s">
        <v>81</v>
      </c>
      <c r="B4" s="54" t="s">
        <v>88</v>
      </c>
      <c r="C4" s="434" t="s">
        <v>82</v>
      </c>
      <c r="D4" s="435"/>
      <c r="E4" s="434" t="s">
        <v>83</v>
      </c>
      <c r="F4" s="435"/>
      <c r="G4" s="434" t="s">
        <v>84</v>
      </c>
      <c r="H4" s="435"/>
    </row>
    <row r="5" spans="1:8" ht="15.75">
      <c r="A5" s="433"/>
      <c r="B5" s="301" t="s">
        <v>89</v>
      </c>
      <c r="C5" s="286" t="s">
        <v>4</v>
      </c>
      <c r="D5" s="286" t="s">
        <v>5</v>
      </c>
      <c r="E5" s="286" t="s">
        <v>4</v>
      </c>
      <c r="F5" s="286" t="s">
        <v>5</v>
      </c>
      <c r="G5" s="286" t="s">
        <v>4</v>
      </c>
      <c r="H5" s="286" t="s">
        <v>5</v>
      </c>
    </row>
    <row r="6" spans="1:8" ht="15.75">
      <c r="A6" s="232" t="s">
        <v>7</v>
      </c>
      <c r="B6" s="302" t="str" cm="1">
        <f t="array" ref="B6">_xlfn.IFS(C6&gt;0,"D",D6&gt;0,"K",E6&gt;0,"D",F6&gt;0,"K")</f>
        <v>D</v>
      </c>
      <c r="C6" s="303">
        <v>95000</v>
      </c>
      <c r="D6" s="112"/>
      <c r="E6" s="304">
        <f>IF(SUMIF('KAUSUS 3.2'!$B$3:$B$12,$A6,'KAUSUS 3.2'!D$3:D$12)=0,"-",SUMIF('KAUSUS 3.2'!$B$3:$B$12,$A6,'KAUSUS 3.2'!D$3:D$12))</f>
        <v>40000</v>
      </c>
      <c r="F6" s="304">
        <f>SUMIF('KAUSUS 3.2'!$B$3:$B$12,$A6,'KAUSUS 3.2'!E$3:E$12)</f>
        <v>0</v>
      </c>
      <c r="G6" s="304">
        <f>IF(B6="D",ABS((C6+E6)-F6),0)</f>
        <v>135000</v>
      </c>
      <c r="H6" s="304">
        <f>IF(B6="K",ABS((D6-E6)+F6),0)</f>
        <v>0</v>
      </c>
    </row>
    <row r="7" spans="1:8" ht="15.75">
      <c r="A7" s="232" t="s">
        <v>77</v>
      </c>
      <c r="B7" s="302" t="str" cm="1">
        <f t="array" ref="B7">_xlfn.IFS(C7&gt;0,"D",D7&gt;0,"K",E7&gt;0,"D",F7&gt;0,"K")</f>
        <v>D</v>
      </c>
      <c r="C7" s="303">
        <v>15000</v>
      </c>
      <c r="D7" s="112"/>
      <c r="E7" s="304">
        <f>SUMIF('KAUSUS 3.2'!$B$3:$B$12,$A7,'KAUSUS 3.2'!D$3:D$12)</f>
        <v>0</v>
      </c>
      <c r="F7" s="304">
        <f>SUMIF('KAUSUS 3.2'!$B$3:$B$12,$A7,'KAUSUS 3.2'!E$3:E$12)</f>
        <v>2000</v>
      </c>
      <c r="G7" s="304">
        <f t="shared" ref="G7:G18" si="0">IF(B7="D",ABS((C7+E7)-F7),0)</f>
        <v>13000</v>
      </c>
      <c r="H7" s="304">
        <f t="shared" ref="H7:H18" si="1">IF(B7="K",ABS((D7-E7)+F7),0)</f>
        <v>0</v>
      </c>
    </row>
    <row r="8" spans="1:8" ht="15.75">
      <c r="A8" s="232" t="s">
        <v>18</v>
      </c>
      <c r="B8" s="302" t="str" cm="1">
        <f t="array" ref="B8">_xlfn.IFS(C8&gt;0,"D",D8&gt;0,"K",E8&gt;0,"D",F8&gt;0,"K")</f>
        <v>D</v>
      </c>
      <c r="C8" s="303">
        <v>2000</v>
      </c>
      <c r="D8" s="303"/>
      <c r="E8" s="304">
        <f>SUMIF('KAUSUS 3.2'!$B$3:$B$12,$A8,'KAUSUS 3.2'!D$3:D$12)</f>
        <v>0</v>
      </c>
      <c r="F8" s="304">
        <f>SUMIF('KAUSUS 3.2'!$B$3:$B$12,$A8,'KAUSUS 3.2'!E$3:E$12)</f>
        <v>0</v>
      </c>
      <c r="G8" s="304">
        <f t="shared" si="0"/>
        <v>2000</v>
      </c>
      <c r="H8" s="304">
        <f t="shared" si="1"/>
        <v>0</v>
      </c>
    </row>
    <row r="9" spans="1:8" ht="15.75">
      <c r="A9" s="232" t="s">
        <v>19</v>
      </c>
      <c r="B9" s="302" t="str" cm="1">
        <f t="array" ref="B9">_xlfn.IFS(C9&gt;0,"D",D9&gt;0,"K",E9&gt;0,"D",F9&gt;0,"K")</f>
        <v>D</v>
      </c>
      <c r="C9" s="303">
        <v>3000</v>
      </c>
      <c r="D9" s="303"/>
      <c r="E9" s="304">
        <f>SUMIF('KAUSUS 3.2'!$B$3:$B$12,$A9,'KAUSUS 3.2'!D$3:D$12)</f>
        <v>0</v>
      </c>
      <c r="F9" s="304">
        <f>SUMIF('KAUSUS 3.2'!$B$3:$B$12,$A9,'KAUSUS 3.2'!E$3:E$12)</f>
        <v>0</v>
      </c>
      <c r="G9" s="304">
        <f t="shared" si="0"/>
        <v>3000</v>
      </c>
      <c r="H9" s="304">
        <f t="shared" si="1"/>
        <v>0</v>
      </c>
    </row>
    <row r="10" spans="1:8" ht="15.75">
      <c r="A10" s="232" t="s">
        <v>20</v>
      </c>
      <c r="B10" s="302" t="str" cm="1">
        <f t="array" ref="B10">_xlfn.IFS(C10&gt;0,"D",D10&gt;0,"K",E10&gt;0,"D",F10&gt;0,"K")</f>
        <v>K</v>
      </c>
      <c r="C10" s="303">
        <v>0</v>
      </c>
      <c r="D10" s="303">
        <v>5000</v>
      </c>
      <c r="E10" s="304">
        <f>SUMIF('KAUSUS 3.2'!$B$3:$B$12,$A10,'KAUSUS 3.2'!D$3:D$12)</f>
        <v>0</v>
      </c>
      <c r="F10" s="304">
        <f>SUMIF('KAUSUS 3.2'!$B$3:$B$12,$A10,'KAUSUS 3.2'!E$3:E$12)</f>
        <v>0</v>
      </c>
      <c r="G10" s="304">
        <f t="shared" si="0"/>
        <v>0</v>
      </c>
      <c r="H10" s="304">
        <f t="shared" si="1"/>
        <v>5000</v>
      </c>
    </row>
    <row r="11" spans="1:8" ht="15.75">
      <c r="A11" s="232" t="s">
        <v>72</v>
      </c>
      <c r="B11" s="302" t="str" cm="1">
        <f t="array" ref="B11">_xlfn.IFS(C11&gt;0,"D",D11&gt;0,"K",E11&gt;0,"D",F11&gt;0,"K")</f>
        <v>K</v>
      </c>
      <c r="C11" s="303">
        <v>0</v>
      </c>
      <c r="D11" s="303">
        <v>10000</v>
      </c>
      <c r="E11" s="304">
        <f>SUMIF('KAUSUS 3.2'!$B$3:$B$12,$A11,'KAUSUS 3.2'!D$3:D$12)</f>
        <v>45000</v>
      </c>
      <c r="F11" s="304">
        <f>SUMIF('KAUSUS 3.2'!$B$3:$B$12,$A11,'KAUSUS 3.2'!E$3:E$12)</f>
        <v>40000</v>
      </c>
      <c r="G11" s="304">
        <f t="shared" si="0"/>
        <v>0</v>
      </c>
      <c r="H11" s="304">
        <f t="shared" si="1"/>
        <v>5000</v>
      </c>
    </row>
    <row r="12" spans="1:8" ht="15.75">
      <c r="A12" s="232" t="s">
        <v>38</v>
      </c>
      <c r="B12" s="302" t="str" cm="1">
        <f t="array" ref="B12">_xlfn.IFS(C12&gt;0,"D",D12&gt;0,"K",E12&gt;0,"D",F12&gt;0,"K")</f>
        <v>K</v>
      </c>
      <c r="C12" s="303">
        <v>0</v>
      </c>
      <c r="D12" s="303">
        <v>55000</v>
      </c>
      <c r="E12" s="304">
        <f>SUMIF('KAUSUS 3.2'!$B$3:$B$12,$A12,'KAUSUS 3.2'!D$3:D$12)</f>
        <v>0</v>
      </c>
      <c r="F12" s="304">
        <f>SUMIF('KAUSUS 3.2'!$B$3:$B$12,$A12,'KAUSUS 3.2'!E$3:E$12)</f>
        <v>0</v>
      </c>
      <c r="G12" s="304">
        <f t="shared" si="0"/>
        <v>0</v>
      </c>
      <c r="H12" s="304">
        <f t="shared" si="1"/>
        <v>55000</v>
      </c>
    </row>
    <row r="13" spans="1:8" ht="15.75">
      <c r="A13" s="232" t="s">
        <v>75</v>
      </c>
      <c r="B13" s="302" t="str" cm="1">
        <f t="array" ref="B13">_xlfn.IFS(C13&gt;0,"D",D13&gt;0,"K",E13&gt;0,"D",F13&gt;0,"K")</f>
        <v>K</v>
      </c>
      <c r="C13" s="303">
        <v>0</v>
      </c>
      <c r="D13" s="303">
        <v>50000</v>
      </c>
      <c r="E13" s="304">
        <f>SUMIF('KAUSUS 3.2'!$B$3:$B$12,$A13,'KAUSUS 3.2'!D$3:D$12)</f>
        <v>0</v>
      </c>
      <c r="F13" s="304">
        <f>SUMIF('KAUSUS 3.2'!$B$3:$B$12,$A13,'KAUSUS 3.2'!E$3:E$12)</f>
        <v>45000</v>
      </c>
      <c r="G13" s="304">
        <f t="shared" si="0"/>
        <v>0</v>
      </c>
      <c r="H13" s="304">
        <f t="shared" si="1"/>
        <v>95000</v>
      </c>
    </row>
    <row r="14" spans="1:8" ht="15.75">
      <c r="A14" s="232" t="s">
        <v>25</v>
      </c>
      <c r="B14" s="302" t="str" cm="1">
        <f t="array" ref="B14">_xlfn.IFS(C14&gt;0,"D",D14&gt;0,"K",E14&gt;0,"D",F14&gt;0,"K")</f>
        <v>D</v>
      </c>
      <c r="C14" s="303">
        <v>5000</v>
      </c>
      <c r="D14" s="112">
        <v>0</v>
      </c>
      <c r="E14" s="304">
        <f>SUMIF('KAUSUS 3.2'!$B$3:$B$12,$A14,'KAUSUS 3.2'!D$3:D$12)</f>
        <v>5000</v>
      </c>
      <c r="F14" s="304">
        <f>SUMIF('KAUSUS 3.2'!$B$3:$B$12,$A14,'KAUSUS 3.2'!E$3:E$12)</f>
        <v>0</v>
      </c>
      <c r="G14" s="304">
        <f t="shared" si="0"/>
        <v>10000</v>
      </c>
      <c r="H14" s="304">
        <f t="shared" si="1"/>
        <v>0</v>
      </c>
    </row>
    <row r="15" spans="1:8" ht="15.75">
      <c r="A15" s="232" t="s">
        <v>76</v>
      </c>
      <c r="B15" s="302" t="str" cm="1">
        <f t="array" ref="B15">_xlfn.IFS(C15&gt;0,"D",D15&gt;0,"K",E15&gt;0,"D",F15&gt;0,"K")</f>
        <v>K</v>
      </c>
      <c r="C15" s="112">
        <v>0</v>
      </c>
      <c r="D15" s="112">
        <v>0</v>
      </c>
      <c r="E15" s="304">
        <f>SUMIF('KAUSUS 3.2'!$B$3:$B$12,$A15,'KAUSUS 3.2'!D$3:D$12)</f>
        <v>0</v>
      </c>
      <c r="F15" s="304">
        <f>SUMIF('KAUSUS 3.2'!$B$3:$B$12,$A15,'KAUSUS 3.2'!E$3:E$12)</f>
        <v>5000</v>
      </c>
      <c r="G15" s="304">
        <f t="shared" si="0"/>
        <v>0</v>
      </c>
      <c r="H15" s="304">
        <f t="shared" si="1"/>
        <v>5000</v>
      </c>
    </row>
    <row r="16" spans="1:8" ht="15.75">
      <c r="A16" s="232" t="s">
        <v>86</v>
      </c>
      <c r="B16" s="302" t="str" cm="1">
        <f t="array" ref="B16">_xlfn.IFS(C16&gt;0,"D",D16&gt;0,"K",E16&gt;0,"D",F16&gt;0,"K")</f>
        <v>D</v>
      </c>
      <c r="C16" s="112">
        <v>0</v>
      </c>
      <c r="D16" s="112">
        <v>0</v>
      </c>
      <c r="E16" s="304">
        <f>SUMIF('KAUSUS 3.2'!$B$3:$B$12,$A16,'KAUSUS 3.2'!D$3:D$12)</f>
        <v>2000</v>
      </c>
      <c r="F16" s="304">
        <f>SUMIF('KAUSUS 3.2'!$B$3:$B$12,$A16,'KAUSUS 3.2'!E$3:E$12)</f>
        <v>0</v>
      </c>
      <c r="G16" s="304">
        <f t="shared" si="0"/>
        <v>2000</v>
      </c>
      <c r="H16" s="304">
        <f t="shared" si="1"/>
        <v>0</v>
      </c>
    </row>
    <row r="17" spans="1:8" ht="15.75">
      <c r="A17" s="232" t="s">
        <v>74</v>
      </c>
      <c r="B17" s="302" t="str" cm="1">
        <f t="array" ref="B17">_xlfn.IFS(C17&gt;0,"D",D17&gt;0,"K",E17&gt;0,"D",F17&gt;0,"K")</f>
        <v>D</v>
      </c>
      <c r="C17" s="112">
        <v>0</v>
      </c>
      <c r="D17" s="112">
        <v>0</v>
      </c>
      <c r="E17" s="304">
        <f>SUMIF('KAUSUS 3.2'!$B$3:$B$12,$A17,'KAUSUS 3.2'!D$3:D$12)</f>
        <v>1000</v>
      </c>
      <c r="F17" s="304">
        <f>SUMIF('KAUSUS 3.2'!$B$3:$B$12,$A17,'KAUSUS 3.2'!E$3:E$12)</f>
        <v>0</v>
      </c>
      <c r="G17" s="304">
        <f t="shared" si="0"/>
        <v>1000</v>
      </c>
      <c r="H17" s="304">
        <f t="shared" si="1"/>
        <v>0</v>
      </c>
    </row>
    <row r="18" spans="1:8" ht="15.75">
      <c r="A18" s="232" t="str">
        <f>'KAUSUS 3.2'!B12</f>
        <v>Akum.Penyusutan Peralatan</v>
      </c>
      <c r="B18" s="302" t="str" cm="1">
        <f t="array" ref="B18">_xlfn.IFS(C18&gt;0,"D",D18&gt;0,"K",E18&gt;0,"D",F18&gt;0,"K")</f>
        <v>K</v>
      </c>
      <c r="C18" s="112">
        <v>0</v>
      </c>
      <c r="D18" s="112">
        <v>0</v>
      </c>
      <c r="E18" s="304">
        <f>SUMIF('KAUSUS 3.2'!$B$3:$B$12,$A18,'KAUSUS 3.2'!D$3:D$12)</f>
        <v>0</v>
      </c>
      <c r="F18" s="304">
        <f>SUMIF('KAUSUS 3.2'!$B$3:$B$12,$A18,'KAUSUS 3.2'!E$3:E$12)</f>
        <v>1000</v>
      </c>
      <c r="G18" s="304">
        <f t="shared" si="0"/>
        <v>0</v>
      </c>
      <c r="H18" s="304">
        <f t="shared" si="1"/>
        <v>1000</v>
      </c>
    </row>
    <row r="19" spans="1:8" ht="15.75">
      <c r="A19" s="232" t="s">
        <v>27</v>
      </c>
      <c r="B19" s="232"/>
      <c r="C19" s="304">
        <v>120000</v>
      </c>
      <c r="D19" s="304">
        <v>120000</v>
      </c>
      <c r="E19" s="304">
        <f>SUM(E6:E18)</f>
        <v>93000</v>
      </c>
      <c r="F19" s="304">
        <f>SUM(F6:F18)</f>
        <v>93000</v>
      </c>
      <c r="G19" s="304">
        <f>SUM(G6:G18)</f>
        <v>166000</v>
      </c>
      <c r="H19" s="304">
        <f>SUM(H6:H18)</f>
        <v>166000</v>
      </c>
    </row>
    <row r="21" spans="1:8">
      <c r="F21" s="34"/>
    </row>
  </sheetData>
  <mergeCells count="7">
    <mergeCell ref="A1:H1"/>
    <mergeCell ref="A2:H2"/>
    <mergeCell ref="A3:H3"/>
    <mergeCell ref="A4:A5"/>
    <mergeCell ref="C4:D4"/>
    <mergeCell ref="E4:F4"/>
    <mergeCell ref="G4:H4"/>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FED1E0-5E84-4275-9CD9-3528566B93A6}">
  <sheetPr codeName="Sheet8">
    <tabColor theme="8" tint="0.39997558519241921"/>
  </sheetPr>
  <dimension ref="A1:G23"/>
  <sheetViews>
    <sheetView workbookViewId="0">
      <selection activeCell="A6" sqref="A6:G7"/>
    </sheetView>
  </sheetViews>
  <sheetFormatPr defaultRowHeight="15"/>
  <cols>
    <col min="1" max="1" width="37.28515625" customWidth="1"/>
    <col min="2" max="3" width="9.5703125" bestFit="1" customWidth="1"/>
    <col min="4" max="4" width="9.28515625" bestFit="1" customWidth="1"/>
    <col min="5" max="5" width="12.7109375" customWidth="1"/>
    <col min="6" max="7" width="9.5703125" bestFit="1" customWidth="1"/>
  </cols>
  <sheetData>
    <row r="1" spans="1:7" ht="26.25">
      <c r="A1" s="58" t="s">
        <v>232</v>
      </c>
      <c r="B1" s="45"/>
      <c r="C1" s="45"/>
    </row>
    <row r="2" spans="1:7" ht="26.25">
      <c r="A2" s="45"/>
      <c r="B2" s="45"/>
      <c r="C2" s="45"/>
    </row>
    <row r="3" spans="1:7" ht="15.75">
      <c r="A3" s="436" t="s">
        <v>34</v>
      </c>
      <c r="B3" s="437"/>
      <c r="C3" s="437"/>
      <c r="D3" s="437"/>
      <c r="E3" s="437"/>
      <c r="F3" s="437"/>
      <c r="G3" s="438"/>
    </row>
    <row r="4" spans="1:7" ht="15.75">
      <c r="A4" s="439" t="s">
        <v>79</v>
      </c>
      <c r="B4" s="440"/>
      <c r="C4" s="440"/>
      <c r="D4" s="440"/>
      <c r="E4" s="440"/>
      <c r="F4" s="440"/>
      <c r="G4" s="441"/>
    </row>
    <row r="5" spans="1:7" ht="15.75">
      <c r="A5" s="439" t="s">
        <v>80</v>
      </c>
      <c r="B5" s="440"/>
      <c r="C5" s="440"/>
      <c r="D5" s="440"/>
      <c r="E5" s="440"/>
      <c r="F5" s="440"/>
      <c r="G5" s="441"/>
    </row>
    <row r="6" spans="1:7" ht="15.75" customHeight="1">
      <c r="A6" s="393" t="s">
        <v>81</v>
      </c>
      <c r="B6" s="393" t="s">
        <v>84</v>
      </c>
      <c r="C6" s="393"/>
      <c r="D6" s="393" t="s">
        <v>90</v>
      </c>
      <c r="E6" s="393"/>
      <c r="F6" s="393" t="s">
        <v>35</v>
      </c>
      <c r="G6" s="393"/>
    </row>
    <row r="7" spans="1:7" ht="15.75" customHeight="1">
      <c r="A7" s="393"/>
      <c r="B7" s="284" t="s">
        <v>4</v>
      </c>
      <c r="C7" s="284" t="s">
        <v>5</v>
      </c>
      <c r="D7" s="284" t="s">
        <v>4</v>
      </c>
      <c r="E7" s="284" t="s">
        <v>5</v>
      </c>
      <c r="F7" s="284" t="s">
        <v>4</v>
      </c>
      <c r="G7" s="284" t="s">
        <v>5</v>
      </c>
    </row>
    <row r="8" spans="1:7" ht="15.75" customHeight="1">
      <c r="A8" s="2" t="s">
        <v>7</v>
      </c>
      <c r="B8" s="3">
        <v>135000</v>
      </c>
      <c r="C8" s="46" t="s">
        <v>48</v>
      </c>
      <c r="D8" s="46" t="s">
        <v>48</v>
      </c>
      <c r="E8" s="46" t="s">
        <v>48</v>
      </c>
      <c r="F8" s="3">
        <v>135000</v>
      </c>
      <c r="G8" s="46" t="s">
        <v>48</v>
      </c>
    </row>
    <row r="9" spans="1:7" ht="15.75">
      <c r="A9" s="2" t="s">
        <v>85</v>
      </c>
      <c r="B9" s="3">
        <v>13000</v>
      </c>
      <c r="C9" s="46" t="s">
        <v>48</v>
      </c>
      <c r="D9" s="46" t="s">
        <v>48</v>
      </c>
      <c r="E9" s="46" t="s">
        <v>48</v>
      </c>
      <c r="F9" s="3">
        <v>13000</v>
      </c>
      <c r="G9" s="46" t="s">
        <v>48</v>
      </c>
    </row>
    <row r="10" spans="1:7" ht="15.75">
      <c r="A10" s="2" t="s">
        <v>18</v>
      </c>
      <c r="B10" s="3">
        <v>2000</v>
      </c>
      <c r="C10" s="46" t="s">
        <v>48</v>
      </c>
      <c r="D10" s="46" t="s">
        <v>48</v>
      </c>
      <c r="E10" s="46" t="s">
        <v>48</v>
      </c>
      <c r="F10" s="3">
        <v>2000</v>
      </c>
      <c r="G10" s="46" t="s">
        <v>48</v>
      </c>
    </row>
    <row r="11" spans="1:7" ht="15.75">
      <c r="A11" s="2" t="s">
        <v>19</v>
      </c>
      <c r="B11" s="3">
        <v>3000</v>
      </c>
      <c r="C11" s="46" t="s">
        <v>48</v>
      </c>
      <c r="D11" s="46" t="s">
        <v>48</v>
      </c>
      <c r="E11" s="46" t="s">
        <v>48</v>
      </c>
      <c r="F11" s="3">
        <v>3000</v>
      </c>
      <c r="G11" s="46" t="s">
        <v>48</v>
      </c>
    </row>
    <row r="12" spans="1:7" ht="15.75">
      <c r="A12" s="2" t="s">
        <v>20</v>
      </c>
      <c r="B12" s="46" t="s">
        <v>48</v>
      </c>
      <c r="C12" s="3">
        <v>5000</v>
      </c>
      <c r="D12" s="46" t="s">
        <v>48</v>
      </c>
      <c r="E12" s="46" t="s">
        <v>48</v>
      </c>
      <c r="F12" s="46" t="s">
        <v>48</v>
      </c>
      <c r="G12" s="3">
        <v>5000</v>
      </c>
    </row>
    <row r="13" spans="1:7" ht="15.75">
      <c r="A13" s="2" t="s">
        <v>72</v>
      </c>
      <c r="B13" s="46" t="s">
        <v>48</v>
      </c>
      <c r="C13" s="3">
        <v>45500</v>
      </c>
      <c r="D13" s="46" t="s">
        <v>48</v>
      </c>
      <c r="E13" s="46" t="s">
        <v>48</v>
      </c>
      <c r="F13" s="46" t="s">
        <v>48</v>
      </c>
      <c r="G13" s="3">
        <v>45500</v>
      </c>
    </row>
    <row r="14" spans="1:7" ht="15.75">
      <c r="A14" s="2" t="s">
        <v>38</v>
      </c>
      <c r="B14" s="46" t="s">
        <v>48</v>
      </c>
      <c r="C14" s="3">
        <v>55000</v>
      </c>
      <c r="D14" s="46" t="s">
        <v>48</v>
      </c>
      <c r="E14" s="46" t="s">
        <v>48</v>
      </c>
      <c r="F14" s="46" t="s">
        <v>48</v>
      </c>
      <c r="G14" s="3">
        <v>55000</v>
      </c>
    </row>
    <row r="15" spans="1:7" ht="15.75">
      <c r="A15" s="2" t="s">
        <v>75</v>
      </c>
      <c r="B15" s="46" t="s">
        <v>48</v>
      </c>
      <c r="C15" s="3">
        <v>54500</v>
      </c>
      <c r="D15" s="46" t="s">
        <v>48</v>
      </c>
      <c r="E15" s="3">
        <v>54500</v>
      </c>
      <c r="F15" s="46" t="s">
        <v>48</v>
      </c>
      <c r="G15" s="46" t="s">
        <v>48</v>
      </c>
    </row>
    <row r="16" spans="1:7" ht="15.75">
      <c r="A16" s="2" t="s">
        <v>25</v>
      </c>
      <c r="B16" s="3">
        <v>10000</v>
      </c>
      <c r="C16" s="2"/>
      <c r="D16" s="3">
        <v>10000</v>
      </c>
      <c r="E16" s="46" t="s">
        <v>48</v>
      </c>
      <c r="F16" s="46" t="s">
        <v>48</v>
      </c>
      <c r="G16" s="46" t="s">
        <v>48</v>
      </c>
    </row>
    <row r="17" spans="1:7" ht="15.75">
      <c r="A17" s="2" t="s">
        <v>76</v>
      </c>
      <c r="B17" s="46" t="s">
        <v>91</v>
      </c>
      <c r="C17" s="3">
        <v>5000</v>
      </c>
      <c r="D17" s="46" t="s">
        <v>48</v>
      </c>
      <c r="E17" s="46" t="s">
        <v>48</v>
      </c>
      <c r="F17" s="46" t="s">
        <v>48</v>
      </c>
      <c r="G17" s="3">
        <v>5000</v>
      </c>
    </row>
    <row r="18" spans="1:7" ht="15.75">
      <c r="A18" s="2" t="s">
        <v>86</v>
      </c>
      <c r="B18" s="3">
        <v>2000</v>
      </c>
      <c r="C18" s="46" t="s">
        <v>48</v>
      </c>
      <c r="D18" s="3">
        <v>2000</v>
      </c>
      <c r="E18" s="46" t="s">
        <v>48</v>
      </c>
      <c r="F18" s="46" t="s">
        <v>48</v>
      </c>
      <c r="G18" s="46" t="s">
        <v>48</v>
      </c>
    </row>
    <row r="19" spans="1:7" ht="15.75">
      <c r="A19" s="2" t="s">
        <v>74</v>
      </c>
      <c r="B19" s="3">
        <v>1000</v>
      </c>
      <c r="C19" s="46" t="s">
        <v>48</v>
      </c>
      <c r="D19" s="3">
        <v>1000</v>
      </c>
      <c r="E19" s="46" t="s">
        <v>48</v>
      </c>
      <c r="F19" s="46" t="s">
        <v>48</v>
      </c>
      <c r="G19" s="46" t="s">
        <v>48</v>
      </c>
    </row>
    <row r="20" spans="1:7" ht="15.75">
      <c r="A20" s="2" t="s">
        <v>87</v>
      </c>
      <c r="B20" s="46" t="s">
        <v>48</v>
      </c>
      <c r="C20" s="3">
        <v>1000</v>
      </c>
      <c r="D20" s="46" t="s">
        <v>48</v>
      </c>
      <c r="E20" s="46" t="s">
        <v>48</v>
      </c>
      <c r="F20" s="46" t="s">
        <v>48</v>
      </c>
      <c r="G20" s="3">
        <v>1000</v>
      </c>
    </row>
    <row r="21" spans="1:7" ht="31.5">
      <c r="A21" s="2" t="s">
        <v>27</v>
      </c>
      <c r="B21" s="46" t="s">
        <v>92</v>
      </c>
      <c r="C21" s="3">
        <v>166000</v>
      </c>
      <c r="D21" s="3">
        <v>13000</v>
      </c>
      <c r="E21" s="3">
        <v>54500</v>
      </c>
      <c r="F21" s="3">
        <v>153000</v>
      </c>
      <c r="G21" s="3">
        <v>111500</v>
      </c>
    </row>
    <row r="22" spans="1:7" ht="15.75">
      <c r="A22" s="47"/>
      <c r="B22" s="47"/>
      <c r="C22" s="47"/>
      <c r="D22" s="59">
        <f>E21-D21</f>
        <v>41500</v>
      </c>
      <c r="E22" s="47"/>
      <c r="F22" s="59"/>
      <c r="G22" s="59">
        <f>F21-G21</f>
        <v>41500</v>
      </c>
    </row>
    <row r="23" spans="1:7" ht="15.75">
      <c r="A23" s="47"/>
      <c r="B23" s="47"/>
      <c r="C23" s="47"/>
      <c r="D23" s="59">
        <f>SUM(D21:D22)</f>
        <v>54500</v>
      </c>
      <c r="E23" s="59">
        <f>SUM(E21:E22)</f>
        <v>54500</v>
      </c>
      <c r="F23" s="59">
        <f t="shared" ref="F23:G23" si="0">SUM(F21:F22)</f>
        <v>153000</v>
      </c>
      <c r="G23" s="59">
        <f t="shared" si="0"/>
        <v>153000</v>
      </c>
    </row>
  </sheetData>
  <mergeCells count="7">
    <mergeCell ref="A3:G3"/>
    <mergeCell ref="A4:G4"/>
    <mergeCell ref="A5:G5"/>
    <mergeCell ref="A6:A7"/>
    <mergeCell ref="B6:C6"/>
    <mergeCell ref="D6:E6"/>
    <mergeCell ref="F6:G6"/>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CED030-81D2-4D71-A906-5BBEFE9A8D0F}">
  <sheetPr codeName="Sheet9">
    <tabColor theme="8" tint="0.39997558519241921"/>
  </sheetPr>
  <dimension ref="A1:H13"/>
  <sheetViews>
    <sheetView workbookViewId="0">
      <selection activeCell="E4" sqref="E4:H4"/>
    </sheetView>
  </sheetViews>
  <sheetFormatPr defaultRowHeight="15"/>
  <cols>
    <col min="1" max="1" width="39.85546875" customWidth="1"/>
    <col min="2" max="2" width="19.42578125" customWidth="1"/>
    <col min="3" max="3" width="19.5703125" customWidth="1"/>
    <col min="6" max="6" width="28.7109375" customWidth="1"/>
    <col min="7" max="7" width="18.5703125" customWidth="1"/>
    <col min="8" max="8" width="21.42578125" customWidth="1"/>
  </cols>
  <sheetData>
    <row r="1" spans="1:8" ht="15.75" customHeight="1">
      <c r="A1" s="377" t="s">
        <v>34</v>
      </c>
      <c r="B1" s="378"/>
      <c r="C1" s="379"/>
    </row>
    <row r="2" spans="1:8" ht="31.5" customHeight="1">
      <c r="A2" s="380" t="s">
        <v>93</v>
      </c>
      <c r="B2" s="381"/>
      <c r="C2" s="382"/>
    </row>
    <row r="3" spans="1:8" ht="15.75" customHeight="1">
      <c r="A3" s="380" t="s">
        <v>94</v>
      </c>
      <c r="B3" s="381"/>
      <c r="C3" s="382"/>
    </row>
    <row r="4" spans="1:8" ht="15.75" customHeight="1">
      <c r="A4" s="2" t="s">
        <v>7</v>
      </c>
      <c r="B4" s="3">
        <f>'KASUSS 4.1'!F8</f>
        <v>135000</v>
      </c>
      <c r="C4" s="15"/>
      <c r="E4" s="317"/>
      <c r="F4" s="318" t="s">
        <v>96</v>
      </c>
      <c r="G4" s="318" t="s">
        <v>4</v>
      </c>
      <c r="H4" s="318" t="s">
        <v>5</v>
      </c>
    </row>
    <row r="5" spans="1:8" ht="15.75">
      <c r="A5" s="2" t="s">
        <v>85</v>
      </c>
      <c r="B5" s="3">
        <f>'KASUSS 4.1'!F9</f>
        <v>13000</v>
      </c>
      <c r="C5" s="15"/>
      <c r="E5" s="52" t="s">
        <v>71</v>
      </c>
      <c r="F5" s="52" t="s">
        <v>97</v>
      </c>
      <c r="G5" s="53">
        <v>41500000</v>
      </c>
      <c r="H5" s="52"/>
    </row>
    <row r="6" spans="1:8" ht="15.75">
      <c r="A6" s="2" t="s">
        <v>18</v>
      </c>
      <c r="B6" s="3">
        <f>'KASUSS 4.1'!F10</f>
        <v>2000</v>
      </c>
      <c r="C6" s="49"/>
      <c r="E6" s="52"/>
      <c r="F6" s="52" t="s">
        <v>8</v>
      </c>
      <c r="G6" s="48"/>
      <c r="H6" s="53">
        <v>41500000</v>
      </c>
    </row>
    <row r="7" spans="1:8" ht="15.75">
      <c r="A7" s="2" t="s">
        <v>78</v>
      </c>
      <c r="B7" s="3"/>
      <c r="C7" s="3">
        <f>'KASUSS 4.1'!G20</f>
        <v>1000</v>
      </c>
    </row>
    <row r="8" spans="1:8" ht="15.75">
      <c r="A8" s="2" t="s">
        <v>19</v>
      </c>
      <c r="B8" s="3">
        <v>3000</v>
      </c>
      <c r="C8" s="15"/>
    </row>
    <row r="9" spans="1:8" ht="15.75">
      <c r="A9" s="2" t="s">
        <v>20</v>
      </c>
      <c r="B9" s="49"/>
      <c r="C9" s="3">
        <f>'KASUSS 4.1'!G12</f>
        <v>5000</v>
      </c>
    </row>
    <row r="10" spans="1:8" ht="15.75">
      <c r="A10" s="2" t="s">
        <v>72</v>
      </c>
      <c r="B10" s="15"/>
      <c r="C10" s="3">
        <f>'KASUSS 4.1'!G13</f>
        <v>45500</v>
      </c>
    </row>
    <row r="11" spans="1:8" ht="15.75">
      <c r="A11" s="2" t="s">
        <v>76</v>
      </c>
      <c r="B11" s="3"/>
      <c r="C11" s="50">
        <f>'KASUSS 4.1'!G17</f>
        <v>5000</v>
      </c>
    </row>
    <row r="12" spans="1:8" ht="15.75" customHeight="1">
      <c r="A12" s="2" t="s">
        <v>38</v>
      </c>
      <c r="B12" s="15"/>
      <c r="C12" s="51">
        <f>'KASUSS 4.1'!G14+'KASUSS 4.1'!G22</f>
        <v>96500</v>
      </c>
    </row>
    <row r="13" spans="1:8" ht="15.75">
      <c r="A13" s="2" t="s">
        <v>95</v>
      </c>
      <c r="B13" s="51">
        <f>SUM(B4:B12)</f>
        <v>153000</v>
      </c>
      <c r="C13" s="51">
        <f>SUM(C4:C12)</f>
        <v>153000</v>
      </c>
    </row>
  </sheetData>
  <mergeCells count="3">
    <mergeCell ref="A1:C1"/>
    <mergeCell ref="A2:C2"/>
    <mergeCell ref="A3:C3"/>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F99002-5B20-456F-B01F-C59DAA0771FD}">
  <sheetPr codeName="Sheet10">
    <tabColor rgb="FF006666"/>
  </sheetPr>
  <dimension ref="A1:I27"/>
  <sheetViews>
    <sheetView workbookViewId="0">
      <selection activeCell="E1" sqref="E1"/>
    </sheetView>
  </sheetViews>
  <sheetFormatPr defaultRowHeight="15"/>
  <cols>
    <col min="1" max="1" width="29.85546875" customWidth="1"/>
    <col min="2" max="2" width="25.5703125" customWidth="1"/>
    <col min="3" max="3" width="35" customWidth="1"/>
    <col min="4" max="4" width="18.140625" customWidth="1"/>
    <col min="5" max="5" width="29.5703125" customWidth="1"/>
    <col min="6" max="6" width="20.42578125" customWidth="1"/>
    <col min="7" max="7" width="30" customWidth="1"/>
    <col min="8" max="8" width="15" customWidth="1"/>
    <col min="9" max="9" width="15.5703125" customWidth="1"/>
  </cols>
  <sheetData>
    <row r="1" spans="1:9" ht="28.5">
      <c r="A1" s="129" t="s">
        <v>233</v>
      </c>
    </row>
    <row r="8" spans="1:9">
      <c r="E8" s="93"/>
      <c r="F8" s="93"/>
      <c r="G8" s="93"/>
      <c r="H8" s="93"/>
      <c r="I8" s="93"/>
    </row>
    <row r="9" spans="1:9" ht="31.5">
      <c r="A9" s="297" t="s">
        <v>98</v>
      </c>
      <c r="B9" s="297" t="s">
        <v>99</v>
      </c>
      <c r="C9" s="297" t="s">
        <v>100</v>
      </c>
      <c r="D9" s="297" t="str">
        <f>B22</f>
        <v>Persentase Kerugian</v>
      </c>
      <c r="E9" s="93"/>
      <c r="F9" s="93" t="s">
        <v>130</v>
      </c>
      <c r="G9" s="93" t="s">
        <v>129</v>
      </c>
      <c r="H9" s="93" t="s">
        <v>131</v>
      </c>
      <c r="I9" s="93" t="s">
        <v>132</v>
      </c>
    </row>
    <row r="10" spans="1:9" ht="15.75">
      <c r="A10" s="2" t="s">
        <v>101</v>
      </c>
      <c r="B10" s="3">
        <v>10000000</v>
      </c>
      <c r="C10" s="65" t="str">
        <f>G10</f>
        <v>Minggu, 19 November 2023</v>
      </c>
      <c r="D10" s="67" cm="1">
        <f t="array" ref="D10">_xlfn.IFS(I10&lt;1,$B$23,I10&lt;31,$B$24,I10&lt;61,$B$25,I10&lt;91,$B$26,I10&gt;=91,$B$27)</f>
        <v>0.12</v>
      </c>
      <c r="E10" s="93"/>
      <c r="F10" s="93">
        <f>DATE(2023,11,19)</f>
        <v>45249</v>
      </c>
      <c r="G10" s="93" t="str">
        <f>TEXT(F10,"[$-21]DDDD")&amp;", "&amp;TEXT(F10,"[$-21]DD MMMM YYYY")</f>
        <v>Minggu, 19 November 2023</v>
      </c>
      <c r="H10" s="93">
        <f>DATE(2023,12,31)</f>
        <v>45291</v>
      </c>
      <c r="I10" s="93">
        <f>H10-F10</f>
        <v>42</v>
      </c>
    </row>
    <row r="11" spans="1:9" ht="15.75">
      <c r="A11" s="2" t="s">
        <v>102</v>
      </c>
      <c r="B11" s="3">
        <v>5000000</v>
      </c>
      <c r="C11" s="65" t="str">
        <f t="shared" ref="C11:C19" si="0">G11</f>
        <v>Selasa, 05 Desember 2023</v>
      </c>
      <c r="D11" s="67" cm="1">
        <f t="array" ref="D11">_xlfn.IFS(I11&lt;1,$B$23,I11&lt;31,$B$24,I11&lt;61,$B$25,I11&lt;91,$B$26,I11&gt;=91,$B$27)</f>
        <v>0.05</v>
      </c>
      <c r="E11" s="93"/>
      <c r="F11" s="93">
        <f>DATE(2023,12,5)</f>
        <v>45265</v>
      </c>
      <c r="G11" s="93" t="str">
        <f t="shared" ref="G11:G19" si="1">TEXT(F11,"[$-21]DDDD")&amp;", "&amp;TEXT(F11,"[$-21]DD MMMM YYYY")</f>
        <v>Selasa, 05 Desember 2023</v>
      </c>
      <c r="H11" s="93">
        <f t="shared" ref="H11:H19" si="2">DATE(2023,12,31)</f>
        <v>45291</v>
      </c>
      <c r="I11" s="93">
        <f t="shared" ref="I11:I19" si="3">H11-F11</f>
        <v>26</v>
      </c>
    </row>
    <row r="12" spans="1:9" ht="15.75">
      <c r="A12" s="2" t="s">
        <v>103</v>
      </c>
      <c r="B12" s="3">
        <v>2000000</v>
      </c>
      <c r="C12" s="65" t="str">
        <f t="shared" si="0"/>
        <v>Senin, 03 Juli 2023</v>
      </c>
      <c r="D12" s="67" cm="1">
        <f t="array" ref="D12">_xlfn.IFS(I12&lt;1,$B$23,I12&lt;31,$B$24,I12&lt;61,$B$25,I12&lt;91,$B$26,I12&gt;=91,$B$27)</f>
        <v>0.25</v>
      </c>
      <c r="E12" s="93"/>
      <c r="F12" s="93">
        <f>DATE(2023,7,3)</f>
        <v>45110</v>
      </c>
      <c r="G12" s="93" t="str">
        <f t="shared" si="1"/>
        <v>Senin, 03 Juli 2023</v>
      </c>
      <c r="H12" s="93">
        <f t="shared" si="2"/>
        <v>45291</v>
      </c>
      <c r="I12" s="93">
        <f t="shared" si="3"/>
        <v>181</v>
      </c>
    </row>
    <row r="13" spans="1:9" ht="15.75">
      <c r="A13" s="2" t="s">
        <v>104</v>
      </c>
      <c r="B13" s="3">
        <v>3000000</v>
      </c>
      <c r="C13" s="65" t="str">
        <f t="shared" si="0"/>
        <v>Sabtu, 23 Desember 2023</v>
      </c>
      <c r="D13" s="67" cm="1">
        <f t="array" ref="D13">_xlfn.IFS(I13&lt;1,$B$23,I13&lt;31,$B$24,I13&lt;61,$B$25,I13&lt;91,$B$26,I13&gt;=91,$B$27)</f>
        <v>0.05</v>
      </c>
      <c r="E13" s="93"/>
      <c r="F13" s="93">
        <f>DATE(2023,12,23)</f>
        <v>45283</v>
      </c>
      <c r="G13" s="93" t="str">
        <f t="shared" si="1"/>
        <v>Sabtu, 23 Desember 2023</v>
      </c>
      <c r="H13" s="93">
        <f t="shared" si="2"/>
        <v>45291</v>
      </c>
      <c r="I13" s="93">
        <f t="shared" si="3"/>
        <v>8</v>
      </c>
    </row>
    <row r="14" spans="1:9" ht="15.75">
      <c r="A14" s="2" t="s">
        <v>105</v>
      </c>
      <c r="B14" s="3">
        <v>8000000</v>
      </c>
      <c r="C14" s="65" t="str">
        <f t="shared" si="0"/>
        <v>Senin, 20 November 2023</v>
      </c>
      <c r="D14" s="67" cm="1">
        <f t="array" ref="D14">_xlfn.IFS(I14&lt;1,$B$23,I14&lt;31,$B$24,I14&lt;61,$B$25,I14&lt;91,$B$26,I14&gt;=91,$B$27)</f>
        <v>0.12</v>
      </c>
      <c r="E14" s="93"/>
      <c r="F14" s="93">
        <f>DATE(2023,11,20)</f>
        <v>45250</v>
      </c>
      <c r="G14" s="93" t="str">
        <f t="shared" si="1"/>
        <v>Senin, 20 November 2023</v>
      </c>
      <c r="H14" s="93">
        <f t="shared" si="2"/>
        <v>45291</v>
      </c>
      <c r="I14" s="93">
        <f t="shared" si="3"/>
        <v>41</v>
      </c>
    </row>
    <row r="15" spans="1:9" ht="15.75">
      <c r="A15" s="2" t="s">
        <v>106</v>
      </c>
      <c r="B15" s="3">
        <v>2000000</v>
      </c>
      <c r="C15" s="65" t="str">
        <f t="shared" si="0"/>
        <v>Selasa, 23 Januari 2024</v>
      </c>
      <c r="D15" s="67" cm="1">
        <f t="array" ref="D15">_xlfn.IFS(I15&lt;1,$B$23,I15&lt;31,$B$24,I15&lt;61,$B$25,I15&lt;91,$B$26,I15&gt;=91,$B$27)</f>
        <v>0.02</v>
      </c>
      <c r="E15" s="93"/>
      <c r="F15" s="93">
        <f>DATE(2024,1,23)</f>
        <v>45314</v>
      </c>
      <c r="G15" s="93" t="str">
        <f t="shared" si="1"/>
        <v>Selasa, 23 Januari 2024</v>
      </c>
      <c r="H15" s="93">
        <f t="shared" si="2"/>
        <v>45291</v>
      </c>
      <c r="I15" s="93">
        <f t="shared" si="3"/>
        <v>-23</v>
      </c>
    </row>
    <row r="16" spans="1:9" ht="15.75">
      <c r="A16" s="2" t="s">
        <v>107</v>
      </c>
      <c r="B16" s="3">
        <v>40000000</v>
      </c>
      <c r="C16" s="65" t="str">
        <f t="shared" si="0"/>
        <v>Senin, 05 Februari 2024</v>
      </c>
      <c r="D16" s="67" cm="1">
        <f t="array" ref="D16">_xlfn.IFS(I16&lt;1,$B$23,I16&lt;31,$B$24,I16&lt;61,$B$25,I16&lt;91,$B$26,I16&gt;=91,$B$27)</f>
        <v>0.02</v>
      </c>
      <c r="E16" s="93"/>
      <c r="F16" s="93">
        <f>DATE(2024,2,5)</f>
        <v>45327</v>
      </c>
      <c r="G16" s="93" t="str">
        <f t="shared" si="1"/>
        <v>Senin, 05 Februari 2024</v>
      </c>
      <c r="H16" s="93">
        <f t="shared" si="2"/>
        <v>45291</v>
      </c>
      <c r="I16" s="93">
        <f t="shared" si="3"/>
        <v>-36</v>
      </c>
    </row>
    <row r="17" spans="1:9" ht="15.75">
      <c r="A17" s="2" t="s">
        <v>108</v>
      </c>
      <c r="B17" s="3">
        <v>15000000</v>
      </c>
      <c r="C17" s="65" t="str">
        <f t="shared" si="0"/>
        <v>Jumat, 15 Desember 2023</v>
      </c>
      <c r="D17" s="67" cm="1">
        <f t="array" ref="D17">_xlfn.IFS(I17&lt;1,$B$23,I17&lt;31,$B$24,I17&lt;61,$B$25,I17&lt;91,$B$26,I17&gt;=91,$B$27)</f>
        <v>0.05</v>
      </c>
      <c r="E17" s="93"/>
      <c r="F17" s="93">
        <f>DATE(2023,12,15)</f>
        <v>45275</v>
      </c>
      <c r="G17" s="93" t="str">
        <f t="shared" si="1"/>
        <v>Jumat, 15 Desember 2023</v>
      </c>
      <c r="H17" s="93">
        <f t="shared" si="2"/>
        <v>45291</v>
      </c>
      <c r="I17" s="93">
        <f t="shared" si="3"/>
        <v>16</v>
      </c>
    </row>
    <row r="18" spans="1:9" ht="15.75">
      <c r="A18" s="2" t="s">
        <v>109</v>
      </c>
      <c r="B18" s="3">
        <v>9000000</v>
      </c>
      <c r="C18" s="65" t="str">
        <f t="shared" si="0"/>
        <v>Sabtu, 05 Agustus 2023</v>
      </c>
      <c r="D18" s="67" cm="1">
        <f t="array" ref="D18">_xlfn.IFS(I18&lt;1,$B$23,I18&lt;31,$B$24,I18&lt;61,$B$25,I18&lt;91,$B$26,I18&gt;=91,$B$27)</f>
        <v>0.25</v>
      </c>
      <c r="E18" s="93"/>
      <c r="F18" s="93">
        <f>DATE(2023,8,5)</f>
        <v>45143</v>
      </c>
      <c r="G18" s="93" t="str">
        <f t="shared" si="1"/>
        <v>Sabtu, 05 Agustus 2023</v>
      </c>
      <c r="H18" s="93">
        <f t="shared" si="2"/>
        <v>45291</v>
      </c>
      <c r="I18" s="93">
        <f t="shared" si="3"/>
        <v>148</v>
      </c>
    </row>
    <row r="19" spans="1:9" ht="15.75">
      <c r="A19" s="2" t="s">
        <v>110</v>
      </c>
      <c r="B19" s="3">
        <v>6000000</v>
      </c>
      <c r="C19" s="65" t="str">
        <f t="shared" si="0"/>
        <v>Rabu, 18 Oktober 2023</v>
      </c>
      <c r="D19" s="67" cm="1">
        <f t="array" ref="D19">_xlfn.IFS(I19&lt;1,$B$23,I19&lt;31,$B$24,I19&lt;61,$B$25,I19&lt;91,$B$26,I19&gt;=91,$B$27)</f>
        <v>0.15</v>
      </c>
      <c r="E19" s="93"/>
      <c r="F19" s="93">
        <f>DATE(2023,10,18)</f>
        <v>45217</v>
      </c>
      <c r="G19" s="93" t="str">
        <f t="shared" si="1"/>
        <v>Rabu, 18 Oktober 2023</v>
      </c>
      <c r="H19" s="93">
        <f t="shared" si="2"/>
        <v>45291</v>
      </c>
      <c r="I19" s="93">
        <f t="shared" si="3"/>
        <v>74</v>
      </c>
    </row>
    <row r="20" spans="1:9" ht="15.75">
      <c r="A20" s="24" t="s">
        <v>27</v>
      </c>
      <c r="B20" s="94">
        <v>100000000</v>
      </c>
      <c r="C20" s="66"/>
      <c r="D20" s="66"/>
      <c r="E20" s="93"/>
      <c r="F20" s="93"/>
      <c r="G20" s="93"/>
      <c r="H20" s="93"/>
      <c r="I20" s="93"/>
    </row>
    <row r="21" spans="1:9" ht="15.75" thickBot="1">
      <c r="E21" s="93"/>
      <c r="F21" s="93"/>
      <c r="G21" s="93"/>
      <c r="H21" s="93"/>
      <c r="I21" s="93"/>
    </row>
    <row r="22" spans="1:9" ht="16.5" thickBot="1">
      <c r="A22" s="319" t="s">
        <v>111</v>
      </c>
      <c r="B22" s="319" t="s">
        <v>112</v>
      </c>
      <c r="E22" s="93"/>
      <c r="F22" s="93"/>
      <c r="G22" s="93"/>
      <c r="H22" s="93"/>
      <c r="I22" s="93"/>
    </row>
    <row r="23" spans="1:9" ht="16.5" thickBot="1">
      <c r="A23" s="60" t="s">
        <v>113</v>
      </c>
      <c r="B23" s="61">
        <v>0.02</v>
      </c>
    </row>
    <row r="24" spans="1:9" ht="16.5" thickBot="1">
      <c r="A24" s="60" t="s">
        <v>114</v>
      </c>
      <c r="B24" s="61">
        <v>0.05</v>
      </c>
    </row>
    <row r="25" spans="1:9" ht="16.5" thickBot="1">
      <c r="A25" s="60" t="s">
        <v>115</v>
      </c>
      <c r="B25" s="61">
        <v>0.12</v>
      </c>
    </row>
    <row r="26" spans="1:9" ht="16.5" thickBot="1">
      <c r="A26" s="60" t="s">
        <v>116</v>
      </c>
      <c r="B26" s="61">
        <v>0.15</v>
      </c>
    </row>
    <row r="27" spans="1:9" ht="16.5" thickBot="1">
      <c r="A27" s="60" t="s">
        <v>117</v>
      </c>
      <c r="B27" s="61">
        <v>0.25</v>
      </c>
    </row>
  </sheetData>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39F724-A10B-4151-B189-69E2FD2D1599}">
  <sheetPr codeName="Sheet11">
    <tabColor rgb="FF006666"/>
  </sheetPr>
  <dimension ref="A1:K29"/>
  <sheetViews>
    <sheetView workbookViewId="0">
      <selection activeCell="F5" sqref="F5"/>
    </sheetView>
  </sheetViews>
  <sheetFormatPr defaultRowHeight="15"/>
  <cols>
    <col min="1" max="1" width="21.85546875" customWidth="1"/>
    <col min="2" max="2" width="13.42578125" customWidth="1"/>
    <col min="3" max="3" width="18" bestFit="1" customWidth="1"/>
    <col min="4" max="4" width="21.42578125" customWidth="1"/>
    <col min="5" max="6" width="16.7109375" bestFit="1" customWidth="1"/>
    <col min="8" max="8" width="40.140625" customWidth="1"/>
    <col min="10" max="10" width="21.5703125" customWidth="1"/>
    <col min="11" max="11" width="19.5703125" customWidth="1"/>
  </cols>
  <sheetData>
    <row r="1" spans="1:11" ht="16.5" thickBot="1">
      <c r="A1" s="320"/>
      <c r="B1" s="321"/>
      <c r="C1" s="322"/>
      <c r="D1" s="322" t="s">
        <v>118</v>
      </c>
      <c r="E1" s="322"/>
      <c r="F1" s="323"/>
    </row>
    <row r="2" spans="1:11" ht="32.25" thickBot="1">
      <c r="A2" s="324" t="s">
        <v>119</v>
      </c>
      <c r="B2" s="325" t="s">
        <v>634</v>
      </c>
      <c r="C2" s="326" t="str">
        <f>"1"&amp;"-"&amp;"30"</f>
        <v>1-30</v>
      </c>
      <c r="D2" s="325" t="s">
        <v>120</v>
      </c>
      <c r="E2" s="325" t="s">
        <v>121</v>
      </c>
      <c r="F2" s="325" t="s">
        <v>122</v>
      </c>
      <c r="H2" s="327" t="s">
        <v>96</v>
      </c>
      <c r="I2" s="327" t="s">
        <v>133</v>
      </c>
      <c r="J2" s="327" t="s">
        <v>134</v>
      </c>
      <c r="K2" s="327" t="s">
        <v>5</v>
      </c>
    </row>
    <row r="3" spans="1:11" ht="16.5" thickBot="1">
      <c r="A3" s="62" t="s">
        <v>101</v>
      </c>
      <c r="B3" s="143"/>
      <c r="C3" s="143"/>
      <c r="D3" s="143">
        <f>'KASUS 5.1'!B10</f>
        <v>10000000</v>
      </c>
      <c r="E3" s="143"/>
      <c r="F3" s="143"/>
      <c r="H3" s="47" t="s">
        <v>135</v>
      </c>
      <c r="I3" s="47"/>
      <c r="J3" s="119">
        <f>SUM(B15:F15)</f>
        <v>6740000</v>
      </c>
      <c r="K3" s="119"/>
    </row>
    <row r="4" spans="1:11" ht="16.5" thickBot="1">
      <c r="A4" s="62" t="s">
        <v>102</v>
      </c>
      <c r="B4" s="143"/>
      <c r="C4" s="143">
        <f>'KASUS 5.1'!B11</f>
        <v>5000000</v>
      </c>
      <c r="D4" s="143"/>
      <c r="E4" s="143"/>
      <c r="F4" s="143"/>
      <c r="H4" s="47" t="s">
        <v>633</v>
      </c>
      <c r="I4" s="47"/>
      <c r="J4" s="119"/>
      <c r="K4" s="119">
        <f>J3</f>
        <v>6740000</v>
      </c>
    </row>
    <row r="5" spans="1:11" ht="16.5" thickBot="1">
      <c r="A5" s="62" t="s">
        <v>103</v>
      </c>
      <c r="B5" s="143"/>
      <c r="C5" s="143"/>
      <c r="D5" s="143"/>
      <c r="E5" s="143"/>
      <c r="F5" s="143">
        <f>'KASUS 5.1'!B12</f>
        <v>2000000</v>
      </c>
      <c r="H5" s="13"/>
      <c r="I5" s="13"/>
      <c r="J5" s="13"/>
      <c r="K5" s="13"/>
    </row>
    <row r="6" spans="1:11" ht="16.5" thickBot="1">
      <c r="A6" s="62" t="s">
        <v>104</v>
      </c>
      <c r="B6" s="143"/>
      <c r="C6" s="143">
        <f>'KASUS 5.1'!B13</f>
        <v>3000000</v>
      </c>
      <c r="D6" s="143"/>
      <c r="E6" s="143"/>
      <c r="F6" s="143"/>
    </row>
    <row r="7" spans="1:11" ht="16.5" thickBot="1">
      <c r="A7" s="62" t="s">
        <v>123</v>
      </c>
      <c r="B7" s="143"/>
      <c r="C7" s="143"/>
      <c r="D7" s="143">
        <f>'KASUS 5.1'!B14</f>
        <v>8000000</v>
      </c>
      <c r="E7" s="143"/>
      <c r="F7" s="143"/>
    </row>
    <row r="8" spans="1:11" ht="21.75" customHeight="1" thickBot="1">
      <c r="A8" s="62" t="s">
        <v>124</v>
      </c>
      <c r="B8" s="143">
        <f>'KASUS 5.1'!B15</f>
        <v>2000000</v>
      </c>
      <c r="C8" s="143"/>
      <c r="D8" s="143"/>
      <c r="E8" s="143"/>
      <c r="F8" s="143"/>
    </row>
    <row r="9" spans="1:11" ht="16.5" thickBot="1">
      <c r="A9" s="62" t="s">
        <v>107</v>
      </c>
      <c r="B9" s="143">
        <f>'KASUS 5.1'!B16</f>
        <v>40000000</v>
      </c>
      <c r="C9" s="143"/>
      <c r="D9" s="143"/>
      <c r="E9" s="143"/>
      <c r="F9" s="143"/>
    </row>
    <row r="10" spans="1:11" ht="16.5" thickBot="1">
      <c r="A10" s="62" t="s">
        <v>125</v>
      </c>
      <c r="B10" s="143"/>
      <c r="C10" s="143">
        <f>'KASUS 5.1'!B17</f>
        <v>15000000</v>
      </c>
      <c r="D10" s="143"/>
      <c r="E10" s="143"/>
      <c r="F10" s="143"/>
    </row>
    <row r="11" spans="1:11" ht="16.5" thickBot="1">
      <c r="A11" s="62" t="s">
        <v>109</v>
      </c>
      <c r="B11" s="143"/>
      <c r="C11" s="143"/>
      <c r="D11" s="143"/>
      <c r="E11" s="143"/>
      <c r="F11" s="143">
        <f>'KASUS 5.1'!B18</f>
        <v>9000000</v>
      </c>
    </row>
    <row r="12" spans="1:11" ht="16.5" thickBot="1">
      <c r="A12" s="62" t="s">
        <v>126</v>
      </c>
      <c r="B12" s="143"/>
      <c r="C12" s="143"/>
      <c r="D12" s="143"/>
      <c r="E12" s="143">
        <v>6000000</v>
      </c>
      <c r="F12" s="143"/>
    </row>
    <row r="13" spans="1:11" ht="16.5" thickBot="1">
      <c r="A13" s="62" t="s">
        <v>127</v>
      </c>
      <c r="B13" s="143">
        <f>SUM(B3:B11)</f>
        <v>42000000</v>
      </c>
      <c r="C13" s="143">
        <f t="shared" ref="C13:F13" si="0">SUM(C3:C11)</f>
        <v>23000000</v>
      </c>
      <c r="D13" s="143">
        <f t="shared" si="0"/>
        <v>18000000</v>
      </c>
      <c r="E13" s="143">
        <f>E12</f>
        <v>6000000</v>
      </c>
      <c r="F13" s="143">
        <f t="shared" si="0"/>
        <v>11000000</v>
      </c>
    </row>
    <row r="14" spans="1:11" ht="16.5" thickBot="1">
      <c r="A14" s="62" t="s">
        <v>128</v>
      </c>
      <c r="B14" s="63">
        <v>0.02</v>
      </c>
      <c r="C14" s="63">
        <v>0.05</v>
      </c>
      <c r="D14" s="63">
        <v>0.12</v>
      </c>
      <c r="E14" s="63">
        <v>0.15</v>
      </c>
      <c r="F14" s="63">
        <v>0.25</v>
      </c>
    </row>
    <row r="15" spans="1:11" ht="16.5" thickBot="1">
      <c r="A15" s="62" t="s">
        <v>95</v>
      </c>
      <c r="B15" s="144">
        <v>760000</v>
      </c>
      <c r="C15" s="144">
        <v>2250000</v>
      </c>
      <c r="D15" s="144">
        <v>480000</v>
      </c>
      <c r="E15" s="144">
        <v>750000</v>
      </c>
      <c r="F15" s="144">
        <v>2500000</v>
      </c>
    </row>
    <row r="21" spans="1:1">
      <c r="A21" s="64"/>
    </row>
    <row r="22" spans="1:1">
      <c r="A22" s="64"/>
    </row>
    <row r="23" spans="1:1">
      <c r="A23" s="64"/>
    </row>
    <row r="24" spans="1:1">
      <c r="A24" s="64"/>
    </row>
    <row r="25" spans="1:1">
      <c r="A25" s="64"/>
    </row>
    <row r="26" spans="1:1">
      <c r="A26" s="64"/>
    </row>
    <row r="27" spans="1:1">
      <c r="A27" s="64"/>
    </row>
    <row r="28" spans="1:1">
      <c r="A28" s="64"/>
    </row>
    <row r="29" spans="1:1">
      <c r="A29" s="64"/>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C46ED4-3D05-47B5-8651-521C38FCC57F}">
  <sheetPr codeName="Sheet12">
    <tabColor theme="8" tint="0.39997558519241921"/>
  </sheetPr>
  <dimension ref="A1:C23"/>
  <sheetViews>
    <sheetView workbookViewId="0">
      <selection activeCell="M26" sqref="M26"/>
    </sheetView>
  </sheetViews>
  <sheetFormatPr defaultRowHeight="15"/>
  <cols>
    <col min="1" max="1" width="14.140625" customWidth="1"/>
    <col min="2" max="2" width="17.85546875" customWidth="1"/>
    <col min="3" max="3" width="39.7109375" customWidth="1"/>
  </cols>
  <sheetData>
    <row r="1" spans="1:2" ht="36">
      <c r="A1" s="140" t="s">
        <v>234</v>
      </c>
      <c r="B1" s="79"/>
    </row>
    <row r="17" spans="1:3" ht="15.75" thickBot="1"/>
    <row r="18" spans="1:3" ht="16.5" thickBot="1">
      <c r="A18" s="80" t="s">
        <v>157</v>
      </c>
      <c r="B18" s="80" t="s">
        <v>158</v>
      </c>
      <c r="C18" s="80" t="s">
        <v>159</v>
      </c>
    </row>
    <row r="19" spans="1:3" ht="16.5" thickBot="1">
      <c r="A19" s="72">
        <v>337</v>
      </c>
      <c r="B19" s="72" t="s">
        <v>160</v>
      </c>
      <c r="C19" s="73" t="s">
        <v>161</v>
      </c>
    </row>
    <row r="20" spans="1:3" ht="16.5" thickBot="1">
      <c r="A20" s="72">
        <v>338</v>
      </c>
      <c r="B20" s="72" t="s">
        <v>162</v>
      </c>
      <c r="C20" s="73" t="s">
        <v>163</v>
      </c>
    </row>
    <row r="21" spans="1:3" ht="16.5" thickBot="1">
      <c r="A21" s="72">
        <v>339</v>
      </c>
      <c r="B21" s="72" t="s">
        <v>162</v>
      </c>
      <c r="C21" s="73" t="s">
        <v>164</v>
      </c>
    </row>
    <row r="22" spans="1:3" ht="16.5" thickBot="1">
      <c r="A22" s="72">
        <v>340</v>
      </c>
      <c r="B22" s="72" t="s">
        <v>165</v>
      </c>
      <c r="C22" s="73" t="s">
        <v>166</v>
      </c>
    </row>
    <row r="23" spans="1:3" ht="16.5" thickBot="1">
      <c r="A23" s="72">
        <v>341</v>
      </c>
      <c r="B23" s="72" t="s">
        <v>167</v>
      </c>
      <c r="C23" s="73" t="s">
        <v>168</v>
      </c>
    </row>
  </sheetData>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FA6EB6-A26B-494A-870F-9E628495215E}">
  <sheetPr codeName="Sheet13">
    <tabColor theme="8" tint="0.39997558519241921"/>
  </sheetPr>
  <dimension ref="A1:M39"/>
  <sheetViews>
    <sheetView showGridLines="0" topLeftCell="A6" workbookViewId="0">
      <selection activeCell="F38" sqref="F38"/>
    </sheetView>
  </sheetViews>
  <sheetFormatPr defaultRowHeight="15"/>
  <cols>
    <col min="1" max="1" width="31.42578125" style="69" customWidth="1"/>
    <col min="2" max="2" width="13.85546875" style="69" bestFit="1" customWidth="1"/>
    <col min="3" max="3" width="9.140625" style="69"/>
    <col min="4" max="4" width="14.42578125" style="69" customWidth="1"/>
    <col min="5" max="5" width="20.28515625" style="69" customWidth="1"/>
    <col min="6" max="6" width="18.28515625" style="69" customWidth="1"/>
    <col min="7" max="7" width="9.140625" style="69" customWidth="1"/>
    <col min="8" max="12" width="9.140625" style="69"/>
    <col min="13" max="13" width="9.140625" style="69" customWidth="1"/>
    <col min="14" max="16384" width="9.140625" style="69"/>
  </cols>
  <sheetData>
    <row r="1" spans="1:4" ht="15.75">
      <c r="A1" s="68"/>
      <c r="B1" s="68"/>
      <c r="C1" s="68"/>
      <c r="D1" s="68"/>
    </row>
    <row r="2" spans="1:4" ht="15.75">
      <c r="A2" s="70" t="s">
        <v>136</v>
      </c>
      <c r="B2" s="68"/>
      <c r="C2" s="68"/>
      <c r="D2" s="68"/>
    </row>
    <row r="3" spans="1:4" ht="15.75">
      <c r="A3" s="70" t="s">
        <v>137</v>
      </c>
      <c r="B3" s="71">
        <v>53884800</v>
      </c>
      <c r="C3" s="68"/>
      <c r="D3" s="68"/>
    </row>
    <row r="4" spans="1:4" ht="15.75">
      <c r="A4" s="70" t="s">
        <v>138</v>
      </c>
      <c r="B4" s="70">
        <v>32942100</v>
      </c>
      <c r="C4" s="68"/>
      <c r="D4" s="68"/>
    </row>
    <row r="5" spans="1:4" ht="15.75">
      <c r="A5" s="68"/>
      <c r="B5" s="68"/>
      <c r="C5" s="68"/>
      <c r="D5" s="68"/>
    </row>
    <row r="6" spans="1:4" ht="15.75">
      <c r="A6" s="70" t="s">
        <v>139</v>
      </c>
      <c r="B6" s="68"/>
      <c r="C6" s="68"/>
      <c r="D6" s="68"/>
    </row>
    <row r="7" spans="1:4" ht="15.75">
      <c r="A7" s="68"/>
      <c r="B7" s="68"/>
      <c r="C7" s="68"/>
      <c r="D7" s="68"/>
    </row>
    <row r="8" spans="1:4" ht="15.75">
      <c r="A8" s="81" t="s">
        <v>140</v>
      </c>
      <c r="B8" s="82"/>
      <c r="C8" s="82"/>
      <c r="D8" s="83">
        <v>32942100</v>
      </c>
    </row>
    <row r="9" spans="1:4" ht="15.75">
      <c r="A9" s="74" t="s">
        <v>141</v>
      </c>
      <c r="B9" s="68"/>
      <c r="C9" s="68"/>
      <c r="D9" s="75"/>
    </row>
    <row r="10" spans="1:4" ht="15.75">
      <c r="A10" s="76" t="s">
        <v>142</v>
      </c>
      <c r="B10" s="70">
        <v>19000000</v>
      </c>
      <c r="C10" s="68"/>
      <c r="D10" s="75"/>
    </row>
    <row r="11" spans="1:4" ht="15.75">
      <c r="A11" s="76" t="s">
        <v>143</v>
      </c>
      <c r="B11" s="70">
        <v>2140000</v>
      </c>
      <c r="C11" s="68"/>
      <c r="D11" s="75"/>
    </row>
    <row r="12" spans="1:4" ht="15.75">
      <c r="A12" s="76" t="s">
        <v>144</v>
      </c>
      <c r="B12" s="70">
        <v>280100</v>
      </c>
      <c r="C12" s="68"/>
      <c r="D12" s="75"/>
    </row>
    <row r="13" spans="1:4" ht="15.75">
      <c r="A13" s="76" t="s">
        <v>145</v>
      </c>
      <c r="B13" s="70">
        <v>3600000</v>
      </c>
      <c r="C13" s="68"/>
      <c r="D13" s="75"/>
    </row>
    <row r="14" spans="1:4" ht="15.75">
      <c r="A14" s="77"/>
      <c r="B14" s="68"/>
      <c r="C14" s="68"/>
      <c r="D14" s="75"/>
    </row>
    <row r="15" spans="1:4" ht="15.75">
      <c r="A15" s="77"/>
      <c r="B15" s="68"/>
      <c r="C15" s="68"/>
      <c r="D15" s="75"/>
    </row>
    <row r="16" spans="1:4" ht="15.75">
      <c r="A16" s="77"/>
      <c r="B16" s="68"/>
      <c r="C16" s="68"/>
      <c r="D16" s="75"/>
    </row>
    <row r="17" spans="1:13" ht="15.75">
      <c r="A17" s="74" t="s">
        <v>146</v>
      </c>
      <c r="B17" s="68"/>
      <c r="C17" s="68"/>
      <c r="D17" s="75"/>
    </row>
    <row r="18" spans="1:13" ht="15.75">
      <c r="A18" s="76" t="s">
        <v>147</v>
      </c>
      <c r="B18" s="70">
        <v>142500</v>
      </c>
      <c r="C18" s="68"/>
      <c r="D18" s="75"/>
    </row>
    <row r="19" spans="1:13" ht="15.75">
      <c r="A19" s="76" t="s">
        <v>148</v>
      </c>
      <c r="B19" s="70">
        <v>520000</v>
      </c>
      <c r="C19" s="68"/>
      <c r="D19" s="75"/>
    </row>
    <row r="20" spans="1:13" ht="15.75">
      <c r="A20" s="77"/>
      <c r="B20" s="68"/>
      <c r="C20" s="68"/>
      <c r="D20" s="75"/>
    </row>
    <row r="21" spans="1:13" ht="15.75">
      <c r="A21" s="84" t="s">
        <v>149</v>
      </c>
      <c r="B21" s="85"/>
      <c r="C21" s="85"/>
      <c r="D21" s="86">
        <f>SUM(D8,B10:B13)-SUM(B18:B19)</f>
        <v>57299700</v>
      </c>
      <c r="M21" s="70"/>
    </row>
    <row r="22" spans="1:13" ht="15.75">
      <c r="M22" s="70"/>
    </row>
    <row r="23" spans="1:13" ht="15.75">
      <c r="A23" s="68"/>
      <c r="B23" s="68"/>
      <c r="C23" s="68"/>
      <c r="D23" s="68"/>
      <c r="E23" s="68"/>
      <c r="F23" s="68"/>
      <c r="M23" s="70"/>
    </row>
    <row r="24" spans="1:13" ht="15.75">
      <c r="A24" s="68"/>
      <c r="B24" s="68"/>
      <c r="C24" s="68"/>
      <c r="D24" s="68"/>
      <c r="E24" s="68"/>
      <c r="F24" s="68"/>
      <c r="M24" s="70"/>
    </row>
    <row r="25" spans="1:13" ht="15.75">
      <c r="A25" s="81" t="s">
        <v>150</v>
      </c>
      <c r="B25" s="82"/>
      <c r="C25" s="82"/>
      <c r="D25" s="83">
        <v>53884800</v>
      </c>
      <c r="M25" s="70"/>
    </row>
    <row r="26" spans="1:13" ht="15.75">
      <c r="A26" s="74" t="s">
        <v>151</v>
      </c>
      <c r="B26" s="68"/>
      <c r="C26" s="68"/>
      <c r="D26" s="75"/>
      <c r="E26" s="68"/>
      <c r="F26" s="68"/>
    </row>
    <row r="27" spans="1:13" ht="15.75">
      <c r="A27" s="76" t="s">
        <v>152</v>
      </c>
      <c r="B27" s="70">
        <v>15916300</v>
      </c>
      <c r="C27" s="68"/>
      <c r="D27" s="75"/>
      <c r="E27" s="68"/>
      <c r="F27" s="68"/>
    </row>
    <row r="28" spans="1:13" ht="15.75">
      <c r="A28" s="76" t="s">
        <v>153</v>
      </c>
      <c r="B28" s="70">
        <v>1000000</v>
      </c>
      <c r="C28" s="68"/>
      <c r="D28" s="75"/>
      <c r="E28" s="68"/>
      <c r="F28" s="68"/>
    </row>
    <row r="29" spans="1:13" ht="15.75">
      <c r="A29" s="77"/>
      <c r="B29" s="68"/>
      <c r="C29" s="68"/>
      <c r="D29" s="75"/>
      <c r="E29" s="68"/>
      <c r="F29" s="68"/>
    </row>
    <row r="30" spans="1:13" ht="15.75">
      <c r="A30" s="74" t="s">
        <v>154</v>
      </c>
      <c r="B30" s="68"/>
      <c r="C30" s="68"/>
      <c r="D30" s="75"/>
      <c r="E30" s="68"/>
      <c r="F30" s="68"/>
    </row>
    <row r="31" spans="1:13" ht="15" customHeight="1">
      <c r="A31" s="76" t="s">
        <v>155</v>
      </c>
      <c r="B31" s="78"/>
      <c r="C31" s="68"/>
      <c r="D31" s="75"/>
      <c r="E31" s="68"/>
      <c r="F31" s="68"/>
    </row>
    <row r="32" spans="1:13" ht="15" customHeight="1">
      <c r="A32" s="76">
        <v>337</v>
      </c>
      <c r="B32" s="78">
        <v>2860000</v>
      </c>
      <c r="C32" s="68"/>
      <c r="D32" s="75"/>
      <c r="E32" s="68"/>
      <c r="F32" s="68"/>
    </row>
    <row r="33" spans="1:6" ht="15.75">
      <c r="A33" s="76">
        <v>338</v>
      </c>
      <c r="B33" s="70">
        <v>3194700</v>
      </c>
      <c r="C33" s="68"/>
      <c r="D33" s="75"/>
      <c r="E33" s="68"/>
      <c r="F33" s="68"/>
    </row>
    <row r="34" spans="1:6" ht="15.75">
      <c r="A34" s="76">
        <v>339</v>
      </c>
      <c r="B34" s="70">
        <v>830000</v>
      </c>
      <c r="C34" s="68"/>
      <c r="D34" s="75"/>
      <c r="E34" s="68"/>
      <c r="F34" s="68"/>
    </row>
    <row r="35" spans="1:6" ht="15.75">
      <c r="A35" s="76">
        <v>340</v>
      </c>
      <c r="B35" s="70">
        <v>2031400</v>
      </c>
      <c r="C35" s="68"/>
      <c r="D35" s="75"/>
      <c r="E35" s="68"/>
      <c r="F35" s="68"/>
    </row>
    <row r="36" spans="1:6" ht="15.75">
      <c r="A36" s="76">
        <v>341</v>
      </c>
      <c r="B36" s="70">
        <v>4585300</v>
      </c>
      <c r="C36" s="68"/>
      <c r="D36" s="75"/>
      <c r="E36" s="68"/>
      <c r="F36" s="68"/>
    </row>
    <row r="37" spans="1:6" ht="15.75">
      <c r="A37" s="77"/>
      <c r="B37" s="68"/>
      <c r="C37" s="68"/>
      <c r="D37" s="75"/>
      <c r="E37" s="68"/>
      <c r="F37" s="68"/>
    </row>
    <row r="38" spans="1:6" ht="15.75">
      <c r="A38" s="77"/>
      <c r="B38" s="68"/>
      <c r="C38" s="68"/>
      <c r="D38" s="75"/>
      <c r="E38" s="68"/>
      <c r="F38" s="68"/>
    </row>
    <row r="39" spans="1:6" ht="15.75">
      <c r="A39" s="87" t="s">
        <v>156</v>
      </c>
      <c r="B39" s="82"/>
      <c r="C39" s="82"/>
      <c r="D39" s="83">
        <f>SUM(D25,B27:B28)-SUM(B32:B36)</f>
        <v>57299700</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70F49D-56DA-4D78-98B1-BA6200B279B4}">
  <sheetPr codeName="Sheet14">
    <tabColor theme="8" tint="0.39997558519241921"/>
  </sheetPr>
  <dimension ref="A1:D15"/>
  <sheetViews>
    <sheetView workbookViewId="0">
      <selection activeCell="B11" sqref="B11"/>
    </sheetView>
  </sheetViews>
  <sheetFormatPr defaultRowHeight="15"/>
  <cols>
    <col min="1" max="1" width="32.140625" customWidth="1"/>
    <col min="2" max="2" width="7.140625" customWidth="1"/>
    <col min="3" max="4" width="20.140625" bestFit="1" customWidth="1"/>
  </cols>
  <sheetData>
    <row r="1" spans="1:4" ht="15.75">
      <c r="A1" s="442" t="s">
        <v>314</v>
      </c>
      <c r="B1" s="442"/>
      <c r="C1" s="442"/>
      <c r="D1" s="442"/>
    </row>
    <row r="2" spans="1:4">
      <c r="A2" s="92" t="s">
        <v>169</v>
      </c>
      <c r="B2" s="92" t="s">
        <v>6</v>
      </c>
      <c r="C2" s="92" t="s">
        <v>4</v>
      </c>
      <c r="D2" s="92" t="s">
        <v>5</v>
      </c>
    </row>
    <row r="3" spans="1:4">
      <c r="A3" s="52" t="s">
        <v>7</v>
      </c>
      <c r="B3" s="48"/>
      <c r="C3" s="88">
        <v>21140000</v>
      </c>
      <c r="D3" s="89"/>
    </row>
    <row r="4" spans="1:4">
      <c r="A4" s="52" t="s">
        <v>142</v>
      </c>
      <c r="B4" s="48"/>
      <c r="C4" s="89"/>
      <c r="D4" s="88">
        <v>19000000</v>
      </c>
    </row>
    <row r="5" spans="1:4">
      <c r="A5" s="52" t="s">
        <v>143</v>
      </c>
      <c r="B5" s="48"/>
      <c r="C5" s="89"/>
      <c r="D5" s="88">
        <v>2140000</v>
      </c>
    </row>
    <row r="6" spans="1:4">
      <c r="A6" s="52" t="s">
        <v>7</v>
      </c>
      <c r="B6" s="48"/>
      <c r="C6" s="88">
        <v>280100</v>
      </c>
      <c r="D6" s="89"/>
    </row>
    <row r="7" spans="1:4">
      <c r="A7" s="52" t="s">
        <v>144</v>
      </c>
      <c r="B7" s="48"/>
      <c r="C7" s="89"/>
      <c r="D7" s="88">
        <f>C6</f>
        <v>280100</v>
      </c>
    </row>
    <row r="8" spans="1:4">
      <c r="A8" s="52" t="s">
        <v>170</v>
      </c>
      <c r="B8" s="48"/>
      <c r="C8" s="88">
        <v>3600000</v>
      </c>
      <c r="D8" s="89"/>
    </row>
    <row r="9" spans="1:4">
      <c r="A9" s="52" t="s">
        <v>171</v>
      </c>
      <c r="B9" s="48"/>
      <c r="C9" s="89"/>
      <c r="D9" s="88">
        <v>3600000</v>
      </c>
    </row>
    <row r="10" spans="1:4">
      <c r="A10" s="52" t="s">
        <v>172</v>
      </c>
      <c r="B10" s="48"/>
      <c r="C10" s="88">
        <v>142500</v>
      </c>
      <c r="D10" s="89"/>
    </row>
    <row r="11" spans="1:4">
      <c r="A11" s="52" t="s">
        <v>170</v>
      </c>
      <c r="B11" s="48"/>
      <c r="C11" s="89"/>
      <c r="D11" s="88">
        <v>142500</v>
      </c>
    </row>
    <row r="12" spans="1:4">
      <c r="A12" s="52" t="s">
        <v>37</v>
      </c>
      <c r="B12" s="48"/>
      <c r="C12" s="88">
        <v>520000</v>
      </c>
      <c r="D12" s="89"/>
    </row>
    <row r="13" spans="1:4">
      <c r="A13" s="52" t="s">
        <v>7</v>
      </c>
      <c r="B13" s="48"/>
      <c r="C13" s="89"/>
      <c r="D13" s="88">
        <f>C12</f>
        <v>520000</v>
      </c>
    </row>
    <row r="14" spans="1:4">
      <c r="A14" s="52"/>
      <c r="B14" s="48"/>
      <c r="C14" s="89">
        <f>SUM(C3:C13)</f>
        <v>25682600</v>
      </c>
      <c r="D14" s="88">
        <f>SUM(D3:D13)</f>
        <v>25682600</v>
      </c>
    </row>
    <row r="15" spans="1:4" ht="15.75">
      <c r="B15" s="13" t="s">
        <v>173</v>
      </c>
      <c r="C15" s="90">
        <f>SUM(C3:C13)-SUM('KASUS 6.2'!B10:B19)</f>
        <v>0</v>
      </c>
      <c r="D15" s="91">
        <f>D14-SUM('KASUS 6.2'!B10:B19)</f>
        <v>0</v>
      </c>
    </row>
  </sheetData>
  <mergeCells count="1">
    <mergeCell ref="A1:D1"/>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61D7FF-C5EB-4BDB-8809-63B42A8CAB5C}">
  <sheetPr codeName="Sheet15">
    <tabColor rgb="FF006666"/>
  </sheetPr>
  <dimension ref="A1:C1"/>
  <sheetViews>
    <sheetView workbookViewId="0">
      <selection sqref="A1:C1"/>
    </sheetView>
  </sheetViews>
  <sheetFormatPr defaultRowHeight="15"/>
  <sheetData>
    <row r="1" spans="1:3" ht="26.25" customHeight="1">
      <c r="A1" s="443" t="s">
        <v>235</v>
      </c>
      <c r="B1" s="443"/>
      <c r="C1" s="443"/>
    </row>
  </sheetData>
  <mergeCells count="1">
    <mergeCell ref="A1:C1"/>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A3E7FB-3764-4EBC-94E1-2FFBC1285FDB}">
  <sheetPr codeName="Sheet16">
    <tabColor rgb="FF006666"/>
  </sheetPr>
  <dimension ref="A1:E16"/>
  <sheetViews>
    <sheetView workbookViewId="0">
      <selection activeCell="F12" sqref="F12"/>
    </sheetView>
  </sheetViews>
  <sheetFormatPr defaultRowHeight="15.75"/>
  <cols>
    <col min="1" max="1" width="15.42578125" style="95" customWidth="1"/>
    <col min="2" max="2" width="28.7109375" style="95" customWidth="1"/>
    <col min="3" max="3" width="6.85546875" style="95" customWidth="1"/>
    <col min="4" max="4" width="16.42578125" style="95" bestFit="1" customWidth="1"/>
    <col min="5" max="5" width="17" style="95" customWidth="1"/>
    <col min="6" max="16384" width="9.140625" style="95"/>
  </cols>
  <sheetData>
    <row r="1" spans="1:5">
      <c r="A1" s="445" t="s">
        <v>182</v>
      </c>
      <c r="B1" s="445"/>
      <c r="C1" s="445"/>
      <c r="D1" s="445"/>
      <c r="E1" s="445"/>
    </row>
    <row r="2" spans="1:5">
      <c r="A2" s="305" t="s">
        <v>1</v>
      </c>
      <c r="B2" s="305" t="s">
        <v>169</v>
      </c>
      <c r="C2" s="305" t="s">
        <v>6</v>
      </c>
      <c r="D2" s="305" t="s">
        <v>134</v>
      </c>
      <c r="E2" s="305" t="s">
        <v>5</v>
      </c>
    </row>
    <row r="3" spans="1:5">
      <c r="A3" s="444" t="s">
        <v>174</v>
      </c>
      <c r="B3" s="97" t="s">
        <v>175</v>
      </c>
      <c r="C3" s="96"/>
      <c r="D3" s="98">
        <v>2000000</v>
      </c>
      <c r="E3" s="99"/>
    </row>
    <row r="4" spans="1:5">
      <c r="A4" s="444"/>
      <c r="B4" s="97" t="s">
        <v>7</v>
      </c>
      <c r="C4" s="96"/>
      <c r="D4" s="99"/>
      <c r="E4" s="98">
        <v>2000000</v>
      </c>
    </row>
    <row r="5" spans="1:5">
      <c r="A5" s="444"/>
      <c r="B5" s="97" t="s">
        <v>176</v>
      </c>
      <c r="C5" s="100"/>
      <c r="D5" s="99"/>
      <c r="E5" s="99"/>
    </row>
    <row r="6" spans="1:5">
      <c r="A6" s="444"/>
      <c r="B6" s="97" t="s">
        <v>177</v>
      </c>
      <c r="C6" s="100"/>
      <c r="D6" s="99"/>
      <c r="E6" s="99"/>
    </row>
    <row r="7" spans="1:5">
      <c r="A7" s="444"/>
      <c r="B7" s="97" t="s">
        <v>176</v>
      </c>
      <c r="C7" s="100"/>
      <c r="D7" s="99"/>
      <c r="E7" s="99"/>
    </row>
    <row r="8" spans="1:5" ht="23.25">
      <c r="A8" s="444"/>
      <c r="B8" s="97" t="s">
        <v>178</v>
      </c>
      <c r="C8" s="101"/>
      <c r="D8" s="102"/>
      <c r="E8" s="102"/>
    </row>
    <row r="9" spans="1:5" ht="23.25">
      <c r="A9" s="444"/>
      <c r="B9" s="97" t="s">
        <v>178</v>
      </c>
      <c r="C9" s="103"/>
      <c r="D9" s="102"/>
      <c r="E9" s="102"/>
    </row>
    <row r="10" spans="1:5" ht="15.75" customHeight="1">
      <c r="A10" s="444"/>
      <c r="B10" s="104" t="s">
        <v>191</v>
      </c>
      <c r="C10" s="97"/>
      <c r="D10" s="98">
        <v>96000</v>
      </c>
      <c r="E10" s="105"/>
    </row>
    <row r="11" spans="1:5">
      <c r="A11" s="444"/>
      <c r="B11" s="106" t="s">
        <v>189</v>
      </c>
      <c r="C11" s="97"/>
      <c r="D11" s="98">
        <v>275000</v>
      </c>
      <c r="E11" s="105"/>
    </row>
    <row r="12" spans="1:5">
      <c r="A12" s="444"/>
      <c r="B12" s="106" t="s">
        <v>181</v>
      </c>
      <c r="C12" s="97"/>
      <c r="D12" s="98">
        <v>150000</v>
      </c>
      <c r="E12" s="105"/>
    </row>
    <row r="13" spans="1:5" ht="15.75" customHeight="1">
      <c r="A13" s="444"/>
      <c r="B13" s="106" t="s">
        <v>180</v>
      </c>
      <c r="C13" s="97"/>
      <c r="D13" s="98">
        <v>70000</v>
      </c>
      <c r="E13" s="105"/>
    </row>
    <row r="14" spans="1:5" ht="16.5" customHeight="1">
      <c r="A14" s="444"/>
      <c r="B14" s="107" t="s">
        <v>187</v>
      </c>
      <c r="C14" s="97"/>
      <c r="D14" s="108"/>
      <c r="E14" s="105">
        <f>SUM(D10:D13)</f>
        <v>591000</v>
      </c>
    </row>
    <row r="15" spans="1:5" ht="23.25">
      <c r="A15" s="444"/>
      <c r="B15" s="107" t="s">
        <v>175</v>
      </c>
      <c r="C15" s="97"/>
      <c r="D15" s="98" t="s">
        <v>179</v>
      </c>
      <c r="E15" s="102"/>
    </row>
    <row r="16" spans="1:5" ht="23.25">
      <c r="A16" s="444"/>
      <c r="B16" s="97" t="s">
        <v>7</v>
      </c>
      <c r="C16" s="97"/>
      <c r="D16" s="102"/>
      <c r="E16" s="98" t="s">
        <v>179</v>
      </c>
    </row>
  </sheetData>
  <mergeCells count="2">
    <mergeCell ref="A3:A16"/>
    <mergeCell ref="A1:E1"/>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B8662C-C73D-4775-8780-31AC86EF4B7A}">
  <sheetPr codeName="Sheet17">
    <tabColor rgb="FF006666"/>
  </sheetPr>
  <dimension ref="A1:E17"/>
  <sheetViews>
    <sheetView workbookViewId="0">
      <selection activeCell="D5" sqref="D5"/>
    </sheetView>
  </sheetViews>
  <sheetFormatPr defaultRowHeight="15"/>
  <cols>
    <col min="1" max="1" width="14.28515625" customWidth="1"/>
    <col min="2" max="2" width="29.85546875" customWidth="1"/>
    <col min="3" max="3" width="6.140625" customWidth="1"/>
    <col min="4" max="4" width="21.28515625" bestFit="1" customWidth="1"/>
    <col min="5" max="5" width="22.5703125" customWidth="1"/>
  </cols>
  <sheetData>
    <row r="1" spans="1:5" ht="15.75">
      <c r="A1" s="447" t="s">
        <v>186</v>
      </c>
      <c r="B1" s="447"/>
      <c r="C1" s="447"/>
      <c r="D1" s="447"/>
      <c r="E1" s="447"/>
    </row>
    <row r="2" spans="1:5">
      <c r="A2" s="306" t="s">
        <v>1</v>
      </c>
      <c r="B2" s="306" t="s">
        <v>169</v>
      </c>
      <c r="C2" s="306" t="s">
        <v>6</v>
      </c>
      <c r="D2" s="306" t="s">
        <v>134</v>
      </c>
      <c r="E2" s="306" t="s">
        <v>5</v>
      </c>
    </row>
    <row r="3" spans="1:5" ht="30.75" customHeight="1">
      <c r="A3" s="446" t="s">
        <v>174</v>
      </c>
      <c r="B3" s="109" t="s">
        <v>175</v>
      </c>
      <c r="C3" s="110"/>
      <c r="D3" s="111">
        <v>2000000</v>
      </c>
      <c r="E3" s="112"/>
    </row>
    <row r="4" spans="1:5">
      <c r="A4" s="446"/>
      <c r="B4" s="109" t="s">
        <v>7</v>
      </c>
      <c r="C4" s="48"/>
      <c r="D4" s="112"/>
      <c r="E4" s="111">
        <v>2000000</v>
      </c>
    </row>
    <row r="5" spans="1:5">
      <c r="A5" s="446"/>
      <c r="B5" s="109" t="s">
        <v>185</v>
      </c>
      <c r="C5" s="48"/>
      <c r="D5" s="111">
        <v>96000</v>
      </c>
      <c r="E5" s="112"/>
    </row>
    <row r="6" spans="1:5">
      <c r="A6" s="446"/>
      <c r="B6" s="109" t="s">
        <v>175</v>
      </c>
      <c r="C6" s="48"/>
      <c r="D6" s="112"/>
      <c r="E6" s="111">
        <v>96000</v>
      </c>
    </row>
    <row r="7" spans="1:5">
      <c r="A7" s="446"/>
      <c r="B7" s="109" t="s">
        <v>183</v>
      </c>
      <c r="C7" s="110"/>
      <c r="D7" s="111">
        <v>275000</v>
      </c>
      <c r="E7" s="112"/>
    </row>
    <row r="8" spans="1:5">
      <c r="A8" s="446"/>
      <c r="B8" s="109" t="s">
        <v>175</v>
      </c>
      <c r="C8" s="48"/>
      <c r="D8" s="112"/>
      <c r="E8" s="111">
        <v>275000</v>
      </c>
    </row>
    <row r="9" spans="1:5">
      <c r="A9" s="446"/>
      <c r="B9" s="109" t="s">
        <v>184</v>
      </c>
      <c r="C9" s="48"/>
      <c r="D9" s="111">
        <v>150000</v>
      </c>
      <c r="E9" s="112"/>
    </row>
    <row r="10" spans="1:5">
      <c r="A10" s="446"/>
      <c r="B10" s="109" t="s">
        <v>175</v>
      </c>
      <c r="C10" s="48"/>
      <c r="D10" s="112"/>
      <c r="E10" s="111">
        <v>150000</v>
      </c>
    </row>
    <row r="11" spans="1:5">
      <c r="A11" s="446"/>
      <c r="B11" s="52" t="s">
        <v>190</v>
      </c>
      <c r="C11" s="110"/>
      <c r="D11" s="111">
        <v>70000</v>
      </c>
      <c r="E11" s="112"/>
    </row>
    <row r="12" spans="1:5">
      <c r="A12" s="446"/>
      <c r="B12" s="113" t="s">
        <v>175</v>
      </c>
      <c r="C12" s="48"/>
      <c r="D12" s="112"/>
      <c r="E12" s="111">
        <v>70000</v>
      </c>
    </row>
    <row r="13" spans="1:5">
      <c r="A13" s="446"/>
      <c r="B13" s="52" t="s">
        <v>175</v>
      </c>
      <c r="C13" s="48"/>
      <c r="D13" s="111">
        <v>591000</v>
      </c>
      <c r="E13" s="112"/>
    </row>
    <row r="14" spans="1:5">
      <c r="A14" s="446"/>
      <c r="B14" s="52" t="s">
        <v>7</v>
      </c>
      <c r="C14" s="48"/>
      <c r="D14" s="112"/>
      <c r="E14" s="111">
        <v>591000</v>
      </c>
    </row>
    <row r="15" spans="1:5" ht="23.25">
      <c r="A15" s="446"/>
      <c r="B15" s="52" t="s">
        <v>175</v>
      </c>
      <c r="C15" s="114"/>
      <c r="D15" s="115" t="s">
        <v>188</v>
      </c>
      <c r="E15" s="116"/>
    </row>
    <row r="16" spans="1:5" ht="23.25">
      <c r="A16" s="446"/>
      <c r="B16" s="118" t="s">
        <v>7</v>
      </c>
      <c r="C16" s="117"/>
      <c r="D16" s="116"/>
      <c r="E16" s="115" t="str">
        <f>D15</f>
        <v>1 500.000</v>
      </c>
    </row>
    <row r="17" spans="4:5">
      <c r="D17" s="69"/>
      <c r="E17" s="69"/>
    </row>
  </sheetData>
  <mergeCells count="2">
    <mergeCell ref="A3:A16"/>
    <mergeCell ref="A1:E1"/>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5BBAD1-A3AE-473F-ABDA-7E2D8A4078C1}">
  <sheetPr codeName="Sheet18">
    <tabColor theme="8" tint="0.39997558519241921"/>
  </sheetPr>
  <dimension ref="A1:D15"/>
  <sheetViews>
    <sheetView workbookViewId="0">
      <selection activeCell="B8" sqref="B8"/>
    </sheetView>
  </sheetViews>
  <sheetFormatPr defaultRowHeight="15"/>
  <cols>
    <col min="1" max="1" width="25" customWidth="1"/>
    <col min="2" max="2" width="24" customWidth="1"/>
    <col min="3" max="3" width="29.42578125" customWidth="1"/>
    <col min="4" max="4" width="15.28515625" bestFit="1" customWidth="1"/>
  </cols>
  <sheetData>
    <row r="1" spans="1:4" ht="31.5">
      <c r="A1" s="153" t="s">
        <v>242</v>
      </c>
    </row>
    <row r="7" spans="1:4" ht="15.75">
      <c r="A7" s="448" t="s">
        <v>192</v>
      </c>
      <c r="B7" s="449"/>
      <c r="C7" s="449"/>
      <c r="D7" s="450"/>
    </row>
    <row r="8" spans="1:4" ht="31.5">
      <c r="A8" s="369" t="s">
        <v>664</v>
      </c>
      <c r="B8" s="370">
        <f>4454098+17882</f>
        <v>4471980</v>
      </c>
      <c r="C8" s="371" t="s">
        <v>193</v>
      </c>
      <c r="D8" s="372">
        <v>10837896</v>
      </c>
    </row>
    <row r="9" spans="1:4" ht="15.75">
      <c r="A9" s="47" t="s">
        <v>194</v>
      </c>
      <c r="B9" s="119">
        <v>31009045</v>
      </c>
      <c r="C9" s="47" t="s">
        <v>195</v>
      </c>
      <c r="D9" s="119">
        <v>4477795</v>
      </c>
    </row>
    <row r="10" spans="1:4" ht="15.75">
      <c r="A10" s="47" t="s">
        <v>196</v>
      </c>
      <c r="B10" s="119">
        <v>14887675</v>
      </c>
      <c r="C10" s="47" t="s">
        <v>197</v>
      </c>
      <c r="D10" s="119">
        <v>55886870</v>
      </c>
    </row>
    <row r="11" spans="1:4" ht="15.75">
      <c r="A11" s="47" t="s">
        <v>198</v>
      </c>
      <c r="B11" s="119">
        <v>3281932</v>
      </c>
      <c r="C11" s="47" t="s">
        <v>199</v>
      </c>
      <c r="D11" s="119">
        <v>99509023</v>
      </c>
    </row>
    <row r="12" spans="1:4" ht="15.75">
      <c r="A12" s="47" t="s">
        <v>19</v>
      </c>
      <c r="B12" s="119">
        <v>71815</v>
      </c>
      <c r="C12" s="47" t="s">
        <v>200</v>
      </c>
      <c r="D12" s="119">
        <v>5272412</v>
      </c>
    </row>
    <row r="13" spans="1:4" ht="15.75">
      <c r="A13" s="47" t="s">
        <v>201</v>
      </c>
      <c r="B13" s="119">
        <v>77734901</v>
      </c>
      <c r="C13" s="47" t="s">
        <v>243</v>
      </c>
      <c r="D13" s="119">
        <v>46725856</v>
      </c>
    </row>
    <row r="14" spans="1:4" ht="15.75">
      <c r="A14" s="47" t="s">
        <v>202</v>
      </c>
      <c r="B14" s="119">
        <v>114386698</v>
      </c>
      <c r="C14" s="13"/>
      <c r="D14" s="13"/>
    </row>
    <row r="15" spans="1:4" ht="15.75">
      <c r="A15" s="47" t="s">
        <v>203</v>
      </c>
      <c r="B15" s="119">
        <v>36651797</v>
      </c>
      <c r="C15" s="13"/>
      <c r="D15" s="13"/>
    </row>
  </sheetData>
  <mergeCells count="1">
    <mergeCell ref="A7:D7"/>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EC6138-388E-4CEF-8CEA-7EE6687BC625}">
  <sheetPr codeName="Sheet19">
    <tabColor theme="8" tint="0.39997558519241921"/>
  </sheetPr>
  <dimension ref="A1:D27"/>
  <sheetViews>
    <sheetView workbookViewId="0">
      <selection activeCell="C1" sqref="C1"/>
    </sheetView>
  </sheetViews>
  <sheetFormatPr defaultColWidth="39.7109375" defaultRowHeight="15"/>
  <cols>
    <col min="1" max="1" width="39.7109375" style="120"/>
    <col min="2" max="2" width="14.7109375" style="139" customWidth="1"/>
    <col min="3" max="3" width="53.42578125" style="120" customWidth="1"/>
    <col min="4" max="16384" width="39.7109375" style="120"/>
  </cols>
  <sheetData>
    <row r="1" spans="1:4" ht="19.5" thickBot="1">
      <c r="A1" s="138" t="s">
        <v>236</v>
      </c>
    </row>
    <row r="2" spans="1:4" ht="16.5" thickBot="1">
      <c r="A2" s="131" t="s">
        <v>204</v>
      </c>
      <c r="B2" s="132" t="s">
        <v>205</v>
      </c>
      <c r="C2" s="132" t="s">
        <v>206</v>
      </c>
    </row>
    <row r="3" spans="1:4" ht="79.5" thickBot="1">
      <c r="A3" s="60" t="s">
        <v>207</v>
      </c>
      <c r="B3" s="373">
        <f>'KASUS 8.1'!$B$10/'KASUS 8.1'!$B$9</f>
        <v>0.48010749766721289</v>
      </c>
      <c r="C3" s="60" t="s">
        <v>670</v>
      </c>
      <c r="D3" s="130"/>
    </row>
    <row r="4" spans="1:4" ht="95.25" thickBot="1">
      <c r="A4" s="60" t="s">
        <v>208</v>
      </c>
      <c r="B4" s="373">
        <f>('KASUS 8.1'!$B$10-'KASUS 8.1'!$B$12)/'KASUS 8.1'!$B$9</f>
        <v>0.47779156049468791</v>
      </c>
      <c r="C4" s="60" t="s">
        <v>671</v>
      </c>
    </row>
    <row r="5" spans="1:4" ht="48" thickBot="1">
      <c r="A5" s="60" t="s">
        <v>209</v>
      </c>
      <c r="B5" s="128">
        <f>'KASUS 8.1'!$B$8/'KASUS 8.1'!$B$9</f>
        <v>0.14421534104000946</v>
      </c>
      <c r="C5" s="60" t="s">
        <v>227</v>
      </c>
    </row>
    <row r="6" spans="1:4" ht="15.75">
      <c r="A6" s="133"/>
      <c r="B6" s="134"/>
      <c r="C6" s="133"/>
    </row>
    <row r="7" spans="1:4" ht="19.5" thickBot="1">
      <c r="A7" s="138" t="s">
        <v>237</v>
      </c>
      <c r="B7" s="124"/>
      <c r="C7" s="123"/>
    </row>
    <row r="8" spans="1:4" ht="16.5" thickBot="1">
      <c r="A8" s="131" t="s">
        <v>204</v>
      </c>
      <c r="B8" s="132" t="s">
        <v>205</v>
      </c>
      <c r="C8" s="132" t="s">
        <v>206</v>
      </c>
    </row>
    <row r="9" spans="1:4" ht="31.5">
      <c r="A9" s="451" t="s">
        <v>210</v>
      </c>
      <c r="B9" s="453">
        <f>'KASUS 8.1'!B13/'KASUS 8.1'!B14</f>
        <v>0.67957990185187445</v>
      </c>
      <c r="C9" s="121" t="s">
        <v>211</v>
      </c>
    </row>
    <row r="10" spans="1:4" ht="32.25" thickBot="1">
      <c r="A10" s="452"/>
      <c r="B10" s="454"/>
      <c r="C10" s="122" t="s">
        <v>212</v>
      </c>
    </row>
    <row r="11" spans="1:4" ht="79.5" thickBot="1">
      <c r="A11" s="60" t="s">
        <v>213</v>
      </c>
      <c r="B11" s="374">
        <f>'KASUS 8.1'!B13/'KASUS 8.1'!B15</f>
        <v>2.1209028577780238</v>
      </c>
      <c r="C11" s="60" t="s">
        <v>665</v>
      </c>
    </row>
    <row r="12" spans="1:4" ht="48" thickBot="1">
      <c r="A12" s="60" t="s">
        <v>214</v>
      </c>
      <c r="B12" s="128">
        <f>'KASUS 8.1'!D13/'KASUS 8.1'!B15</f>
        <v>1.2748585287646332</v>
      </c>
      <c r="C12" s="60" t="s">
        <v>228</v>
      </c>
    </row>
    <row r="13" spans="1:4" ht="32.25" thickBot="1">
      <c r="A13" s="60" t="s">
        <v>215</v>
      </c>
      <c r="B13" s="128">
        <f>'KASUS 8.1'!B14/'KASUS 8.1'!B15</f>
        <v>3.1209028577780238</v>
      </c>
      <c r="C13" s="60" t="s">
        <v>216</v>
      </c>
    </row>
    <row r="14" spans="1:4" ht="15.75">
      <c r="A14" s="133"/>
      <c r="B14" s="134"/>
      <c r="C14" s="133"/>
    </row>
    <row r="15" spans="1:4" ht="19.5" thickBot="1">
      <c r="A15" s="138" t="s">
        <v>238</v>
      </c>
    </row>
    <row r="16" spans="1:4" ht="16.5" thickBot="1">
      <c r="A16" s="132" t="s">
        <v>204</v>
      </c>
      <c r="B16" s="132" t="s">
        <v>205</v>
      </c>
      <c r="C16" s="132" t="s">
        <v>206</v>
      </c>
    </row>
    <row r="17" spans="1:3" ht="48" thickBot="1">
      <c r="A17" s="60" t="s">
        <v>218</v>
      </c>
      <c r="B17" s="128">
        <f>'KASUS 8.1'!D10/'KASUS 8.1'!B8</f>
        <v>12.497119844006457</v>
      </c>
      <c r="C17" s="125" t="s">
        <v>666</v>
      </c>
    </row>
    <row r="18" spans="1:3" ht="45.75" thickBot="1">
      <c r="A18" s="60" t="s">
        <v>217</v>
      </c>
      <c r="B18" s="128">
        <f>'KASUS 8.1'!D10/'KASUS 8.1'!B11</f>
        <v>17.028649588108468</v>
      </c>
      <c r="C18" s="126" t="s">
        <v>219</v>
      </c>
    </row>
    <row r="19" spans="1:3" ht="63.75" thickBot="1">
      <c r="A19" s="60" t="s">
        <v>220</v>
      </c>
      <c r="B19" s="128">
        <f>'KASUS 8.1'!D10/'KASUS 8.1'!B12</f>
        <v>778.20608507971872</v>
      </c>
      <c r="C19" s="125" t="s">
        <v>221</v>
      </c>
    </row>
    <row r="20" spans="1:3" ht="60.75" thickBot="1">
      <c r="A20" s="60" t="s">
        <v>222</v>
      </c>
      <c r="B20" s="128">
        <f>'KASUS 8.1'!D10/'KASUS 8.1'!B10</f>
        <v>3.7539018013222347</v>
      </c>
      <c r="C20" s="126" t="s">
        <v>240</v>
      </c>
    </row>
    <row r="21" spans="1:3" ht="60.75" thickBot="1">
      <c r="A21" s="60" t="s">
        <v>223</v>
      </c>
      <c r="B21" s="128">
        <f>'KASUS 8.1'!D10/'KASUS 8.1'!D11</f>
        <v>0.56162615524825321</v>
      </c>
      <c r="C21" s="126" t="s">
        <v>241</v>
      </c>
    </row>
    <row r="22" spans="1:3" ht="15.75">
      <c r="A22" s="133"/>
      <c r="B22" s="134"/>
      <c r="C22" s="135"/>
    </row>
    <row r="23" spans="1:3" ht="19.5" thickBot="1">
      <c r="A23" s="138" t="s">
        <v>239</v>
      </c>
    </row>
    <row r="24" spans="1:3" ht="16.5" thickBot="1">
      <c r="A24" s="132" t="s">
        <v>204</v>
      </c>
      <c r="B24" s="132" t="s">
        <v>205</v>
      </c>
      <c r="C24" s="132" t="s">
        <v>206</v>
      </c>
    </row>
    <row r="25" spans="1:3" ht="45.75" thickBot="1">
      <c r="A25" s="60" t="s">
        <v>224</v>
      </c>
      <c r="B25" s="374">
        <f>('KASUS 8.1'!D12/'KASUS 8.1'!D10)*100%</f>
        <v>9.4340799547371318E-2</v>
      </c>
      <c r="C25" s="127" t="s">
        <v>667</v>
      </c>
    </row>
    <row r="26" spans="1:3" ht="45.75" thickBot="1">
      <c r="A26" s="60" t="s">
        <v>225</v>
      </c>
      <c r="B26" s="374">
        <f>'KASUS 8.1'!D12/'KASUS 8.1'!B14</f>
        <v>4.6092876988196654E-2</v>
      </c>
      <c r="C26" s="127" t="s">
        <v>668</v>
      </c>
    </row>
    <row r="27" spans="1:3" ht="45.75" thickBot="1">
      <c r="A27" s="60" t="s">
        <v>226</v>
      </c>
      <c r="B27" s="374">
        <f>'KASUS 8.1'!D12/'KASUS 8.1'!B15</f>
        <v>0.14385139151567383</v>
      </c>
      <c r="C27" s="127" t="s">
        <v>669</v>
      </c>
    </row>
  </sheetData>
  <mergeCells count="2">
    <mergeCell ref="A9:A10"/>
    <mergeCell ref="B9:B10"/>
  </mergeCell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611434-2EFC-4FE6-991E-8936B6BD3A16}">
  <sheetPr>
    <tabColor rgb="FF006666"/>
  </sheetPr>
  <dimension ref="A1:C34"/>
  <sheetViews>
    <sheetView topLeftCell="A5" workbookViewId="0">
      <selection activeCell="B31" sqref="B31:C31"/>
    </sheetView>
  </sheetViews>
  <sheetFormatPr defaultRowHeight="15"/>
  <cols>
    <col min="1" max="1" width="53.7109375" bestFit="1" customWidth="1"/>
    <col min="2" max="2" width="19.85546875" customWidth="1"/>
    <col min="3" max="3" width="17.28515625" bestFit="1" customWidth="1"/>
  </cols>
  <sheetData>
    <row r="1" spans="1:3" ht="36">
      <c r="A1" s="140" t="s">
        <v>244</v>
      </c>
    </row>
    <row r="10" spans="1:3" ht="15.75">
      <c r="A10" s="310"/>
      <c r="B10" s="312" t="s">
        <v>245</v>
      </c>
      <c r="C10" s="312" t="s">
        <v>246</v>
      </c>
    </row>
    <row r="11" spans="1:3" ht="15.75">
      <c r="A11" s="311" t="s">
        <v>75</v>
      </c>
      <c r="B11" s="141">
        <v>1850000000</v>
      </c>
      <c r="C11" s="141">
        <v>1580000000</v>
      </c>
    </row>
    <row r="12" spans="1:3" ht="15.75">
      <c r="A12" s="311" t="s">
        <v>247</v>
      </c>
      <c r="B12" s="141">
        <v>462500000</v>
      </c>
      <c r="C12" s="141">
        <v>553000000</v>
      </c>
    </row>
    <row r="13" spans="1:3" ht="15.75">
      <c r="A13" s="311" t="s">
        <v>248</v>
      </c>
      <c r="B13" s="141">
        <v>1820000000</v>
      </c>
      <c r="C13" s="141">
        <v>2059000000</v>
      </c>
    </row>
    <row r="14" spans="1:3" ht="15.75">
      <c r="A14" s="311" t="s">
        <v>249</v>
      </c>
      <c r="B14" s="141">
        <v>1000000000</v>
      </c>
      <c r="C14" s="141">
        <v>1000000000</v>
      </c>
    </row>
    <row r="31" spans="1:3" ht="23.25">
      <c r="A31" s="313"/>
      <c r="B31" s="315" t="s">
        <v>245</v>
      </c>
      <c r="C31" s="315" t="s">
        <v>246</v>
      </c>
    </row>
    <row r="32" spans="1:3">
      <c r="A32" s="314" t="s">
        <v>250</v>
      </c>
      <c r="B32" s="142">
        <v>0.08</v>
      </c>
      <c r="C32" s="142">
        <v>0.1</v>
      </c>
    </row>
    <row r="33" spans="1:3">
      <c r="A33" s="314" t="s">
        <v>226</v>
      </c>
      <c r="B33" s="142">
        <v>0.1</v>
      </c>
      <c r="C33" s="142">
        <v>0.12</v>
      </c>
    </row>
    <row r="34" spans="1:3">
      <c r="A34" s="314" t="s">
        <v>251</v>
      </c>
      <c r="B34" s="142">
        <v>0.25</v>
      </c>
      <c r="C34" s="142">
        <v>0.35</v>
      </c>
    </row>
  </sheetData>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3CC4B5-D23C-4D66-8479-F4F96B48EC1C}">
  <sheetPr>
    <tabColor theme="8" tint="0.39997558519241921"/>
  </sheetPr>
  <dimension ref="A1:D1"/>
  <sheetViews>
    <sheetView workbookViewId="0">
      <selection activeCell="F1" sqref="F1"/>
    </sheetView>
  </sheetViews>
  <sheetFormatPr defaultRowHeight="15"/>
  <sheetData>
    <row r="1" spans="1:4" ht="28.5">
      <c r="A1" s="300" t="s">
        <v>252</v>
      </c>
      <c r="B1" s="167"/>
      <c r="C1" s="167"/>
      <c r="D1" s="167"/>
    </row>
  </sheetData>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43D005-F7B7-499C-93E4-9CC5AB60BC88}">
  <sheetPr>
    <tabColor rgb="FF006666"/>
  </sheetPr>
  <dimension ref="A44:B52"/>
  <sheetViews>
    <sheetView topLeftCell="A7" workbookViewId="0">
      <selection activeCell="B45" sqref="B45"/>
    </sheetView>
  </sheetViews>
  <sheetFormatPr defaultRowHeight="15"/>
  <cols>
    <col min="1" max="1" width="17.42578125" bestFit="1" customWidth="1"/>
    <col min="4" max="4" width="18" customWidth="1"/>
    <col min="5" max="5" width="14" customWidth="1"/>
  </cols>
  <sheetData>
    <row r="44" spans="1:2">
      <c r="A44" s="161" t="s">
        <v>305</v>
      </c>
      <c r="B44" s="172">
        <v>15</v>
      </c>
    </row>
    <row r="45" spans="1:2">
      <c r="A45" s="161" t="s">
        <v>306</v>
      </c>
      <c r="B45" s="172">
        <v>3</v>
      </c>
    </row>
    <row r="46" spans="1:2">
      <c r="A46" s="161" t="s">
        <v>307</v>
      </c>
      <c r="B46" s="172">
        <v>10</v>
      </c>
    </row>
    <row r="47" spans="1:2">
      <c r="A47" s="161" t="s">
        <v>308</v>
      </c>
      <c r="B47" s="172">
        <v>30</v>
      </c>
    </row>
    <row r="48" spans="1:2">
      <c r="A48" s="161" t="s">
        <v>311</v>
      </c>
      <c r="B48" s="173">
        <v>10</v>
      </c>
    </row>
    <row r="49" spans="1:2">
      <c r="A49" s="161" t="s">
        <v>312</v>
      </c>
      <c r="B49" s="172">
        <v>365</v>
      </c>
    </row>
    <row r="50" spans="1:2">
      <c r="A50" s="171" t="s">
        <v>309</v>
      </c>
      <c r="B50" s="172">
        <f>SUM(B44:B47)</f>
        <v>58</v>
      </c>
    </row>
    <row r="51" spans="1:2">
      <c r="A51" s="171" t="s">
        <v>310</v>
      </c>
      <c r="B51" s="172">
        <v>7</v>
      </c>
    </row>
    <row r="52" spans="1:2">
      <c r="A52" s="171" t="s">
        <v>313</v>
      </c>
      <c r="B52" s="177">
        <f>B49/B48</f>
        <v>36.5</v>
      </c>
    </row>
  </sheetData>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9B8B74-FD1C-4B6D-A76C-B052EB6009F4}">
  <sheetPr>
    <tabColor rgb="FF006666"/>
  </sheetPr>
  <dimension ref="A39:H53"/>
  <sheetViews>
    <sheetView workbookViewId="0">
      <selection activeCell="O73" sqref="O73"/>
    </sheetView>
  </sheetViews>
  <sheetFormatPr defaultRowHeight="15"/>
  <cols>
    <col min="1" max="1" width="17.7109375" bestFit="1" customWidth="1"/>
    <col min="2" max="2" width="20.5703125" bestFit="1" customWidth="1"/>
    <col min="3" max="3" width="15.7109375" bestFit="1" customWidth="1"/>
    <col min="4" max="4" width="14.28515625" bestFit="1" customWidth="1"/>
  </cols>
  <sheetData>
    <row r="39" spans="1:8">
      <c r="A39" s="162" t="s">
        <v>298</v>
      </c>
      <c r="B39" s="164">
        <v>2500000000</v>
      </c>
      <c r="C39" s="164"/>
      <c r="D39" s="164"/>
    </row>
    <row r="40" spans="1:8" ht="30">
      <c r="A40" s="163" t="s">
        <v>299</v>
      </c>
      <c r="B40" s="164">
        <v>1500000000</v>
      </c>
      <c r="C40" s="164">
        <v>2000000000</v>
      </c>
      <c r="D40" s="164">
        <v>2500000000</v>
      </c>
      <c r="H40" s="69"/>
    </row>
    <row r="41" spans="1:8">
      <c r="A41" s="162" t="s">
        <v>300</v>
      </c>
      <c r="B41" s="165">
        <v>0.13</v>
      </c>
      <c r="C41" s="164"/>
      <c r="D41" s="164"/>
    </row>
    <row r="42" spans="1:8">
      <c r="A42" s="169" t="s">
        <v>301</v>
      </c>
      <c r="B42" s="166">
        <f>NPV(B41,B40:D40)-B39</f>
        <v>2126352400.760416</v>
      </c>
      <c r="C42" s="167"/>
      <c r="D42" s="167"/>
    </row>
    <row r="43" spans="1:8">
      <c r="A43" s="93"/>
    </row>
    <row r="52" spans="1:3">
      <c r="A52" s="160" t="s">
        <v>302</v>
      </c>
      <c r="B52" s="160" t="s">
        <v>303</v>
      </c>
      <c r="C52" s="160" t="s">
        <v>304</v>
      </c>
    </row>
    <row r="53" spans="1:3">
      <c r="A53" s="170">
        <v>880000000</v>
      </c>
      <c r="B53" s="170">
        <v>120000000</v>
      </c>
      <c r="C53" s="170">
        <f>(A53/B53)*1</f>
        <v>7.333333333333333</v>
      </c>
    </row>
  </sheetData>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8ADC3F-1C90-4D99-AF9F-62CFDD9C1D67}">
  <sheetPr>
    <tabColor rgb="FF006666"/>
  </sheetPr>
  <dimension ref="A37:C52"/>
  <sheetViews>
    <sheetView workbookViewId="0">
      <selection activeCell="D22" sqref="D22"/>
    </sheetView>
  </sheetViews>
  <sheetFormatPr defaultRowHeight="15"/>
  <cols>
    <col min="1" max="1" width="20.140625" customWidth="1"/>
    <col min="2" max="2" width="14.5703125" bestFit="1" customWidth="1"/>
    <col min="3" max="3" width="19.28515625" bestFit="1" customWidth="1"/>
  </cols>
  <sheetData>
    <row r="37" spans="1:3" ht="15.75">
      <c r="A37" s="147" t="s">
        <v>290</v>
      </c>
      <c r="B37" s="147" t="s">
        <v>291</v>
      </c>
      <c r="C37" s="147" t="s">
        <v>292</v>
      </c>
    </row>
    <row r="38" spans="1:3" ht="15.75">
      <c r="A38" s="159">
        <v>7800000</v>
      </c>
      <c r="B38" s="47">
        <v>12</v>
      </c>
      <c r="C38" s="47">
        <v>8</v>
      </c>
    </row>
    <row r="39" spans="1:3" ht="15.75">
      <c r="A39" s="159">
        <f>A38*B38*C38</f>
        <v>748800000</v>
      </c>
      <c r="B39" s="13"/>
      <c r="C39" s="13"/>
    </row>
    <row r="47" spans="1:3" ht="15.75">
      <c r="A47" s="147" t="s">
        <v>293</v>
      </c>
      <c r="B47" s="147" t="s">
        <v>294</v>
      </c>
      <c r="C47" s="147" t="s">
        <v>131</v>
      </c>
    </row>
    <row r="48" spans="1:3" ht="15.75">
      <c r="A48" s="119">
        <v>8000000</v>
      </c>
      <c r="B48" s="176">
        <v>6.5000000000000002E-2</v>
      </c>
      <c r="C48" s="47">
        <v>5</v>
      </c>
    </row>
    <row r="49" spans="1:2">
      <c r="A49" s="69"/>
      <c r="B49" s="168"/>
    </row>
    <row r="50" spans="1:2" ht="15.75">
      <c r="A50" s="152" t="s">
        <v>295</v>
      </c>
      <c r="B50" s="174">
        <f>A48*B48</f>
        <v>520000</v>
      </c>
    </row>
    <row r="51" spans="1:2" ht="15.75">
      <c r="A51" s="152" t="s">
        <v>296</v>
      </c>
      <c r="B51" s="174">
        <f>A48*B48*C48</f>
        <v>2600000</v>
      </c>
    </row>
    <row r="52" spans="1:2" ht="31.5">
      <c r="A52" s="175" t="s">
        <v>297</v>
      </c>
      <c r="B52" s="174">
        <f>SUM(B50:B51)</f>
        <v>3120000</v>
      </c>
    </row>
  </sheetData>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1AAF10-323C-4756-B62B-CD5986AE93A6}">
  <sheetPr>
    <tabColor rgb="FF006666"/>
  </sheetPr>
  <dimension ref="A1:J75"/>
  <sheetViews>
    <sheetView workbookViewId="0">
      <selection activeCell="I97" sqref="I97"/>
    </sheetView>
  </sheetViews>
  <sheetFormatPr defaultRowHeight="15"/>
  <cols>
    <col min="1" max="1" width="49.7109375" bestFit="1" customWidth="1"/>
    <col min="2" max="3" width="18.28515625" bestFit="1" customWidth="1"/>
    <col min="4" max="4" width="17" bestFit="1" customWidth="1"/>
    <col min="5" max="5" width="12.85546875" bestFit="1" customWidth="1"/>
  </cols>
  <sheetData>
    <row r="1" spans="1:10" ht="31.5">
      <c r="A1" s="299" t="s">
        <v>289</v>
      </c>
      <c r="B1" s="167"/>
      <c r="C1" s="167"/>
    </row>
    <row r="3" spans="1:10" ht="15.75">
      <c r="A3" s="147" t="s">
        <v>288</v>
      </c>
      <c r="B3" s="147">
        <v>2012</v>
      </c>
      <c r="C3" s="147">
        <v>2011</v>
      </c>
      <c r="D3" s="147" t="s">
        <v>287</v>
      </c>
      <c r="E3" s="147" t="s">
        <v>286</v>
      </c>
      <c r="F3" s="147" t="s">
        <v>285</v>
      </c>
    </row>
    <row r="4" spans="1:10" ht="15.75">
      <c r="A4" s="47" t="s">
        <v>277</v>
      </c>
      <c r="B4" s="47"/>
      <c r="C4" s="47"/>
      <c r="D4" s="47"/>
      <c r="E4" s="47"/>
      <c r="F4" s="47"/>
    </row>
    <row r="5" spans="1:10" ht="15.75">
      <c r="A5" s="47" t="s">
        <v>284</v>
      </c>
      <c r="B5" s="119">
        <v>21020109</v>
      </c>
      <c r="C5" s="119">
        <v>17641866</v>
      </c>
      <c r="D5" s="119">
        <f>IF(AND(ISBLANK(B5),ISBLANK(C5)),"",B5-C5)</f>
        <v>3378243</v>
      </c>
      <c r="E5" s="146">
        <f>IF(AND(ISBLANK(B5),ISBLANK(C5)),"",D5/C5)</f>
        <v>0.19149011788208797</v>
      </c>
      <c r="F5" s="47" t="str">
        <f>IF((E5)="","",IF(E5&lt;0,"Turun",IF(E5&gt;0,"Naik","Tidak Ada Kenaikan")))</f>
        <v>Naik</v>
      </c>
    </row>
    <row r="6" spans="1:10" ht="15.75">
      <c r="A6" s="47" t="s">
        <v>282</v>
      </c>
      <c r="B6" s="119">
        <v>37935</v>
      </c>
      <c r="C6" s="119">
        <v>28376</v>
      </c>
      <c r="D6" s="119">
        <f t="shared" ref="D6:D16" si="0">IF(AND(ISBLANK(B6),ISBLANK(C6)),"",B6-C6)</f>
        <v>9559</v>
      </c>
      <c r="E6" s="146">
        <f t="shared" ref="E6:E16" si="1">IF(AND(ISBLANK(B6),ISBLANK(C6)),"",D6/C6)</f>
        <v>0.33686918522695236</v>
      </c>
      <c r="F6" s="47" t="str">
        <f t="shared" ref="F6:F16" si="2">IF((E6)="","",IF(E6&lt;0,"Turun",IF(E6&gt;0,"Naik","Tidak Ada Kenaikan")))</f>
        <v>Naik</v>
      </c>
    </row>
    <row r="7" spans="1:10" ht="15.75">
      <c r="A7" s="47" t="s">
        <v>278</v>
      </c>
      <c r="B7" s="119">
        <v>30935</v>
      </c>
      <c r="C7" s="119">
        <v>17374</v>
      </c>
      <c r="D7" s="119">
        <f t="shared" si="0"/>
        <v>13561</v>
      </c>
      <c r="E7" s="146">
        <f t="shared" si="1"/>
        <v>0.78053413146080353</v>
      </c>
      <c r="F7" s="47" t="str">
        <f t="shared" si="2"/>
        <v>Naik</v>
      </c>
    </row>
    <row r="8" spans="1:10" ht="15.75">
      <c r="A8" s="47"/>
      <c r="B8" s="119"/>
      <c r="C8" s="119"/>
      <c r="D8" s="119"/>
      <c r="E8" s="146" t="str">
        <f t="shared" si="1"/>
        <v/>
      </c>
      <c r="F8" s="47" t="str">
        <f t="shared" si="2"/>
        <v/>
      </c>
    </row>
    <row r="9" spans="1:10" ht="15.75">
      <c r="A9" s="47" t="s">
        <v>276</v>
      </c>
      <c r="B9" s="119"/>
      <c r="C9" s="119"/>
      <c r="D9" s="119"/>
      <c r="E9" s="146" t="str">
        <f t="shared" si="1"/>
        <v/>
      </c>
      <c r="F9" s="47" t="str">
        <f t="shared" si="2"/>
        <v/>
      </c>
    </row>
    <row r="10" spans="1:10" ht="15.75">
      <c r="A10" s="47" t="s">
        <v>283</v>
      </c>
      <c r="B10" s="119">
        <v>18567131</v>
      </c>
      <c r="C10" s="119">
        <v>15745069</v>
      </c>
      <c r="D10" s="119">
        <f t="shared" si="0"/>
        <v>2822062</v>
      </c>
      <c r="E10" s="146">
        <f t="shared" si="1"/>
        <v>0.17923465435432515</v>
      </c>
      <c r="F10" s="47" t="str">
        <f t="shared" si="2"/>
        <v>Naik</v>
      </c>
    </row>
    <row r="11" spans="1:10" ht="15.75">
      <c r="A11" s="47" t="s">
        <v>281</v>
      </c>
      <c r="B11" s="119">
        <v>759000</v>
      </c>
      <c r="C11" s="119">
        <v>827749</v>
      </c>
      <c r="D11" s="119">
        <f t="shared" si="0"/>
        <v>-68749</v>
      </c>
      <c r="E11" s="146">
        <f t="shared" si="1"/>
        <v>-8.3055370649798427E-2</v>
      </c>
      <c r="F11" s="47" t="str">
        <f t="shared" si="2"/>
        <v>Turun</v>
      </c>
    </row>
    <row r="12" spans="1:10" ht="15.75">
      <c r="A12" s="47" t="s">
        <v>280</v>
      </c>
      <c r="B12" s="119"/>
      <c r="C12" s="119">
        <v>3812</v>
      </c>
      <c r="D12" s="119">
        <f t="shared" si="0"/>
        <v>-3812</v>
      </c>
      <c r="E12" s="146">
        <f t="shared" si="1"/>
        <v>-1</v>
      </c>
      <c r="F12" s="47" t="str">
        <f t="shared" si="2"/>
        <v>Turun</v>
      </c>
      <c r="J12" t="str">
        <f>IF((I12)="","",IF(I12&lt;0,"Turun",IF(I12&gt;0,"Naik","Tidak Ada Kenaikan")))</f>
        <v/>
      </c>
    </row>
    <row r="13" spans="1:10" ht="15.75">
      <c r="A13" s="47" t="s">
        <v>279</v>
      </c>
      <c r="B13" s="119">
        <v>72922</v>
      </c>
      <c r="C13" s="119">
        <v>58816</v>
      </c>
      <c r="D13" s="119">
        <f t="shared" si="0"/>
        <v>14106</v>
      </c>
      <c r="E13" s="146">
        <f t="shared" si="1"/>
        <v>0.23983269858541895</v>
      </c>
      <c r="F13" s="47" t="str">
        <f t="shared" si="2"/>
        <v>Naik</v>
      </c>
    </row>
    <row r="14" spans="1:10" ht="15.75">
      <c r="A14" s="47"/>
      <c r="B14" s="119"/>
      <c r="C14" s="119"/>
      <c r="D14" s="119" t="str">
        <f t="shared" si="0"/>
        <v/>
      </c>
      <c r="E14" s="146" t="str">
        <f t="shared" si="1"/>
        <v/>
      </c>
      <c r="F14" s="47" t="str">
        <f t="shared" si="2"/>
        <v/>
      </c>
    </row>
    <row r="15" spans="1:10" ht="15.75">
      <c r="A15" s="147" t="s">
        <v>269</v>
      </c>
      <c r="B15" s="149">
        <f>SUM(B5:B7)</f>
        <v>21088979</v>
      </c>
      <c r="C15" s="149">
        <f>SUM(C5:C7)</f>
        <v>17687616</v>
      </c>
      <c r="D15" s="149">
        <f t="shared" si="0"/>
        <v>3401363</v>
      </c>
      <c r="E15" s="150">
        <f t="shared" si="1"/>
        <v>0.1923019473059569</v>
      </c>
      <c r="F15" s="147" t="str">
        <f t="shared" si="2"/>
        <v>Naik</v>
      </c>
    </row>
    <row r="16" spans="1:10" ht="15.75">
      <c r="A16" s="157" t="s">
        <v>268</v>
      </c>
      <c r="B16" s="149">
        <f>SUM(B10:B12)</f>
        <v>19326131</v>
      </c>
      <c r="C16" s="149">
        <f>SUM(C10:C13)</f>
        <v>16635446</v>
      </c>
      <c r="D16" s="149">
        <f t="shared" si="0"/>
        <v>2690685</v>
      </c>
      <c r="E16" s="150">
        <f t="shared" si="1"/>
        <v>0.1617440854907046</v>
      </c>
      <c r="F16" s="147" t="str">
        <f t="shared" si="2"/>
        <v>Naik</v>
      </c>
    </row>
    <row r="17" spans="1:6" ht="15.75">
      <c r="A17" s="154"/>
      <c r="B17" s="155"/>
      <c r="C17" s="155"/>
      <c r="D17" s="155"/>
      <c r="E17" s="156"/>
      <c r="F17" s="154"/>
    </row>
    <row r="18" spans="1:6" ht="15.75">
      <c r="A18" s="154"/>
      <c r="B18" s="155"/>
      <c r="C18" s="155"/>
      <c r="D18" s="155"/>
      <c r="E18" s="156"/>
      <c r="F18" s="154"/>
    </row>
    <row r="19" spans="1:6" ht="15.75">
      <c r="A19" s="154"/>
      <c r="B19" s="155"/>
      <c r="C19" s="155"/>
      <c r="D19" s="155"/>
      <c r="E19" s="156"/>
      <c r="F19" s="154"/>
    </row>
    <row r="20" spans="1:6" ht="15.75">
      <c r="A20" s="154"/>
      <c r="B20" s="155"/>
      <c r="C20" s="155"/>
      <c r="D20" s="155"/>
      <c r="E20" s="156"/>
      <c r="F20" s="154"/>
    </row>
    <row r="21" spans="1:6" ht="15.75">
      <c r="A21" s="154"/>
      <c r="B21" s="155"/>
      <c r="C21" s="155"/>
      <c r="D21" s="155"/>
      <c r="E21" s="156"/>
      <c r="F21" s="154"/>
    </row>
    <row r="22" spans="1:6" ht="15.75">
      <c r="A22" s="154"/>
      <c r="B22" s="155"/>
      <c r="C22" s="155"/>
      <c r="D22" s="155"/>
      <c r="E22" s="156"/>
      <c r="F22" s="154"/>
    </row>
    <row r="23" spans="1:6" ht="15.75">
      <c r="A23" s="154"/>
      <c r="B23" s="155"/>
      <c r="C23" s="155"/>
      <c r="D23" s="155"/>
      <c r="E23" s="156"/>
      <c r="F23" s="154"/>
    </row>
    <row r="24" spans="1:6" ht="15.75">
      <c r="A24" s="154"/>
      <c r="B24" s="155"/>
      <c r="C24" s="155"/>
      <c r="D24" s="155"/>
      <c r="E24" s="156"/>
      <c r="F24" s="154"/>
    </row>
    <row r="25" spans="1:6" ht="15.75">
      <c r="A25" s="154"/>
      <c r="B25" s="155"/>
      <c r="C25" s="155"/>
      <c r="D25" s="155"/>
      <c r="E25" s="156"/>
      <c r="F25" s="154"/>
    </row>
    <row r="26" spans="1:6" ht="15.75">
      <c r="A26" s="154"/>
      <c r="B26" s="155"/>
      <c r="C26" s="155"/>
      <c r="D26" s="155"/>
      <c r="E26" s="156"/>
      <c r="F26" s="154"/>
    </row>
    <row r="27" spans="1:6" ht="15.75">
      <c r="A27" s="154"/>
      <c r="B27" s="155"/>
      <c r="C27" s="155"/>
      <c r="D27" s="155"/>
      <c r="E27" s="156"/>
      <c r="F27" s="154"/>
    </row>
    <row r="28" spans="1:6" ht="15.75">
      <c r="A28" s="154"/>
      <c r="B28" s="155"/>
      <c r="C28" s="155"/>
      <c r="D28" s="155"/>
      <c r="E28" s="156"/>
      <c r="F28" s="154"/>
    </row>
    <row r="29" spans="1:6" ht="15.75">
      <c r="A29" s="154"/>
      <c r="B29" s="155"/>
      <c r="C29" s="155"/>
      <c r="D29" s="155"/>
      <c r="E29" s="156"/>
      <c r="F29" s="154"/>
    </row>
    <row r="30" spans="1:6" ht="15.75">
      <c r="A30" s="154"/>
      <c r="B30" s="155"/>
      <c r="C30" s="155"/>
      <c r="D30" s="155"/>
      <c r="E30" s="156"/>
      <c r="F30" s="154"/>
    </row>
    <row r="31" spans="1:6" ht="15.75">
      <c r="A31" s="154"/>
      <c r="B31" s="155"/>
      <c r="C31" s="155"/>
      <c r="D31" s="155"/>
      <c r="E31" s="156"/>
      <c r="F31" s="154"/>
    </row>
    <row r="32" spans="1:6" ht="15.75">
      <c r="A32" s="154"/>
      <c r="B32" s="155"/>
      <c r="C32" s="155"/>
      <c r="D32" s="155"/>
      <c r="E32" s="156"/>
      <c r="F32" s="154"/>
    </row>
    <row r="35" spans="1:8" ht="15.75">
      <c r="A35" s="158" t="s">
        <v>275</v>
      </c>
      <c r="B35" s="147">
        <f>B3</f>
        <v>2012</v>
      </c>
      <c r="C35" s="147">
        <f>C3</f>
        <v>2011</v>
      </c>
      <c r="D35" s="147" t="str">
        <f>D3</f>
        <v>Varian (Rp)</v>
      </c>
      <c r="E35" s="147" t="str">
        <f>E3</f>
        <v>Varian (%)</v>
      </c>
      <c r="F35" s="147" t="str">
        <f>F3</f>
        <v>kinerja</v>
      </c>
    </row>
    <row r="36" spans="1:8" ht="15.75">
      <c r="A36" s="47" t="s">
        <v>274</v>
      </c>
      <c r="B36" s="47"/>
      <c r="C36" s="47"/>
      <c r="D36" s="47"/>
      <c r="E36" s="47"/>
      <c r="F36" s="47"/>
    </row>
    <row r="37" spans="1:8" ht="15.75">
      <c r="A37" s="47" t="s">
        <v>273</v>
      </c>
      <c r="B37" s="119">
        <v>53957</v>
      </c>
      <c r="C37" s="119">
        <v>11725</v>
      </c>
      <c r="D37" s="119">
        <f>IF(AND(ISBLANK(B37),ISBLANK(C37)),"",B37-C37)</f>
        <v>42232</v>
      </c>
      <c r="E37" s="146">
        <f>IF(AND(ISBLANK(B37),ISBLANK(C37)),"",D37/C37)</f>
        <v>3.6018763326226013</v>
      </c>
      <c r="F37" s="47" t="str">
        <f>IF((E37)="","",IF(E37&lt;0,"Turun",IF(E37&gt;0,"Naik","Tidak Ada Kenaikan")))</f>
        <v>Naik</v>
      </c>
    </row>
    <row r="38" spans="1:8" ht="15.75">
      <c r="A38" s="47"/>
      <c r="B38" s="119"/>
      <c r="C38" s="119"/>
      <c r="D38" s="119" t="str">
        <f t="shared" ref="D38:D43" si="3">IF(AND(ISBLANK(B38),ISBLANK(C38)),"",B38-C38)</f>
        <v/>
      </c>
      <c r="E38" s="146" t="str">
        <f t="shared" ref="E38:E43" si="4">IF(AND(ISBLANK(B38),ISBLANK(C38)),"",D38/C38)</f>
        <v/>
      </c>
      <c r="F38" s="47" t="str">
        <f t="shared" ref="F38:F43" si="5">IF((E38)="","",IF(E38&lt;0,"Turun",IF(E38&gt;0,"Naik","Tidak Ada Kenaikan")))</f>
        <v/>
      </c>
    </row>
    <row r="39" spans="1:8" ht="15.75">
      <c r="A39" s="147" t="s">
        <v>262</v>
      </c>
      <c r="B39" s="149"/>
      <c r="C39" s="149"/>
      <c r="D39" s="148" t="str">
        <f t="shared" si="3"/>
        <v/>
      </c>
      <c r="E39" s="150" t="str">
        <f t="shared" si="4"/>
        <v/>
      </c>
      <c r="F39" s="147" t="str">
        <f t="shared" si="5"/>
        <v/>
      </c>
    </row>
    <row r="40" spans="1:8" ht="15.75">
      <c r="A40" s="47" t="s">
        <v>272</v>
      </c>
      <c r="B40" s="119">
        <v>1712469</v>
      </c>
      <c r="C40" s="119">
        <v>1432350</v>
      </c>
      <c r="D40" s="119">
        <f t="shared" si="3"/>
        <v>280119</v>
      </c>
      <c r="E40" s="146">
        <f t="shared" si="4"/>
        <v>0.19556602785632005</v>
      </c>
      <c r="F40" s="47" t="str">
        <f t="shared" si="5"/>
        <v>Naik</v>
      </c>
      <c r="H40" s="69"/>
    </row>
    <row r="41" spans="1:8" ht="15.75">
      <c r="A41" s="47" t="s">
        <v>271</v>
      </c>
      <c r="B41" s="119">
        <v>132842</v>
      </c>
      <c r="C41" s="119">
        <v>18082</v>
      </c>
      <c r="D41" s="119">
        <f t="shared" si="3"/>
        <v>114760</v>
      </c>
      <c r="E41" s="146">
        <f t="shared" si="4"/>
        <v>6.3466430704568078</v>
      </c>
      <c r="F41" s="47" t="str">
        <f t="shared" si="5"/>
        <v>Naik</v>
      </c>
    </row>
    <row r="42" spans="1:8" ht="15.75">
      <c r="A42" s="47" t="s">
        <v>270</v>
      </c>
      <c r="B42" s="119"/>
      <c r="C42" s="119">
        <v>14933</v>
      </c>
      <c r="D42" s="119">
        <f t="shared" si="3"/>
        <v>-14933</v>
      </c>
      <c r="E42" s="146">
        <f t="shared" si="4"/>
        <v>-1</v>
      </c>
      <c r="F42" s="47" t="str">
        <f t="shared" si="5"/>
        <v>Turun</v>
      </c>
    </row>
    <row r="43" spans="1:8" ht="15.75">
      <c r="A43" s="147" t="s">
        <v>269</v>
      </c>
      <c r="B43" s="149">
        <f>SUM(B37)</f>
        <v>53957</v>
      </c>
      <c r="C43" s="149">
        <f>SUM(C37)</f>
        <v>11725</v>
      </c>
      <c r="D43" s="149">
        <f t="shared" si="3"/>
        <v>42232</v>
      </c>
      <c r="E43" s="150">
        <f t="shared" si="4"/>
        <v>3.6018763326226013</v>
      </c>
      <c r="F43" s="147" t="str">
        <f t="shared" si="5"/>
        <v>Naik</v>
      </c>
    </row>
    <row r="44" spans="1:8" ht="15.75">
      <c r="A44" s="147" t="s">
        <v>268</v>
      </c>
      <c r="B44" s="149">
        <f>SUM(B40:B41)</f>
        <v>1845311</v>
      </c>
      <c r="C44" s="149">
        <f>SUM(C35:C40)</f>
        <v>1446086</v>
      </c>
      <c r="D44" s="149">
        <f t="shared" ref="D44" si="6">IF(AND(ISBLANK(B44),ISBLANK(B44)),"",B44-C44)</f>
        <v>399225</v>
      </c>
      <c r="E44" s="150">
        <f t="shared" ref="E44" si="7">IFERROR(IF(D44="","",IF(D44="Tidak ada varian",D44,IF((B44-C44)/C44=0,"Tidak ada varian",IF((B44-C44)/C44&gt;0,(B44-C44)/C44,IF(C44&lt;0,(B44-C44)/ABS(C44),(B44-C44)/C44))))),100%)</f>
        <v>0.27607279235121562</v>
      </c>
      <c r="F44" s="147" t="str">
        <f t="shared" ref="F44" si="8">IF(E44="","",IF(E44="Tidak Ada Varian","Tidak ada varian",IF(E44&gt;0%,"Naik","Turun")))</f>
        <v>Naik</v>
      </c>
    </row>
    <row r="45" spans="1:8" ht="15.75">
      <c r="A45" s="154"/>
      <c r="B45" s="155"/>
      <c r="C45" s="155"/>
      <c r="D45" s="155"/>
      <c r="E45" s="156"/>
      <c r="F45" s="154"/>
    </row>
    <row r="46" spans="1:8" ht="15.75">
      <c r="A46" s="154"/>
      <c r="B46" s="155"/>
      <c r="C46" s="155"/>
      <c r="D46" s="155"/>
      <c r="E46" s="156"/>
      <c r="F46" s="154"/>
    </row>
    <row r="47" spans="1:8" ht="15.75">
      <c r="A47" s="154"/>
      <c r="B47" s="155"/>
      <c r="C47" s="155"/>
      <c r="D47" s="155"/>
      <c r="E47" s="156"/>
      <c r="F47" s="154"/>
    </row>
    <row r="48" spans="1:8" ht="15.75">
      <c r="A48" s="154"/>
      <c r="B48" s="155"/>
      <c r="C48" s="155"/>
      <c r="D48" s="155"/>
      <c r="E48" s="156"/>
      <c r="F48" s="154"/>
    </row>
    <row r="49" spans="1:6" ht="15.75">
      <c r="A49" s="154"/>
      <c r="B49" s="155"/>
      <c r="C49" s="155"/>
      <c r="D49" s="155"/>
      <c r="E49" s="156"/>
      <c r="F49" s="154"/>
    </row>
    <row r="50" spans="1:6" ht="15.75">
      <c r="A50" s="154"/>
      <c r="B50" s="155"/>
      <c r="C50" s="155"/>
      <c r="D50" s="155"/>
      <c r="E50" s="156"/>
      <c r="F50" s="154"/>
    </row>
    <row r="51" spans="1:6" ht="15.75">
      <c r="A51" s="154"/>
      <c r="B51" s="155"/>
      <c r="C51" s="155"/>
      <c r="D51" s="155"/>
      <c r="E51" s="156"/>
      <c r="F51" s="154"/>
    </row>
    <row r="52" spans="1:6" ht="15.75">
      <c r="A52" s="154"/>
      <c r="B52" s="155"/>
      <c r="C52" s="155"/>
      <c r="D52" s="155"/>
      <c r="E52" s="156"/>
      <c r="F52" s="154"/>
    </row>
    <row r="53" spans="1:6" ht="15.75">
      <c r="A53" s="154"/>
      <c r="B53" s="155"/>
      <c r="C53" s="155"/>
      <c r="D53" s="155"/>
      <c r="E53" s="156"/>
      <c r="F53" s="154"/>
    </row>
    <row r="54" spans="1:6" ht="15.75">
      <c r="A54" s="154"/>
      <c r="B54" s="155"/>
      <c r="C54" s="155"/>
      <c r="D54" s="155"/>
      <c r="E54" s="156"/>
      <c r="F54" s="154"/>
    </row>
    <row r="55" spans="1:6" ht="15.75">
      <c r="A55" s="154"/>
      <c r="B55" s="155"/>
      <c r="C55" s="155"/>
      <c r="D55" s="155"/>
      <c r="E55" s="156"/>
      <c r="F55" s="154"/>
    </row>
    <row r="56" spans="1:6" ht="15.75">
      <c r="A56" s="154"/>
      <c r="B56" s="155"/>
      <c r="C56" s="155"/>
      <c r="D56" s="155"/>
      <c r="E56" s="156"/>
      <c r="F56" s="154"/>
    </row>
    <row r="58" spans="1:6" ht="15.75">
      <c r="A58" s="147" t="s">
        <v>267</v>
      </c>
      <c r="B58" s="149">
        <f>B35</f>
        <v>2012</v>
      </c>
      <c r="C58" s="149">
        <f t="shared" ref="C58:F58" si="9">C35</f>
        <v>2011</v>
      </c>
      <c r="D58" s="149" t="str">
        <f t="shared" si="9"/>
        <v>Varian (Rp)</v>
      </c>
      <c r="E58" s="150" t="str">
        <f t="shared" si="9"/>
        <v>Varian (%)</v>
      </c>
      <c r="F58" s="147" t="str">
        <f t="shared" si="9"/>
        <v>kinerja</v>
      </c>
    </row>
    <row r="59" spans="1:6" ht="15.75">
      <c r="A59" s="47" t="s">
        <v>266</v>
      </c>
      <c r="B59" s="119"/>
      <c r="C59" s="119"/>
      <c r="D59" s="119"/>
      <c r="E59" s="146"/>
      <c r="F59" s="47"/>
    </row>
    <row r="60" spans="1:6" ht="15.75">
      <c r="A60" s="47" t="s">
        <v>265</v>
      </c>
      <c r="B60" s="119"/>
      <c r="C60" s="119"/>
      <c r="D60" s="119" t="str">
        <f t="shared" ref="D60" si="10">IF(AND(ISNUMBER(FIND(":",A60)),B60="",C60=""),"",IF(AND(A60&lt;&gt;"",B60="",C60="",""),"Tidak ada varian",IF(AND(A60="",B60="",C60=""),"",IF((C60-B60)=0,"Tidak ada varian",B60-C60))))</f>
        <v/>
      </c>
      <c r="E60" s="146" t="str">
        <f>IFERROR(IF(D60="","",IF(D60="Tidak ada varian",D60,IF((B60-C60)/C60=0,"Tidak ada varian",IF((B60-C60)/C60&gt;0,(B60-C60)/C60,IF(C60&lt;0,(B60-C60)/ABS(C60),(B60-C60)/C60))))),100%)</f>
        <v/>
      </c>
      <c r="F60" s="47" t="str">
        <f t="shared" ref="F60" si="11">IF(E60="","",IF(E60="Tidak Ada Varian","Tidak ada varian",IF(E60&gt;0%,"Naik","Turun")))</f>
        <v/>
      </c>
    </row>
    <row r="61" spans="1:6" ht="15.75">
      <c r="A61" s="47" t="s">
        <v>264</v>
      </c>
      <c r="B61" s="119">
        <v>318438</v>
      </c>
      <c r="C61" s="119">
        <v>660818</v>
      </c>
      <c r="D61" s="119">
        <f>IF(AND(ISBLANK(B61),ISBLANK(C61)),"",B61-C61)</f>
        <v>-342380</v>
      </c>
      <c r="E61" s="146">
        <f>IF(AND(ISBLANK(B61),ISBLANK(C61)),"",D61/C61)</f>
        <v>-0.51811542663789423</v>
      </c>
      <c r="F61" s="47" t="str">
        <f>IF((E61)="","",IF(E61&lt;0,"Turun",IF(E61&gt;0,"Naik","Tidak Ada Kenaikan")))</f>
        <v>Turun</v>
      </c>
    </row>
    <row r="62" spans="1:6" ht="15.75">
      <c r="A62" s="47" t="s">
        <v>263</v>
      </c>
      <c r="B62" s="119">
        <v>646800</v>
      </c>
      <c r="C62" s="119">
        <v>884384</v>
      </c>
      <c r="D62" s="119">
        <f t="shared" ref="D62:D73" si="12">IF(AND(ISBLANK(B62),ISBLANK(C62)),"",B62-C62)</f>
        <v>-237584</v>
      </c>
      <c r="E62" s="146">
        <f t="shared" ref="E62:E73" si="13">IF(AND(ISBLANK(B62),ISBLANK(C62)),"",D62/C62)</f>
        <v>-0.26864348518290698</v>
      </c>
      <c r="F62" s="47" t="str">
        <f t="shared" ref="F62:F73" si="14">IF((E62)="","",IF(E62&lt;0,"Turun",IF(E62&gt;0,"Naik","Tidak Ada Kenaikan")))</f>
        <v>Turun</v>
      </c>
    </row>
    <row r="63" spans="1:6" ht="15.75">
      <c r="A63" s="47"/>
      <c r="B63" s="119"/>
      <c r="C63" s="119"/>
      <c r="D63" s="119" t="str">
        <f t="shared" si="12"/>
        <v/>
      </c>
      <c r="E63" s="146" t="str">
        <f t="shared" si="13"/>
        <v/>
      </c>
      <c r="F63" s="47" t="str">
        <f t="shared" si="14"/>
        <v/>
      </c>
    </row>
    <row r="64" spans="1:6" ht="15.75">
      <c r="A64" s="147" t="s">
        <v>262</v>
      </c>
      <c r="B64" s="149"/>
      <c r="C64" s="149"/>
      <c r="D64" s="148" t="str">
        <f t="shared" si="12"/>
        <v/>
      </c>
      <c r="E64" s="150" t="str">
        <f t="shared" si="13"/>
        <v/>
      </c>
      <c r="F64" s="147" t="str">
        <f t="shared" si="14"/>
        <v/>
      </c>
    </row>
    <row r="65" spans="1:6" ht="15.75">
      <c r="A65" s="47" t="s">
        <v>261</v>
      </c>
      <c r="B65" s="119"/>
      <c r="C65" s="119"/>
      <c r="D65" s="119" t="str">
        <f t="shared" si="12"/>
        <v/>
      </c>
      <c r="E65" s="146" t="str">
        <f t="shared" si="13"/>
        <v/>
      </c>
      <c r="F65" s="47" t="str">
        <f t="shared" si="14"/>
        <v/>
      </c>
    </row>
    <row r="66" spans="1:6" ht="15.75">
      <c r="A66" s="47" t="s">
        <v>260</v>
      </c>
      <c r="B66" s="119">
        <v>688716</v>
      </c>
      <c r="C66" s="119">
        <v>652640</v>
      </c>
      <c r="D66" s="119">
        <f t="shared" si="12"/>
        <v>36076</v>
      </c>
      <c r="E66" s="146">
        <f t="shared" si="13"/>
        <v>5.5277028683500859E-2</v>
      </c>
      <c r="F66" s="47" t="str">
        <f t="shared" si="14"/>
        <v>Naik</v>
      </c>
    </row>
    <row r="67" spans="1:6" ht="15.75">
      <c r="A67" s="47" t="s">
        <v>259</v>
      </c>
      <c r="B67" s="119">
        <v>90850</v>
      </c>
      <c r="C67" s="119">
        <v>426640</v>
      </c>
      <c r="D67" s="119">
        <f t="shared" si="12"/>
        <v>-335790</v>
      </c>
      <c r="E67" s="146">
        <f t="shared" si="13"/>
        <v>-0.78705700356272268</v>
      </c>
      <c r="F67" s="47" t="str">
        <f t="shared" si="14"/>
        <v>Turun</v>
      </c>
    </row>
    <row r="68" spans="1:6" ht="15.75">
      <c r="A68" s="47" t="s">
        <v>258</v>
      </c>
      <c r="B68" s="119">
        <v>37697</v>
      </c>
      <c r="C68" s="119">
        <v>542574</v>
      </c>
      <c r="D68" s="119">
        <f t="shared" si="12"/>
        <v>-504877</v>
      </c>
      <c r="E68" s="146">
        <f t="shared" si="13"/>
        <v>-0.93052191959069175</v>
      </c>
      <c r="F68" s="47" t="str">
        <f t="shared" si="14"/>
        <v>Turun</v>
      </c>
    </row>
    <row r="69" spans="1:6" ht="15.75">
      <c r="A69" s="47" t="s">
        <v>257</v>
      </c>
      <c r="B69" s="119"/>
      <c r="C69" s="119"/>
      <c r="D69" s="119" t="str">
        <f t="shared" si="12"/>
        <v/>
      </c>
      <c r="E69" s="146" t="str">
        <f t="shared" si="13"/>
        <v/>
      </c>
      <c r="F69" s="47" t="str">
        <f t="shared" si="14"/>
        <v/>
      </c>
    </row>
    <row r="70" spans="1:6" ht="15.75">
      <c r="A70" s="47" t="s">
        <v>256</v>
      </c>
      <c r="B70" s="119">
        <v>5162</v>
      </c>
      <c r="C70" s="119">
        <v>2423</v>
      </c>
      <c r="D70" s="119">
        <f t="shared" si="12"/>
        <v>2739</v>
      </c>
      <c r="E70" s="151">
        <f t="shared" si="13"/>
        <v>1.1304168386297977</v>
      </c>
      <c r="F70" s="47" t="str">
        <f t="shared" si="14"/>
        <v>Naik</v>
      </c>
    </row>
    <row r="71" spans="1:6" ht="15.75">
      <c r="A71" s="47" t="s">
        <v>255</v>
      </c>
      <c r="B71" s="119">
        <v>183</v>
      </c>
      <c r="C71" s="119">
        <v>842</v>
      </c>
      <c r="D71" s="119">
        <f t="shared" si="12"/>
        <v>-659</v>
      </c>
      <c r="E71" s="146">
        <f t="shared" si="13"/>
        <v>-0.78266033254156775</v>
      </c>
      <c r="F71" s="47" t="str">
        <f t="shared" si="14"/>
        <v>Turun</v>
      </c>
    </row>
    <row r="72" spans="1:6" ht="15.75">
      <c r="A72" s="47"/>
      <c r="B72" s="119"/>
      <c r="C72" s="119"/>
      <c r="D72" s="119" t="str">
        <f t="shared" si="12"/>
        <v/>
      </c>
      <c r="E72" s="146" t="str">
        <f t="shared" si="13"/>
        <v/>
      </c>
      <c r="F72" s="47" t="str">
        <f t="shared" si="14"/>
        <v/>
      </c>
    </row>
    <row r="73" spans="1:6" ht="15.75">
      <c r="A73" s="147" t="s">
        <v>254</v>
      </c>
      <c r="B73" s="149">
        <f>SUM(B61:B62)</f>
        <v>965238</v>
      </c>
      <c r="C73" s="149">
        <f>SUM(C61:C62)</f>
        <v>1545202</v>
      </c>
      <c r="D73" s="149">
        <f t="shared" si="12"/>
        <v>-579964</v>
      </c>
      <c r="E73" s="150">
        <f t="shared" si="13"/>
        <v>-0.37533215721957386</v>
      </c>
      <c r="F73" s="147" t="str">
        <f t="shared" si="14"/>
        <v>Turun</v>
      </c>
    </row>
    <row r="74" spans="1:6" ht="15.75">
      <c r="A74" s="147" t="s">
        <v>253</v>
      </c>
      <c r="B74" s="149">
        <f>SUM(B66:B71)</f>
        <v>822608</v>
      </c>
      <c r="C74" s="149">
        <f>SUM(C66:C71)</f>
        <v>1625119</v>
      </c>
      <c r="D74" s="149">
        <f>IF(AND(ISBLANK(B74),ISBLANK(C74)),"",B74-C74)</f>
        <v>-802511</v>
      </c>
      <c r="E74" s="150">
        <f t="shared" ref="E74" si="15">IFERROR(IF(D74="","",IF(D74="Tidak ada varian",D74,IF((B74-C74)/C74=0,"Tidak ada varian",IF((B74-C74)/C74&gt;0,(B74-C74)/C74,IF(C74&lt;0,(B74-C74)/ABS(C74),(B74-C74)/C74))))),100%)</f>
        <v>-0.49381676049569295</v>
      </c>
      <c r="F74" s="147" t="str">
        <f>IF((E74)="","",IF(E74&lt;0,"Turun",IF(E74&gt;0,"Naik","Tidak Ada Kenaikan")))</f>
        <v>Turun</v>
      </c>
    </row>
    <row r="75" spans="1:6">
      <c r="E75" s="145"/>
    </row>
  </sheetData>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73AAA3-7BD0-4F1A-9188-2DB41A7F642A}">
  <sheetPr>
    <tabColor theme="8" tint="0.39997558519241921"/>
  </sheetPr>
  <dimension ref="A3:L9"/>
  <sheetViews>
    <sheetView workbookViewId="0">
      <selection activeCell="D21" sqref="D21"/>
    </sheetView>
  </sheetViews>
  <sheetFormatPr defaultRowHeight="15"/>
  <cols>
    <col min="11" max="11" width="21.5703125" bestFit="1" customWidth="1"/>
    <col min="12" max="12" width="15.85546875" bestFit="1" customWidth="1"/>
    <col min="13" max="13" width="16.7109375" bestFit="1" customWidth="1"/>
  </cols>
  <sheetData>
    <row r="3" spans="1:12" ht="36">
      <c r="A3" s="140"/>
    </row>
    <row r="4" spans="1:12">
      <c r="K4" s="185" t="s">
        <v>315</v>
      </c>
      <c r="L4" s="164">
        <v>15000000</v>
      </c>
    </row>
    <row r="5" spans="1:12">
      <c r="K5" s="185" t="s">
        <v>316</v>
      </c>
      <c r="L5" s="178">
        <v>7.0000000000000007E-2</v>
      </c>
    </row>
    <row r="6" spans="1:12">
      <c r="K6" s="185" t="s">
        <v>317</v>
      </c>
      <c r="L6" s="178">
        <v>0.1</v>
      </c>
    </row>
    <row r="7" spans="1:12" ht="15.75">
      <c r="K7" s="185" t="s">
        <v>318</v>
      </c>
      <c r="L7" s="210">
        <v>5</v>
      </c>
    </row>
    <row r="8" spans="1:12">
      <c r="K8" s="185" t="s">
        <v>319</v>
      </c>
      <c r="L8" s="164">
        <f>L4*L5</f>
        <v>1050000</v>
      </c>
    </row>
    <row r="9" spans="1:12">
      <c r="K9" s="185" t="s">
        <v>320</v>
      </c>
      <c r="L9" s="230">
        <f>ABS(PV(L6,L7,L8,L4,0))</f>
        <v>13294145.953766199</v>
      </c>
    </row>
  </sheetData>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75A78-B942-4006-B704-934ED6E023ED}">
  <sheetPr>
    <tabColor theme="8" tint="0.39997558519241921"/>
  </sheetPr>
  <dimension ref="A4:E24"/>
  <sheetViews>
    <sheetView workbookViewId="0">
      <selection activeCell="G20" sqref="G20"/>
    </sheetView>
  </sheetViews>
  <sheetFormatPr defaultRowHeight="15"/>
  <cols>
    <col min="1" max="1" width="10.7109375" bestFit="1" customWidth="1"/>
    <col min="2" max="2" width="19.42578125" bestFit="1" customWidth="1"/>
    <col min="3" max="3" width="7.28515625" customWidth="1"/>
    <col min="4" max="5" width="17.7109375" bestFit="1" customWidth="1"/>
  </cols>
  <sheetData>
    <row r="4" spans="1:5" ht="31.5">
      <c r="A4" s="153"/>
    </row>
    <row r="15" spans="1:5">
      <c r="A15" s="181" t="s">
        <v>1</v>
      </c>
      <c r="B15" s="181" t="s">
        <v>169</v>
      </c>
      <c r="C15" s="181" t="s">
        <v>6</v>
      </c>
      <c r="D15" s="181" t="s">
        <v>134</v>
      </c>
      <c r="E15" s="181" t="s">
        <v>5</v>
      </c>
    </row>
    <row r="16" spans="1:5">
      <c r="A16" s="180">
        <f>DATE(2006,1,1)</f>
        <v>38718</v>
      </c>
      <c r="B16" s="179" t="s">
        <v>7</v>
      </c>
      <c r="C16" s="179"/>
      <c r="D16" s="159">
        <v>200000000</v>
      </c>
      <c r="E16" s="159"/>
    </row>
    <row r="17" spans="1:5">
      <c r="A17" s="179"/>
      <c r="B17" s="179" t="s">
        <v>321</v>
      </c>
      <c r="C17" s="179"/>
      <c r="D17" s="159"/>
      <c r="E17" s="159">
        <f>D16</f>
        <v>200000000</v>
      </c>
    </row>
    <row r="18" spans="1:5">
      <c r="A18" s="179"/>
      <c r="B18" s="179" t="s">
        <v>322</v>
      </c>
      <c r="C18" s="179"/>
      <c r="D18" s="159"/>
      <c r="E18" s="159"/>
    </row>
    <row r="19" spans="1:5">
      <c r="A19" s="180">
        <f>DATE(2006,7,1)</f>
        <v>38899</v>
      </c>
      <c r="B19" s="179" t="s">
        <v>323</v>
      </c>
      <c r="C19" s="179"/>
      <c r="D19" s="159">
        <f>200000000/2*10%</f>
        <v>10000000</v>
      </c>
      <c r="E19" s="159"/>
    </row>
    <row r="20" spans="1:5">
      <c r="A20" s="179"/>
      <c r="B20" s="179" t="s">
        <v>7</v>
      </c>
      <c r="C20" s="179"/>
      <c r="D20" s="159"/>
      <c r="E20" s="159">
        <f>D19</f>
        <v>10000000</v>
      </c>
    </row>
    <row r="21" spans="1:5">
      <c r="A21" s="179"/>
      <c r="B21" s="179"/>
      <c r="C21" s="179"/>
      <c r="D21" s="159"/>
      <c r="E21" s="159"/>
    </row>
    <row r="22" spans="1:5">
      <c r="A22" s="180">
        <f>DATE(2009,12,31)</f>
        <v>40178</v>
      </c>
      <c r="B22" s="179" t="s">
        <v>323</v>
      </c>
      <c r="C22" s="179"/>
      <c r="D22" s="159">
        <v>1000000</v>
      </c>
      <c r="E22" s="159"/>
    </row>
    <row r="23" spans="1:5">
      <c r="A23" s="179"/>
      <c r="B23" s="179" t="s">
        <v>324</v>
      </c>
      <c r="C23" s="179"/>
      <c r="D23" s="159"/>
      <c r="E23" s="159">
        <v>10000000</v>
      </c>
    </row>
    <row r="24" spans="1:5">
      <c r="A24" s="179"/>
      <c r="B24" s="179"/>
      <c r="C24" s="179"/>
      <c r="D24" s="159"/>
      <c r="E24" s="159"/>
    </row>
  </sheetData>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5B1342-69A3-42E4-8756-E4D6F94B611D}">
  <sheetPr>
    <tabColor theme="8" tint="0.39997558519241921"/>
  </sheetPr>
  <dimension ref="A3:F39"/>
  <sheetViews>
    <sheetView topLeftCell="A3" workbookViewId="0">
      <selection activeCell="D56" sqref="D56"/>
    </sheetView>
  </sheetViews>
  <sheetFormatPr defaultRowHeight="15"/>
  <cols>
    <col min="1" max="1" width="10.7109375" bestFit="1" customWidth="1"/>
    <col min="2" max="2" width="20" customWidth="1"/>
    <col min="3" max="3" width="29" bestFit="1" customWidth="1"/>
    <col min="4" max="4" width="8" customWidth="1"/>
    <col min="5" max="5" width="16.7109375" customWidth="1"/>
    <col min="6" max="6" width="12.5703125" bestFit="1" customWidth="1"/>
  </cols>
  <sheetData>
    <row r="3" spans="1:6" ht="26.25">
      <c r="A3" s="45"/>
    </row>
    <row r="13" spans="1:6">
      <c r="A13" s="184" t="s">
        <v>1</v>
      </c>
      <c r="B13" s="184" t="s">
        <v>333</v>
      </c>
      <c r="C13" s="184" t="s">
        <v>169</v>
      </c>
      <c r="D13" s="184" t="s">
        <v>6</v>
      </c>
      <c r="E13" s="184" t="s">
        <v>4</v>
      </c>
      <c r="F13" s="184" t="s">
        <v>5</v>
      </c>
    </row>
    <row r="14" spans="1:6">
      <c r="A14" s="180">
        <f>DATE(2006,1,1)</f>
        <v>38718</v>
      </c>
      <c r="B14" s="455" t="s">
        <v>328</v>
      </c>
      <c r="C14" s="183" t="s">
        <v>322</v>
      </c>
      <c r="D14" s="179"/>
      <c r="E14" s="179"/>
      <c r="F14" s="159"/>
    </row>
    <row r="15" spans="1:6">
      <c r="A15" s="179"/>
      <c r="B15" s="456"/>
      <c r="C15" s="179" t="s">
        <v>7</v>
      </c>
      <c r="D15" s="179"/>
      <c r="E15" s="159">
        <f>98%*F17</f>
        <v>196000000</v>
      </c>
      <c r="F15" s="159"/>
    </row>
    <row r="16" spans="1:6">
      <c r="A16" s="179"/>
      <c r="B16" s="456"/>
      <c r="C16" s="179" t="s">
        <v>325</v>
      </c>
      <c r="D16" s="179"/>
      <c r="E16" s="159">
        <f>F17-E15</f>
        <v>4000000</v>
      </c>
      <c r="F16" s="159"/>
    </row>
    <row r="17" spans="1:6">
      <c r="A17" s="180"/>
      <c r="B17" s="456"/>
      <c r="C17" s="179" t="s">
        <v>326</v>
      </c>
      <c r="D17" s="179"/>
      <c r="E17" s="179"/>
      <c r="F17" s="159">
        <v>200000000</v>
      </c>
    </row>
    <row r="18" spans="1:6">
      <c r="A18" s="180">
        <f>DATE(2006,7,1)</f>
        <v>38899</v>
      </c>
      <c r="B18" s="456"/>
      <c r="C18" s="183" t="s">
        <v>330</v>
      </c>
      <c r="D18" s="179"/>
      <c r="E18" s="179"/>
      <c r="F18" s="159"/>
    </row>
    <row r="19" spans="1:6">
      <c r="A19" s="179"/>
      <c r="B19" s="456"/>
      <c r="C19" s="179" t="s">
        <v>327</v>
      </c>
      <c r="D19" s="179"/>
      <c r="E19" s="159">
        <f>SUM(F20:F21)</f>
        <v>10200000</v>
      </c>
      <c r="F19" s="159"/>
    </row>
    <row r="20" spans="1:6">
      <c r="A20" s="180"/>
      <c r="B20" s="456"/>
      <c r="C20" s="179" t="s">
        <v>328</v>
      </c>
      <c r="D20" s="179"/>
      <c r="E20" s="179"/>
      <c r="F20" s="159">
        <f>E16/10/2</f>
        <v>200000</v>
      </c>
    </row>
    <row r="21" spans="1:6">
      <c r="A21" s="179"/>
      <c r="B21" s="456"/>
      <c r="C21" s="179" t="s">
        <v>7</v>
      </c>
      <c r="D21" s="179"/>
      <c r="E21" s="179"/>
      <c r="F21" s="159">
        <f>F17*6/12*10%</f>
        <v>10000000</v>
      </c>
    </row>
    <row r="22" spans="1:6">
      <c r="A22" s="180">
        <f>DATE(2006,12,31)</f>
        <v>39082</v>
      </c>
      <c r="B22" s="456"/>
      <c r="C22" s="183" t="s">
        <v>329</v>
      </c>
      <c r="D22" s="179"/>
      <c r="E22" s="179"/>
      <c r="F22" s="159"/>
    </row>
    <row r="23" spans="1:6">
      <c r="A23" s="179"/>
      <c r="B23" s="456"/>
      <c r="C23" s="179" t="s">
        <v>327</v>
      </c>
      <c r="D23" s="179"/>
      <c r="E23" s="159">
        <f>E19</f>
        <v>10200000</v>
      </c>
      <c r="F23" s="179"/>
    </row>
    <row r="24" spans="1:6">
      <c r="A24" s="180"/>
      <c r="B24" s="456"/>
      <c r="C24" s="179" t="s">
        <v>328</v>
      </c>
      <c r="D24" s="179"/>
      <c r="E24" s="179"/>
      <c r="F24" s="159">
        <f>F20</f>
        <v>200000</v>
      </c>
    </row>
    <row r="25" spans="1:6">
      <c r="A25" s="179"/>
      <c r="B25" s="457"/>
      <c r="C25" s="179" t="s">
        <v>324</v>
      </c>
      <c r="D25" s="179"/>
      <c r="E25" s="179"/>
      <c r="F25" s="159">
        <f>F21</f>
        <v>10000000</v>
      </c>
    </row>
    <row r="26" spans="1:6">
      <c r="A26" s="179"/>
      <c r="B26" s="182"/>
      <c r="C26" s="179"/>
      <c r="D26" s="179"/>
      <c r="E26" s="179"/>
      <c r="F26" s="159"/>
    </row>
    <row r="27" spans="1:6">
      <c r="A27" s="180">
        <f>A14</f>
        <v>38718</v>
      </c>
      <c r="B27" s="458" t="s">
        <v>331</v>
      </c>
      <c r="C27" s="183" t="str">
        <f>C14</f>
        <v>(Saat Penerbitan)</v>
      </c>
      <c r="D27" s="179"/>
      <c r="E27" s="179"/>
      <c r="F27" s="159"/>
    </row>
    <row r="28" spans="1:6">
      <c r="A28" s="180"/>
      <c r="B28" s="459"/>
      <c r="C28" s="179" t="str">
        <f>C15</f>
        <v>Kas</v>
      </c>
      <c r="D28" s="179"/>
      <c r="E28" s="159">
        <f>F30*103%</f>
        <v>206000000</v>
      </c>
      <c r="F28" s="159"/>
    </row>
    <row r="29" spans="1:6">
      <c r="A29" s="179"/>
      <c r="B29" s="459"/>
      <c r="C29" s="179" t="s">
        <v>331</v>
      </c>
      <c r="D29" s="179"/>
      <c r="E29" s="179"/>
      <c r="F29" s="159">
        <f>E28-F30</f>
        <v>6000000</v>
      </c>
    </row>
    <row r="30" spans="1:6">
      <c r="A30" s="179"/>
      <c r="B30" s="459"/>
      <c r="C30" s="179" t="str">
        <f>C17</f>
        <v>Hutang bligasi</v>
      </c>
      <c r="D30" s="179"/>
      <c r="E30" s="179"/>
      <c r="F30" s="159">
        <v>200000000</v>
      </c>
    </row>
    <row r="31" spans="1:6">
      <c r="A31" s="180">
        <f>A18</f>
        <v>38899</v>
      </c>
      <c r="B31" s="459"/>
      <c r="C31" s="183" t="str">
        <f>C18</f>
        <v>(Pembayaran Bunga Pertama)</v>
      </c>
      <c r="D31" s="179"/>
      <c r="E31" s="179"/>
      <c r="F31" s="159"/>
    </row>
    <row r="32" spans="1:6">
      <c r="A32" s="179"/>
      <c r="B32" s="459"/>
      <c r="C32" s="179" t="str">
        <f>C19</f>
        <v>Beban Bunga Obligasi</v>
      </c>
      <c r="D32" s="179"/>
      <c r="E32" s="159">
        <f>F34-E33</f>
        <v>9700000</v>
      </c>
      <c r="F32" s="159"/>
    </row>
    <row r="33" spans="1:6">
      <c r="A33" s="179"/>
      <c r="B33" s="459"/>
      <c r="C33" s="179" t="s">
        <v>332</v>
      </c>
      <c r="D33" s="179"/>
      <c r="E33" s="159">
        <f>F29/10/2</f>
        <v>300000</v>
      </c>
      <c r="F33" s="159"/>
    </row>
    <row r="34" spans="1:6">
      <c r="A34" s="179"/>
      <c r="B34" s="459"/>
      <c r="C34" s="179" t="str">
        <f>C21</f>
        <v>Kas</v>
      </c>
      <c r="D34" s="179"/>
      <c r="E34" s="179"/>
      <c r="F34" s="159">
        <f>F30*6/12*10%</f>
        <v>10000000</v>
      </c>
    </row>
    <row r="35" spans="1:6">
      <c r="A35" s="180">
        <f>A22</f>
        <v>39082</v>
      </c>
      <c r="B35" s="459"/>
      <c r="C35" s="183" t="str">
        <f>C22</f>
        <v>(Penyesuaian Obligasi)</v>
      </c>
      <c r="D35" s="179"/>
      <c r="E35" s="179"/>
      <c r="F35" s="179"/>
    </row>
    <row r="36" spans="1:6">
      <c r="A36" s="179"/>
      <c r="B36" s="459"/>
      <c r="C36" s="179" t="str">
        <f>C23</f>
        <v>Beban Bunga Obligasi</v>
      </c>
      <c r="D36" s="179"/>
      <c r="E36" s="159">
        <f>E32</f>
        <v>9700000</v>
      </c>
      <c r="F36" s="159"/>
    </row>
    <row r="37" spans="1:6">
      <c r="A37" s="179"/>
      <c r="B37" s="459"/>
      <c r="C37" s="179" t="str">
        <f>C33</f>
        <v>Premium  Atas Obligasi</v>
      </c>
      <c r="D37" s="179"/>
      <c r="E37" s="159">
        <f>E33</f>
        <v>300000</v>
      </c>
      <c r="F37" s="159"/>
    </row>
    <row r="38" spans="1:6">
      <c r="A38" s="179"/>
      <c r="B38" s="460"/>
      <c r="C38" s="179" t="str">
        <f>C25</f>
        <v>Hutang Obligasi</v>
      </c>
      <c r="D38" s="179"/>
      <c r="E38" s="179"/>
      <c r="F38" s="159">
        <f>F34</f>
        <v>10000000</v>
      </c>
    </row>
    <row r="39" spans="1:6">
      <c r="A39" s="179"/>
      <c r="B39" s="179"/>
      <c r="C39" s="179"/>
      <c r="D39" s="179"/>
      <c r="E39" s="179"/>
      <c r="F39" s="179"/>
    </row>
  </sheetData>
  <mergeCells count="2">
    <mergeCell ref="B14:B25"/>
    <mergeCell ref="B27:B38"/>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02D872-E35E-4175-B7CC-10C53B3D968D}">
  <sheetPr>
    <tabColor rgb="FF006666"/>
  </sheetPr>
  <dimension ref="A19:E37"/>
  <sheetViews>
    <sheetView workbookViewId="0">
      <selection activeCell="E1" sqref="E1"/>
    </sheetView>
  </sheetViews>
  <sheetFormatPr defaultRowHeight="15"/>
  <cols>
    <col min="1" max="1" width="28.140625" customWidth="1"/>
    <col min="2" max="2" width="24.7109375" customWidth="1"/>
    <col min="3" max="3" width="15.7109375" bestFit="1" customWidth="1"/>
    <col min="4" max="4" width="17.140625" bestFit="1" customWidth="1"/>
    <col min="5" max="5" width="18.5703125" bestFit="1" customWidth="1"/>
  </cols>
  <sheetData>
    <row r="19" spans="1:5" ht="31.5">
      <c r="A19" s="190" t="s">
        <v>334</v>
      </c>
      <c r="B19" s="188"/>
      <c r="C19" s="188"/>
    </row>
    <row r="20" spans="1:5" ht="31.5">
      <c r="A20" s="175" t="s">
        <v>335</v>
      </c>
      <c r="B20" s="189">
        <v>50000000</v>
      </c>
      <c r="C20" s="189"/>
    </row>
    <row r="21" spans="1:5" ht="15.75">
      <c r="A21" s="152" t="s">
        <v>336</v>
      </c>
      <c r="B21" s="189">
        <v>25000000</v>
      </c>
      <c r="C21" s="189"/>
    </row>
    <row r="22" spans="1:5" ht="15.75">
      <c r="A22" s="152" t="s">
        <v>337</v>
      </c>
      <c r="B22" s="189">
        <f>SUM(B20:B21)</f>
        <v>75000000</v>
      </c>
      <c r="C22" s="189"/>
    </row>
    <row r="23" spans="1:5" ht="15.75">
      <c r="A23" s="152"/>
      <c r="B23" s="189"/>
      <c r="C23" s="189"/>
    </row>
    <row r="24" spans="1:5" ht="15.75">
      <c r="A24" s="193" t="s">
        <v>348</v>
      </c>
      <c r="B24" s="189"/>
      <c r="C24" s="189"/>
    </row>
    <row r="25" spans="1:5" ht="15.75">
      <c r="A25" s="152" t="s">
        <v>338</v>
      </c>
      <c r="B25" s="189"/>
      <c r="C25" s="189">
        <f>B20</f>
        <v>50000000</v>
      </c>
    </row>
    <row r="26" spans="1:5" ht="15.75">
      <c r="A26" s="152" t="s">
        <v>339</v>
      </c>
      <c r="B26" s="189">
        <v>100000000</v>
      </c>
      <c r="C26" s="189"/>
    </row>
    <row r="27" spans="1:5" ht="15.75">
      <c r="A27" s="152" t="s">
        <v>340</v>
      </c>
      <c r="B27" s="189">
        <v>-36000000</v>
      </c>
      <c r="C27" s="189"/>
    </row>
    <row r="28" spans="1:5" ht="15.75">
      <c r="A28" s="152" t="s">
        <v>339</v>
      </c>
      <c r="B28" s="189"/>
      <c r="C28" s="189">
        <v>-64000000</v>
      </c>
    </row>
    <row r="29" spans="1:5" ht="31.5">
      <c r="A29" s="175" t="s">
        <v>341</v>
      </c>
      <c r="B29" s="189"/>
      <c r="C29" s="194">
        <f>C25+C28</f>
        <v>-14000000</v>
      </c>
    </row>
    <row r="31" spans="1:5">
      <c r="A31" s="191" t="s">
        <v>1</v>
      </c>
      <c r="B31" s="191" t="s">
        <v>96</v>
      </c>
      <c r="C31" s="191" t="s">
        <v>6</v>
      </c>
      <c r="D31" s="191" t="s">
        <v>342</v>
      </c>
      <c r="E31" s="191" t="s">
        <v>343</v>
      </c>
    </row>
    <row r="32" spans="1:5">
      <c r="A32" s="192"/>
      <c r="B32" s="109" t="s">
        <v>344</v>
      </c>
      <c r="C32" s="192"/>
      <c r="D32" s="195">
        <f>B22</f>
        <v>75000000</v>
      </c>
      <c r="E32" s="196"/>
    </row>
    <row r="33" spans="1:5" ht="30">
      <c r="A33" s="192"/>
      <c r="B33" s="109" t="s">
        <v>345</v>
      </c>
      <c r="C33" s="192"/>
      <c r="D33" s="195">
        <f>ABS(B27)</f>
        <v>36000000</v>
      </c>
      <c r="E33" s="196"/>
    </row>
    <row r="34" spans="1:5">
      <c r="A34" s="192"/>
      <c r="B34" s="109" t="s">
        <v>346</v>
      </c>
      <c r="C34" s="192"/>
      <c r="D34" s="195">
        <f>ABS(C29)</f>
        <v>14000000</v>
      </c>
      <c r="E34" s="196"/>
    </row>
    <row r="35" spans="1:5">
      <c r="A35" s="192"/>
      <c r="B35" s="109" t="s">
        <v>347</v>
      </c>
      <c r="C35" s="192"/>
      <c r="D35" s="196"/>
      <c r="E35" s="195">
        <f>B26</f>
        <v>100000000</v>
      </c>
    </row>
    <row r="36" spans="1:5">
      <c r="A36" s="192"/>
      <c r="B36" s="109" t="s">
        <v>7</v>
      </c>
      <c r="C36" s="192"/>
      <c r="D36" s="196"/>
      <c r="E36" s="195">
        <f>B21</f>
        <v>25000000</v>
      </c>
    </row>
    <row r="37" spans="1:5">
      <c r="D37" s="187"/>
    </row>
  </sheetData>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0FE484-D4C2-4F2C-9302-9568E456EDC5}">
  <sheetPr>
    <tabColor rgb="FF006666"/>
  </sheetPr>
  <dimension ref="A21:H39"/>
  <sheetViews>
    <sheetView topLeftCell="A23" workbookViewId="0">
      <selection activeCell="K52" sqref="K52"/>
    </sheetView>
  </sheetViews>
  <sheetFormatPr defaultRowHeight="15"/>
  <cols>
    <col min="1" max="1" width="36" customWidth="1"/>
    <col min="2" max="2" width="14.140625" customWidth="1"/>
    <col min="4" max="4" width="17.42578125" customWidth="1"/>
    <col min="5" max="5" width="31.140625" customWidth="1"/>
    <col min="7" max="7" width="17.140625" bestFit="1" customWidth="1"/>
    <col min="8" max="8" width="17.140625" customWidth="1"/>
  </cols>
  <sheetData>
    <row r="21" spans="1:8" ht="31.5">
      <c r="A21" s="202" t="s">
        <v>353</v>
      </c>
      <c r="B21" s="167"/>
      <c r="D21" s="204" t="s">
        <v>1</v>
      </c>
      <c r="E21" s="204" t="s">
        <v>169</v>
      </c>
      <c r="F21" s="204" t="s">
        <v>6</v>
      </c>
      <c r="G21" s="204" t="s">
        <v>4</v>
      </c>
      <c r="H21" s="204" t="s">
        <v>5</v>
      </c>
    </row>
    <row r="22" spans="1:8" ht="23.25">
      <c r="A22" s="197" t="s">
        <v>352</v>
      </c>
      <c r="B22" s="186">
        <v>30000000</v>
      </c>
      <c r="D22" s="117"/>
      <c r="E22" s="109" t="s">
        <v>363</v>
      </c>
      <c r="F22" s="117"/>
      <c r="G22" s="203">
        <f>B30</f>
        <v>32000000</v>
      </c>
      <c r="H22" s="116"/>
    </row>
    <row r="23" spans="1:8" ht="31.5">
      <c r="A23" s="175" t="s">
        <v>351</v>
      </c>
      <c r="B23" s="186">
        <v>-12000000</v>
      </c>
      <c r="D23" s="117"/>
      <c r="E23" s="109" t="s">
        <v>361</v>
      </c>
      <c r="F23" s="117"/>
      <c r="G23" s="203">
        <f>ABS(B23)</f>
        <v>12000000</v>
      </c>
      <c r="H23" s="116"/>
    </row>
    <row r="24" spans="1:8" ht="23.25">
      <c r="A24" s="152" t="s">
        <v>350</v>
      </c>
      <c r="B24" s="186">
        <f>-SUM(B22:B23)</f>
        <v>-18000000</v>
      </c>
      <c r="D24" s="117"/>
      <c r="E24" s="109" t="s">
        <v>346</v>
      </c>
      <c r="F24" s="117"/>
      <c r="G24" s="203">
        <f>ABS(B39)</f>
        <v>4000000</v>
      </c>
      <c r="H24" s="116"/>
    </row>
    <row r="25" spans="1:8" ht="23.25">
      <c r="A25" s="13"/>
      <c r="D25" s="117"/>
      <c r="E25" s="109" t="s">
        <v>364</v>
      </c>
      <c r="F25" s="117"/>
      <c r="G25" s="116"/>
      <c r="H25" s="203">
        <f>B22</f>
        <v>30000000</v>
      </c>
    </row>
    <row r="26" spans="1:8" ht="23.25">
      <c r="A26" s="152" t="s">
        <v>354</v>
      </c>
      <c r="B26" s="186">
        <v>35000000</v>
      </c>
      <c r="D26" s="117"/>
      <c r="E26" s="109" t="s">
        <v>7</v>
      </c>
      <c r="F26" s="117"/>
      <c r="G26" s="116"/>
      <c r="H26" s="203">
        <f>ABS(B38)</f>
        <v>18000000</v>
      </c>
    </row>
    <row r="27" spans="1:8" ht="31.5">
      <c r="A27" s="199" t="s">
        <v>355</v>
      </c>
      <c r="B27" s="201">
        <v>-17000000</v>
      </c>
    </row>
    <row r="28" spans="1:8" ht="15.75">
      <c r="A28" s="152" t="s">
        <v>356</v>
      </c>
      <c r="B28" s="186">
        <f>SUM(B26:B27)</f>
        <v>18000000</v>
      </c>
    </row>
    <row r="29" spans="1:8" ht="15.75">
      <c r="A29" s="152" t="s">
        <v>357</v>
      </c>
      <c r="B29" s="186">
        <v>14000000</v>
      </c>
    </row>
    <row r="30" spans="1:8" ht="15.75">
      <c r="A30" s="152" t="s">
        <v>358</v>
      </c>
      <c r="B30" s="186">
        <f>SUM(B28:B29)</f>
        <v>32000000</v>
      </c>
    </row>
    <row r="33" spans="1:2" ht="15.75">
      <c r="A33" s="193" t="s">
        <v>359</v>
      </c>
      <c r="B33" s="186"/>
    </row>
    <row r="34" spans="1:2" ht="15.75">
      <c r="A34" s="152" t="s">
        <v>349</v>
      </c>
      <c r="B34" s="186">
        <f>B29</f>
        <v>14000000</v>
      </c>
    </row>
    <row r="35" spans="1:2" ht="15.75">
      <c r="A35" s="200" t="s">
        <v>360</v>
      </c>
      <c r="B35" s="186"/>
    </row>
    <row r="36" spans="1:2" ht="15.75">
      <c r="A36" s="152" t="s">
        <v>349</v>
      </c>
      <c r="B36" s="186">
        <f>B22</f>
        <v>30000000</v>
      </c>
    </row>
    <row r="37" spans="1:2" ht="15.75">
      <c r="A37" s="152" t="s">
        <v>361</v>
      </c>
      <c r="B37" s="186">
        <f>B23</f>
        <v>-12000000</v>
      </c>
    </row>
    <row r="38" spans="1:2" ht="15.75">
      <c r="A38" s="152" t="s">
        <v>360</v>
      </c>
      <c r="B38" s="186">
        <f>-SUM(B36:B37)</f>
        <v>-18000000</v>
      </c>
    </row>
    <row r="39" spans="1:2" ht="15.75">
      <c r="A39" s="152" t="s">
        <v>362</v>
      </c>
      <c r="B39" s="198">
        <f>B34+B38</f>
        <v>-4000000</v>
      </c>
    </row>
  </sheetData>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DFAD9D-4524-49A0-B6A5-25F2CAD4779F}">
  <sheetPr>
    <tabColor rgb="FF006666"/>
  </sheetPr>
  <dimension ref="A20:I71"/>
  <sheetViews>
    <sheetView workbookViewId="0"/>
  </sheetViews>
  <sheetFormatPr defaultRowHeight="15"/>
  <cols>
    <col min="1" max="1" width="27.85546875" bestFit="1" customWidth="1"/>
    <col min="2" max="2" width="23.28515625" customWidth="1"/>
    <col min="3" max="3" width="5.42578125" customWidth="1"/>
    <col min="4" max="5" width="18" customWidth="1"/>
    <col min="9" max="9" width="10.5703125" bestFit="1" customWidth="1"/>
  </cols>
  <sheetData>
    <row r="20" spans="1:5" ht="15.75">
      <c r="A20" s="461" t="s">
        <v>371</v>
      </c>
      <c r="B20" s="461"/>
    </row>
    <row r="21" spans="1:5" ht="15.75">
      <c r="A21" s="208" t="s">
        <v>366</v>
      </c>
      <c r="B21" s="209">
        <v>100000000</v>
      </c>
    </row>
    <row r="22" spans="1:5" ht="15.75">
      <c r="A22" s="208" t="s">
        <v>367</v>
      </c>
      <c r="B22" s="209">
        <v>10000000</v>
      </c>
    </row>
    <row r="23" spans="1:5" ht="15.75">
      <c r="A23" s="208" t="s">
        <v>368</v>
      </c>
      <c r="B23" s="210">
        <v>10</v>
      </c>
    </row>
    <row r="24" spans="1:5" ht="15.75">
      <c r="A24" s="208" t="s">
        <v>365</v>
      </c>
      <c r="B24" s="209">
        <f>(B21-B22)/B23</f>
        <v>9000000</v>
      </c>
    </row>
    <row r="26" spans="1:5" ht="15.75">
      <c r="A26" s="462" t="s">
        <v>395</v>
      </c>
      <c r="B26" s="462"/>
      <c r="C26" s="462"/>
      <c r="D26" s="462"/>
      <c r="E26" s="462"/>
    </row>
    <row r="27" spans="1:5">
      <c r="A27" s="207" t="s">
        <v>1</v>
      </c>
      <c r="B27" s="207" t="s">
        <v>169</v>
      </c>
      <c r="C27" s="207" t="s">
        <v>6</v>
      </c>
      <c r="D27" s="207" t="s">
        <v>4</v>
      </c>
      <c r="E27" s="207" t="s">
        <v>5</v>
      </c>
    </row>
    <row r="28" spans="1:5" ht="30">
      <c r="A28" s="205"/>
      <c r="B28" s="52" t="s">
        <v>369</v>
      </c>
      <c r="C28" s="205"/>
      <c r="D28" s="206">
        <f>B24</f>
        <v>9000000</v>
      </c>
      <c r="E28" s="205"/>
    </row>
    <row r="29" spans="1:5" ht="30">
      <c r="A29" s="205"/>
      <c r="B29" s="52" t="s">
        <v>370</v>
      </c>
      <c r="C29" s="205"/>
      <c r="D29" s="205"/>
      <c r="E29" s="206">
        <f>D28</f>
        <v>9000000</v>
      </c>
    </row>
    <row r="31" spans="1:5" ht="31.5" customHeight="1">
      <c r="A31" s="463" t="s">
        <v>375</v>
      </c>
      <c r="B31" s="463"/>
    </row>
    <row r="32" spans="1:5" ht="15.75">
      <c r="A32" s="208" t="s">
        <v>366</v>
      </c>
      <c r="B32" s="209">
        <f>B21</f>
        <v>100000000</v>
      </c>
    </row>
    <row r="33" spans="1:7" ht="15.75">
      <c r="A33" s="208" t="s">
        <v>171</v>
      </c>
      <c r="B33" s="212">
        <f>DATE(2015,1,1)</f>
        <v>42005</v>
      </c>
    </row>
    <row r="34" spans="1:7" ht="15.75">
      <c r="A34" s="208" t="s">
        <v>130</v>
      </c>
      <c r="B34" s="212">
        <f>DATE(2022,7,1)</f>
        <v>44743</v>
      </c>
    </row>
    <row r="35" spans="1:7" ht="15.75">
      <c r="A35" s="208" t="s">
        <v>412</v>
      </c>
      <c r="B35" s="213">
        <f>ROUND(((B34-B33)/365),1)</f>
        <v>7.5</v>
      </c>
    </row>
    <row r="36" spans="1:7" ht="15.75">
      <c r="A36" s="208" t="s">
        <v>374</v>
      </c>
      <c r="B36" s="209">
        <f>B24</f>
        <v>9000000</v>
      </c>
    </row>
    <row r="37" spans="1:7" ht="15.75">
      <c r="A37" s="208" t="s">
        <v>372</v>
      </c>
      <c r="B37" s="209">
        <f>B35*B36</f>
        <v>67500000</v>
      </c>
    </row>
    <row r="38" spans="1:7" ht="15.75">
      <c r="A38" s="208" t="s">
        <v>373</v>
      </c>
      <c r="B38" s="209">
        <f>B32-B37</f>
        <v>32500000</v>
      </c>
    </row>
    <row r="40" spans="1:7" ht="15.75">
      <c r="A40" s="462" t="s">
        <v>394</v>
      </c>
      <c r="B40" s="462"/>
      <c r="C40" s="462"/>
      <c r="D40" s="462"/>
      <c r="E40" s="462"/>
    </row>
    <row r="41" spans="1:7">
      <c r="A41" s="207" t="s">
        <v>1</v>
      </c>
      <c r="B41" s="207" t="s">
        <v>169</v>
      </c>
      <c r="C41" s="207" t="s">
        <v>6</v>
      </c>
      <c r="D41" s="207" t="s">
        <v>4</v>
      </c>
      <c r="E41" s="207" t="s">
        <v>5</v>
      </c>
    </row>
    <row r="42" spans="1:7" ht="30">
      <c r="A42" s="205"/>
      <c r="B42" s="52" t="s">
        <v>376</v>
      </c>
      <c r="C42" s="205"/>
      <c r="D42" s="206">
        <f>B47</f>
        <v>27000000</v>
      </c>
      <c r="E42" s="205"/>
    </row>
    <row r="43" spans="1:7" ht="23.25">
      <c r="A43" s="205"/>
      <c r="B43" s="52" t="s">
        <v>7</v>
      </c>
      <c r="C43" s="205"/>
      <c r="D43" s="205"/>
      <c r="E43" s="206">
        <f>D42</f>
        <v>27000000</v>
      </c>
    </row>
    <row r="45" spans="1:7" ht="60" customHeight="1">
      <c r="A45" s="463" t="s">
        <v>377</v>
      </c>
      <c r="B45" s="463"/>
    </row>
    <row r="46" spans="1:7" ht="15.75">
      <c r="A46" s="208" t="s">
        <v>378</v>
      </c>
      <c r="B46" s="209">
        <f>B38</f>
        <v>32500000</v>
      </c>
      <c r="G46" s="217"/>
    </row>
    <row r="47" spans="1:7" ht="15.75">
      <c r="A47" s="208" t="s">
        <v>392</v>
      </c>
      <c r="B47" s="209">
        <v>27000000</v>
      </c>
    </row>
    <row r="48" spans="1:7" ht="15.75">
      <c r="A48" s="208" t="s">
        <v>379</v>
      </c>
      <c r="B48" s="229">
        <f>-B22</f>
        <v>-10000000</v>
      </c>
      <c r="D48" s="69"/>
    </row>
    <row r="49" spans="1:9" ht="15.75">
      <c r="A49" s="208" t="s">
        <v>383</v>
      </c>
      <c r="B49" s="210">
        <f>B23</f>
        <v>10</v>
      </c>
      <c r="D49" s="69"/>
    </row>
    <row r="50" spans="1:9" ht="15.75">
      <c r="A50" s="208" t="s">
        <v>380</v>
      </c>
      <c r="B50" s="213">
        <f>ABS(B35-B49)</f>
        <v>2.5</v>
      </c>
      <c r="D50" s="69"/>
    </row>
    <row r="51" spans="1:9" ht="15.75">
      <c r="A51" s="208" t="s">
        <v>381</v>
      </c>
      <c r="B51" s="213">
        <v>1.5</v>
      </c>
    </row>
    <row r="52" spans="1:9" ht="15.75">
      <c r="A52" s="208" t="s">
        <v>382</v>
      </c>
      <c r="B52" s="213">
        <f>SUM(B50:B51)</f>
        <v>4</v>
      </c>
    </row>
    <row r="53" spans="1:9" ht="15.75">
      <c r="A53" s="208" t="s">
        <v>393</v>
      </c>
      <c r="B53" s="214">
        <f>((B46+B47)+B48)/B52</f>
        <v>12375000</v>
      </c>
    </row>
    <row r="54" spans="1:9" ht="45" customHeight="1">
      <c r="A54" s="464" t="s">
        <v>386</v>
      </c>
      <c r="B54" s="463"/>
    </row>
    <row r="55" spans="1:9" ht="15.75">
      <c r="A55" s="208" t="s">
        <v>366</v>
      </c>
      <c r="B55" s="214"/>
    </row>
    <row r="56" spans="1:9" ht="15.75">
      <c r="A56" s="208" t="s">
        <v>387</v>
      </c>
      <c r="B56" s="212">
        <f>DATE(2022,12,31)</f>
        <v>44926</v>
      </c>
      <c r="H56" s="93"/>
      <c r="I56" s="93"/>
    </row>
    <row r="57" spans="1:9" ht="15.75">
      <c r="A57" s="208" t="s">
        <v>388</v>
      </c>
      <c r="B57" s="215">
        <f>INT((ABS(B34-B56)/30))</f>
        <v>6</v>
      </c>
    </row>
    <row r="58" spans="1:9" ht="15.75">
      <c r="A58" s="208" t="s">
        <v>389</v>
      </c>
      <c r="B58" s="216" cm="1">
        <f t="array" ref="B58">_xlfn.IFS($B$57=1,$I$59,$B$57=2,$I$60,$B$57=3,$I$61,$B$57=4,$I$62,$B$57=5,$I$63,$B$57=6,$I$64,$B$57=7,$I$65,$B$57=8,$I$66,$B$57=9,$I$67,$B$57=10,#REF!,$B$57=11,$I$68,$B$57=12,$I$69)</f>
        <v>0.5</v>
      </c>
      <c r="I58" s="218"/>
    </row>
    <row r="59" spans="1:9" ht="15.75">
      <c r="A59" s="208" t="s">
        <v>390</v>
      </c>
      <c r="B59" s="209">
        <f>B58*B53</f>
        <v>6187500</v>
      </c>
      <c r="H59" s="93" cm="1">
        <f t="array" ref="H59:H70">_xlfn.SEQUENCE(12,)</f>
        <v>1</v>
      </c>
      <c r="I59" s="93">
        <f>H59/12</f>
        <v>8.3333333333333329E-2</v>
      </c>
    </row>
    <row r="60" spans="1:9" ht="15.75">
      <c r="A60" s="462" t="s">
        <v>397</v>
      </c>
      <c r="B60" s="462"/>
      <c r="C60" s="462"/>
      <c r="D60" s="462"/>
      <c r="E60" s="462"/>
      <c r="H60" s="93">
        <v>2</v>
      </c>
      <c r="I60" s="93">
        <f t="shared" ref="I60:I70" si="0">H60/12</f>
        <v>0.16666666666666666</v>
      </c>
    </row>
    <row r="61" spans="1:9">
      <c r="A61" s="207" t="s">
        <v>1</v>
      </c>
      <c r="B61" s="207" t="s">
        <v>169</v>
      </c>
      <c r="C61" s="207" t="s">
        <v>6</v>
      </c>
      <c r="D61" s="207" t="s">
        <v>4</v>
      </c>
      <c r="E61" s="207" t="s">
        <v>5</v>
      </c>
      <c r="H61" s="93">
        <v>3</v>
      </c>
      <c r="I61" s="93">
        <f t="shared" si="0"/>
        <v>0.25</v>
      </c>
    </row>
    <row r="62" spans="1:9" ht="30">
      <c r="A62" s="205"/>
      <c r="B62" s="52" t="s">
        <v>384</v>
      </c>
      <c r="C62" s="205"/>
      <c r="D62" s="206">
        <f>B59</f>
        <v>6187500</v>
      </c>
      <c r="E62" s="205"/>
      <c r="H62" s="93">
        <v>4</v>
      </c>
      <c r="I62" s="93">
        <f t="shared" si="0"/>
        <v>0.33333333333333331</v>
      </c>
    </row>
    <row r="63" spans="1:9" ht="30">
      <c r="A63" s="205"/>
      <c r="B63" s="52" t="s">
        <v>391</v>
      </c>
      <c r="C63" s="205"/>
      <c r="D63" s="205"/>
      <c r="E63" s="206">
        <f>B59</f>
        <v>6187500</v>
      </c>
      <c r="H63" s="93">
        <v>5</v>
      </c>
      <c r="I63" s="93">
        <f t="shared" si="0"/>
        <v>0.41666666666666669</v>
      </c>
    </row>
    <row r="64" spans="1:9" ht="15.75">
      <c r="A64" s="462" t="s">
        <v>396</v>
      </c>
      <c r="B64" s="462"/>
      <c r="C64" s="462"/>
      <c r="D64" s="462"/>
      <c r="E64" s="462"/>
      <c r="H64" s="93">
        <v>6</v>
      </c>
      <c r="I64" s="93">
        <f t="shared" si="0"/>
        <v>0.5</v>
      </c>
    </row>
    <row r="65" spans="1:9">
      <c r="A65" s="207" t="s">
        <v>1</v>
      </c>
      <c r="B65" s="207" t="s">
        <v>169</v>
      </c>
      <c r="C65" s="207" t="s">
        <v>6</v>
      </c>
      <c r="D65" s="207" t="s">
        <v>4</v>
      </c>
      <c r="E65" s="207" t="s">
        <v>5</v>
      </c>
      <c r="H65" s="93">
        <v>7</v>
      </c>
      <c r="I65" s="93">
        <f t="shared" si="0"/>
        <v>0.58333333333333337</v>
      </c>
    </row>
    <row r="66" spans="1:9" ht="30">
      <c r="A66" s="205"/>
      <c r="B66" s="52" t="s">
        <v>384</v>
      </c>
      <c r="C66" s="205"/>
      <c r="D66" s="206">
        <f>B53</f>
        <v>12375000</v>
      </c>
      <c r="E66" s="205"/>
      <c r="H66" s="93">
        <v>8</v>
      </c>
      <c r="I66" s="93">
        <f t="shared" si="0"/>
        <v>0.66666666666666663</v>
      </c>
    </row>
    <row r="67" spans="1:9" ht="30">
      <c r="A67" s="205"/>
      <c r="B67" s="52" t="s">
        <v>385</v>
      </c>
      <c r="C67" s="205"/>
      <c r="D67" s="205"/>
      <c r="E67" s="206">
        <f>D66</f>
        <v>12375000</v>
      </c>
      <c r="H67" s="93">
        <v>9</v>
      </c>
      <c r="I67" s="93">
        <f t="shared" si="0"/>
        <v>0.75</v>
      </c>
    </row>
    <row r="68" spans="1:9">
      <c r="H68" s="93">
        <v>10</v>
      </c>
      <c r="I68" s="93">
        <f t="shared" si="0"/>
        <v>0.83333333333333337</v>
      </c>
    </row>
    <row r="69" spans="1:9">
      <c r="H69" s="93">
        <v>11</v>
      </c>
      <c r="I69" s="93">
        <f t="shared" si="0"/>
        <v>0.91666666666666663</v>
      </c>
    </row>
    <row r="70" spans="1:9">
      <c r="H70" s="93">
        <v>12</v>
      </c>
      <c r="I70" s="93">
        <f t="shared" si="0"/>
        <v>1</v>
      </c>
    </row>
    <row r="71" spans="1:9">
      <c r="H71" s="93"/>
      <c r="I71" s="93"/>
    </row>
  </sheetData>
  <mergeCells count="8">
    <mergeCell ref="A20:B20"/>
    <mergeCell ref="A60:E60"/>
    <mergeCell ref="A64:E64"/>
    <mergeCell ref="A40:E40"/>
    <mergeCell ref="A26:E26"/>
    <mergeCell ref="A45:B45"/>
    <mergeCell ref="A31:B31"/>
    <mergeCell ref="A54:B54"/>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284A9-59F9-4359-B947-A70C0D0205C2}">
  <sheetPr>
    <tabColor rgb="FF006666"/>
  </sheetPr>
  <dimension ref="A13:E34"/>
  <sheetViews>
    <sheetView topLeftCell="A11" workbookViewId="0">
      <selection activeCell="D40" sqref="D40"/>
    </sheetView>
  </sheetViews>
  <sheetFormatPr defaultRowHeight="15"/>
  <cols>
    <col min="1" max="1" width="35.5703125" bestFit="1" customWidth="1"/>
    <col min="2" max="2" width="26" customWidth="1"/>
    <col min="3" max="3" width="4.7109375" bestFit="1" customWidth="1"/>
    <col min="4" max="4" width="20.28515625" customWidth="1"/>
    <col min="5" max="5" width="15.28515625" bestFit="1" customWidth="1"/>
  </cols>
  <sheetData>
    <row r="13" spans="1:2">
      <c r="A13" s="161" t="s">
        <v>374</v>
      </c>
      <c r="B13" s="167"/>
    </row>
    <row r="14" spans="1:2">
      <c r="A14" s="161" t="s">
        <v>366</v>
      </c>
      <c r="B14" s="164">
        <v>250000000</v>
      </c>
    </row>
    <row r="15" spans="1:2">
      <c r="A15" s="161" t="s">
        <v>379</v>
      </c>
      <c r="B15" s="164">
        <v>0</v>
      </c>
    </row>
    <row r="16" spans="1:2" ht="15.75">
      <c r="A16" s="161" t="s">
        <v>368</v>
      </c>
      <c r="B16" s="210">
        <v>5</v>
      </c>
    </row>
    <row r="17" spans="1:5">
      <c r="A17" s="161" t="s">
        <v>374</v>
      </c>
      <c r="B17" s="164">
        <f>(B14-B15)/B16</f>
        <v>50000000</v>
      </c>
    </row>
    <row r="19" spans="1:5" ht="15.75">
      <c r="A19" s="462" t="s">
        <v>400</v>
      </c>
      <c r="B19" s="462"/>
      <c r="C19" s="462"/>
      <c r="D19" s="462"/>
      <c r="E19" s="462"/>
    </row>
    <row r="20" spans="1:5">
      <c r="A20" s="207" t="s">
        <v>398</v>
      </c>
      <c r="B20" s="207" t="s">
        <v>169</v>
      </c>
      <c r="C20" s="207" t="s">
        <v>30</v>
      </c>
      <c r="D20" s="207" t="s">
        <v>4</v>
      </c>
      <c r="E20" s="207" t="s">
        <v>5</v>
      </c>
    </row>
    <row r="21" spans="1:5" ht="30">
      <c r="A21" s="49"/>
      <c r="B21" s="52" t="s">
        <v>399</v>
      </c>
      <c r="C21" s="49"/>
      <c r="D21" s="206">
        <f>B17</f>
        <v>50000000</v>
      </c>
      <c r="E21" s="49"/>
    </row>
    <row r="22" spans="1:5" ht="30">
      <c r="A22" s="49"/>
      <c r="B22" s="109" t="s">
        <v>370</v>
      </c>
      <c r="C22" s="49"/>
      <c r="D22" s="49"/>
      <c r="E22" s="206">
        <f>B17</f>
        <v>50000000</v>
      </c>
    </row>
    <row r="23" spans="1:5">
      <c r="A23" s="465"/>
      <c r="B23" s="465"/>
      <c r="C23" s="465"/>
      <c r="D23" s="465"/>
      <c r="E23" s="465"/>
    </row>
    <row r="24" spans="1:5">
      <c r="A24" s="161" t="s">
        <v>401</v>
      </c>
      <c r="B24" s="211">
        <f>DATE(2020,1,1)</f>
        <v>43831</v>
      </c>
    </row>
    <row r="25" spans="1:5">
      <c r="A25" s="161" t="s">
        <v>402</v>
      </c>
      <c r="B25" s="211">
        <f>DATE(2023,1,1)</f>
        <v>44927</v>
      </c>
    </row>
    <row r="26" spans="1:5" ht="15.75">
      <c r="A26" s="161" t="s">
        <v>403</v>
      </c>
      <c r="B26" s="210">
        <f>ROUND(((B25-B24)/365),1)</f>
        <v>3</v>
      </c>
    </row>
    <row r="27" spans="1:5" ht="15.75">
      <c r="A27" s="161" t="str">
        <f>"Akimulasi Penyusutan Selama "&amp;INT(B26)&amp;" Tahun"</f>
        <v>Akimulasi Penyusutan Selama 3 Tahun</v>
      </c>
      <c r="B27" s="219">
        <f>B17*B26</f>
        <v>150000000</v>
      </c>
    </row>
    <row r="28" spans="1:5" ht="15.75">
      <c r="A28" s="161" t="s">
        <v>414</v>
      </c>
      <c r="B28" s="225">
        <f>B27-B14</f>
        <v>-100000000</v>
      </c>
    </row>
    <row r="30" spans="1:5" ht="15.75">
      <c r="A30" s="466" t="s">
        <v>407</v>
      </c>
      <c r="B30" s="466"/>
      <c r="C30" s="466"/>
      <c r="D30" s="466"/>
      <c r="E30" s="466"/>
    </row>
    <row r="31" spans="1:5">
      <c r="A31" s="220" t="s">
        <v>398</v>
      </c>
      <c r="B31" s="220" t="s">
        <v>169</v>
      </c>
      <c r="C31" s="220" t="s">
        <v>30</v>
      </c>
      <c r="D31" s="220" t="s">
        <v>4</v>
      </c>
      <c r="E31" s="220" t="s">
        <v>5</v>
      </c>
    </row>
    <row r="32" spans="1:5" ht="30">
      <c r="A32" s="48"/>
      <c r="B32" s="109" t="s">
        <v>404</v>
      </c>
      <c r="C32" s="48"/>
      <c r="D32" s="203">
        <f>B27</f>
        <v>150000000</v>
      </c>
      <c r="E32" s="48"/>
    </row>
    <row r="33" spans="1:5">
      <c r="A33" s="48"/>
      <c r="B33" s="109" t="s">
        <v>405</v>
      </c>
      <c r="C33" s="48"/>
      <c r="D33" s="203">
        <f>ABS(B28)</f>
        <v>100000000</v>
      </c>
      <c r="E33" s="203"/>
    </row>
    <row r="34" spans="1:5" ht="18" customHeight="1">
      <c r="A34" s="47"/>
      <c r="B34" s="47" t="s">
        <v>406</v>
      </c>
      <c r="C34" s="47"/>
      <c r="D34" s="203"/>
      <c r="E34" s="203">
        <f>SUM(D32:D33)</f>
        <v>250000000</v>
      </c>
    </row>
  </sheetData>
  <mergeCells count="3">
    <mergeCell ref="A19:E19"/>
    <mergeCell ref="A23:E23"/>
    <mergeCell ref="A30:E30"/>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95AFCC-53C9-4F9C-965F-D1911FC8F0C5}">
  <sheetPr>
    <tabColor rgb="FF006666"/>
  </sheetPr>
  <dimension ref="A14:E42"/>
  <sheetViews>
    <sheetView workbookViewId="0">
      <selection activeCell="W1" sqref="W1"/>
    </sheetView>
  </sheetViews>
  <sheetFormatPr defaultRowHeight="15"/>
  <cols>
    <col min="1" max="1" width="34.28515625" customWidth="1"/>
    <col min="2" max="2" width="27.28515625" customWidth="1"/>
    <col min="4" max="4" width="19.5703125" bestFit="1" customWidth="1"/>
    <col min="5" max="5" width="15.28515625" bestFit="1" customWidth="1"/>
  </cols>
  <sheetData>
    <row r="14" spans="1:2" ht="15.75">
      <c r="A14" s="468" t="s">
        <v>374</v>
      </c>
      <c r="B14" s="468"/>
    </row>
    <row r="15" spans="1:2" ht="15.75">
      <c r="A15" s="152" t="s">
        <v>366</v>
      </c>
      <c r="B15" s="209">
        <v>120000000</v>
      </c>
    </row>
    <row r="16" spans="1:2" ht="15.75">
      <c r="A16" s="152" t="s">
        <v>379</v>
      </c>
      <c r="B16" s="209">
        <v>10000000</v>
      </c>
    </row>
    <row r="17" spans="1:5" ht="15.75">
      <c r="A17" s="152" t="s">
        <v>368</v>
      </c>
      <c r="B17" s="210">
        <v>10</v>
      </c>
    </row>
    <row r="18" spans="1:5" ht="15.75">
      <c r="A18" s="152" t="s">
        <v>374</v>
      </c>
      <c r="B18" s="209">
        <f>(B15-B16)/B17</f>
        <v>11000000</v>
      </c>
    </row>
    <row r="19" spans="1:5" ht="15.75">
      <c r="A19" s="13"/>
      <c r="B19" s="13"/>
    </row>
    <row r="20" spans="1:5" ht="30" customHeight="1">
      <c r="A20" s="467" t="s">
        <v>408</v>
      </c>
      <c r="B20" s="467"/>
    </row>
    <row r="21" spans="1:5" ht="15.75">
      <c r="A21" s="152" t="s">
        <v>401</v>
      </c>
      <c r="B21" s="224">
        <f>DATE(2017,1,1)</f>
        <v>42736</v>
      </c>
    </row>
    <row r="22" spans="1:5" ht="15.75">
      <c r="A22" s="152" t="s">
        <v>409</v>
      </c>
      <c r="B22" s="224">
        <f>DATE(2019,7,1)</f>
        <v>43647</v>
      </c>
    </row>
    <row r="23" spans="1:5" ht="15.75">
      <c r="A23" s="152" t="s">
        <v>403</v>
      </c>
      <c r="B23" s="213">
        <f>ROUND(((B22-B21)/365),1)</f>
        <v>2.5</v>
      </c>
    </row>
    <row r="24" spans="1:5" ht="15.75">
      <c r="A24" s="152" t="s">
        <v>410</v>
      </c>
      <c r="B24" s="210">
        <f>B18*B23</f>
        <v>27500000</v>
      </c>
    </row>
    <row r="25" spans="1:5" ht="15.75">
      <c r="A25" s="152" t="s">
        <v>373</v>
      </c>
      <c r="B25" s="219">
        <f>B15-B24</f>
        <v>92500000</v>
      </c>
    </row>
    <row r="26" spans="1:5" ht="31.5">
      <c r="A26" s="175" t="str">
        <f>"Jika Harga Jual Tanggal"&amp;TEXT($B$22,"[$-21] DD MMMM YYYY")&amp;" Sebesar :"</f>
        <v>Jika Harga Jual Tanggal 01 Juli 2019 Sebesar :</v>
      </c>
      <c r="B26" s="209">
        <v>87000000</v>
      </c>
    </row>
    <row r="27" spans="1:5" ht="31.5">
      <c r="A27" s="175" t="str">
        <f>"Jika Harga jual Tanggal"&amp;TEXT($B$22,"[$-21] DD MMMM YYYY")&amp;" Sebesar :"</f>
        <v>Jika Harga jual Tanggal 01 Juli 2019 Sebesar :</v>
      </c>
      <c r="B27" s="209">
        <v>70000000</v>
      </c>
    </row>
    <row r="28" spans="1:5" ht="31.5">
      <c r="A28" s="175" t="str">
        <f>"Rugi Untung jika Dijual Sebesar"&amp;TEXT(B26," 0#.##0")</f>
        <v>Rugi Untung jika Dijual Sebesar 87.000.000</v>
      </c>
      <c r="B28" s="225">
        <f>B26-B25</f>
        <v>-5500000</v>
      </c>
    </row>
    <row r="29" spans="1:5" ht="31.5">
      <c r="A29" s="175" t="str">
        <f>"Rugi Untung jika Dijual Sebesar"&amp;TEXT(B27," 0#.##0")</f>
        <v>Rugi Untung jika Dijual Sebesar 70.000.000</v>
      </c>
      <c r="B29" s="225">
        <f>B27-B25</f>
        <v>-22500000</v>
      </c>
    </row>
    <row r="31" spans="1:5" ht="15.75">
      <c r="A31" s="469" t="s">
        <v>413</v>
      </c>
      <c r="B31" s="469"/>
      <c r="C31" s="469"/>
      <c r="D31" s="469"/>
      <c r="E31" s="469"/>
    </row>
    <row r="32" spans="1:5">
      <c r="A32" s="207" t="s">
        <v>398</v>
      </c>
      <c r="B32" s="207" t="s">
        <v>169</v>
      </c>
      <c r="C32" s="207" t="s">
        <v>6</v>
      </c>
      <c r="D32" s="207" t="s">
        <v>4</v>
      </c>
      <c r="E32" s="207" t="s">
        <v>5</v>
      </c>
    </row>
    <row r="33" spans="1:5">
      <c r="A33" s="49"/>
      <c r="B33" s="52" t="s">
        <v>7</v>
      </c>
      <c r="C33" s="49"/>
      <c r="D33" s="206">
        <f>B26</f>
        <v>87000000</v>
      </c>
      <c r="E33" s="49"/>
    </row>
    <row r="34" spans="1:5">
      <c r="A34" s="49"/>
      <c r="B34" s="52" t="s">
        <v>376</v>
      </c>
      <c r="C34" s="49"/>
      <c r="D34" s="206">
        <f>B24</f>
        <v>27500000</v>
      </c>
      <c r="E34" s="206"/>
    </row>
    <row r="35" spans="1:5" ht="15.75">
      <c r="A35" s="222"/>
      <c r="B35" s="222" t="s">
        <v>411</v>
      </c>
      <c r="C35" s="222"/>
      <c r="D35" s="223">
        <f>ABS(B28)</f>
        <v>5500000</v>
      </c>
      <c r="E35" s="222"/>
    </row>
    <row r="36" spans="1:5">
      <c r="A36" s="49"/>
      <c r="B36" s="52" t="s">
        <v>406</v>
      </c>
      <c r="C36" s="49"/>
      <c r="D36" s="206"/>
      <c r="E36" s="221">
        <f>SUM(D33:D35)</f>
        <v>120000000</v>
      </c>
    </row>
    <row r="37" spans="1:5" ht="15.75">
      <c r="A37" s="470" t="s">
        <v>413</v>
      </c>
      <c r="B37" s="470"/>
      <c r="C37" s="470"/>
      <c r="D37" s="470"/>
      <c r="E37" s="470"/>
    </row>
    <row r="38" spans="1:5">
      <c r="A38" s="207" t="s">
        <v>398</v>
      </c>
      <c r="B38" s="207" t="s">
        <v>169</v>
      </c>
      <c r="C38" s="207" t="s">
        <v>6</v>
      </c>
      <c r="D38" s="207" t="s">
        <v>4</v>
      </c>
      <c r="E38" s="207" t="s">
        <v>5</v>
      </c>
    </row>
    <row r="39" spans="1:5">
      <c r="A39" s="49"/>
      <c r="B39" s="52" t="s">
        <v>7</v>
      </c>
      <c r="C39" s="49"/>
      <c r="D39" s="206">
        <f>B27</f>
        <v>70000000</v>
      </c>
      <c r="E39" s="49"/>
    </row>
    <row r="40" spans="1:5">
      <c r="A40" s="49"/>
      <c r="B40" s="52" t="s">
        <v>376</v>
      </c>
      <c r="C40" s="49"/>
      <c r="D40" s="206">
        <f>B24</f>
        <v>27500000</v>
      </c>
      <c r="E40" s="206"/>
    </row>
    <row r="41" spans="1:5" ht="15.75">
      <c r="A41" s="222"/>
      <c r="B41" s="222" t="s">
        <v>411</v>
      </c>
      <c r="C41" s="222"/>
      <c r="D41" s="223">
        <f>ABS(B29)</f>
        <v>22500000</v>
      </c>
      <c r="E41" s="222"/>
    </row>
    <row r="42" spans="1:5">
      <c r="A42" s="49"/>
      <c r="B42" s="52" t="s">
        <v>406</v>
      </c>
      <c r="C42" s="49"/>
      <c r="D42" s="206"/>
      <c r="E42" s="221">
        <f>SUM(D39:D41)</f>
        <v>120000000</v>
      </c>
    </row>
  </sheetData>
  <mergeCells count="4">
    <mergeCell ref="A20:B20"/>
    <mergeCell ref="A14:B14"/>
    <mergeCell ref="A31:E31"/>
    <mergeCell ref="A37:E37"/>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0C5E0A-C7FA-49AE-A017-281DE92AA999}">
  <sheetPr>
    <tabColor theme="8" tint="0.39997558519241921"/>
  </sheetPr>
  <dimension ref="A83:B102"/>
  <sheetViews>
    <sheetView workbookViewId="0">
      <selection activeCell="B101" sqref="B101"/>
    </sheetView>
  </sheetViews>
  <sheetFormatPr defaultRowHeight="15"/>
  <cols>
    <col min="1" max="1" width="25.140625" customWidth="1"/>
    <col min="2" max="2" width="20.5703125" customWidth="1"/>
  </cols>
  <sheetData>
    <row r="83" spans="1:2" ht="31.5">
      <c r="A83" s="227" t="s">
        <v>415</v>
      </c>
      <c r="B83" s="209">
        <v>3500000</v>
      </c>
    </row>
    <row r="84" spans="1:2" ht="15.75">
      <c r="A84" s="228" t="s">
        <v>416</v>
      </c>
      <c r="B84" s="209">
        <v>1700000</v>
      </c>
    </row>
    <row r="85" spans="1:2" ht="15.75">
      <c r="A85" s="228" t="s">
        <v>417</v>
      </c>
      <c r="B85" s="209">
        <f>SUM(B83:B84)</f>
        <v>5200000</v>
      </c>
    </row>
    <row r="86" spans="1:2" ht="15.75">
      <c r="A86" s="228"/>
      <c r="B86" s="209"/>
    </row>
    <row r="87" spans="1:2" ht="15.75">
      <c r="A87" s="228" t="s">
        <v>418</v>
      </c>
      <c r="B87" s="209"/>
    </row>
    <row r="88" spans="1:2" ht="15.75">
      <c r="A88" s="228" t="s">
        <v>419</v>
      </c>
      <c r="B88" s="189">
        <v>-1200000</v>
      </c>
    </row>
    <row r="89" spans="1:2" ht="15.75">
      <c r="A89" s="228" t="s">
        <v>420</v>
      </c>
      <c r="B89" s="189">
        <v>-350000</v>
      </c>
    </row>
    <row r="90" spans="1:2" ht="15.75">
      <c r="A90" s="228" t="s">
        <v>421</v>
      </c>
      <c r="B90" s="189">
        <v>-1000000</v>
      </c>
    </row>
    <row r="91" spans="1:2" ht="15.75">
      <c r="A91" s="228" t="s">
        <v>422</v>
      </c>
      <c r="B91" s="189">
        <v>-200000</v>
      </c>
    </row>
    <row r="92" spans="1:2" ht="15.75">
      <c r="A92" s="228" t="s">
        <v>423</v>
      </c>
      <c r="B92" s="189">
        <v>-500000</v>
      </c>
    </row>
    <row r="93" spans="1:2" ht="15.75">
      <c r="A93" s="228" t="s">
        <v>424</v>
      </c>
      <c r="B93" s="189">
        <f>SUM(B88:B92)</f>
        <v>-3250000</v>
      </c>
    </row>
    <row r="94" spans="1:2" ht="15.75">
      <c r="A94" s="228" t="s">
        <v>425</v>
      </c>
      <c r="B94" s="209">
        <f>B85</f>
        <v>5200000</v>
      </c>
    </row>
    <row r="95" spans="1:2" ht="15.75">
      <c r="A95" s="228" t="s">
        <v>426</v>
      </c>
      <c r="B95" s="209">
        <f>B94+B93</f>
        <v>1950000</v>
      </c>
    </row>
    <row r="96" spans="1:2" ht="15.75">
      <c r="A96" s="228"/>
      <c r="B96" s="209"/>
    </row>
    <row r="97" spans="1:2" ht="15.75">
      <c r="A97" s="228" t="s">
        <v>431</v>
      </c>
      <c r="B97" s="189">
        <v>-12000000</v>
      </c>
    </row>
    <row r="98" spans="1:2" ht="15.75">
      <c r="A98" s="228" t="s">
        <v>432</v>
      </c>
      <c r="B98" s="215">
        <v>24</v>
      </c>
    </row>
    <row r="99" spans="1:2" ht="15.75">
      <c r="A99" s="228" t="s">
        <v>427</v>
      </c>
      <c r="B99" s="189">
        <f>B97/B98</f>
        <v>-500000</v>
      </c>
    </row>
    <row r="100" spans="1:2" ht="15.75">
      <c r="A100" s="228" t="s">
        <v>428</v>
      </c>
      <c r="B100" s="226">
        <v>1.4999999999999999E-2</v>
      </c>
    </row>
    <row r="101" spans="1:2" ht="15.75">
      <c r="A101" s="228" t="s">
        <v>429</v>
      </c>
      <c r="B101" s="189">
        <f>(B97*B100)+B99</f>
        <v>-680000</v>
      </c>
    </row>
    <row r="102" spans="1:2" ht="31.5">
      <c r="A102" s="227" t="s">
        <v>430</v>
      </c>
      <c r="B102" s="189">
        <f>B95+B101</f>
        <v>1270000</v>
      </c>
    </row>
  </sheetData>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B75982-B6A2-4067-A370-E41B17717B05}">
  <sheetPr>
    <tabColor rgb="FF006666"/>
  </sheetPr>
  <dimension ref="A25:D60"/>
  <sheetViews>
    <sheetView workbookViewId="0">
      <selection activeCell="F74" sqref="F74"/>
    </sheetView>
  </sheetViews>
  <sheetFormatPr defaultColWidth="25.5703125" defaultRowHeight="15.75"/>
  <cols>
    <col min="1" max="16384" width="25.5703125" style="231"/>
  </cols>
  <sheetData>
    <row r="25" ht="18.75" customHeight="1"/>
    <row r="26" ht="18.75" customHeight="1"/>
    <row r="27" ht="18.75" customHeight="1"/>
    <row r="28" ht="18.75" customHeight="1"/>
    <row r="29" ht="18.75" customHeight="1"/>
    <row r="30" ht="18.75" customHeight="1"/>
    <row r="31" ht="18.75" customHeight="1"/>
    <row r="32" ht="18.75" customHeight="1"/>
    <row r="33" spans="1:4" ht="18.75" customHeight="1"/>
    <row r="35" spans="1:4">
      <c r="A35" s="243"/>
      <c r="B35" s="244" t="s">
        <v>433</v>
      </c>
      <c r="C35" s="244" t="s">
        <v>434</v>
      </c>
      <c r="D35" s="244" t="s">
        <v>95</v>
      </c>
    </row>
    <row r="36" spans="1:4" ht="31.5">
      <c r="A36" s="232" t="s">
        <v>435</v>
      </c>
      <c r="B36" s="233">
        <v>10000</v>
      </c>
      <c r="C36" s="233">
        <v>20000</v>
      </c>
      <c r="D36" s="234"/>
    </row>
    <row r="37" spans="1:4">
      <c r="A37" s="232" t="s">
        <v>436</v>
      </c>
      <c r="B37" s="233">
        <v>80000000</v>
      </c>
      <c r="C37" s="233">
        <v>120000000</v>
      </c>
      <c r="D37" s="233">
        <v>200000000</v>
      </c>
    </row>
    <row r="38" spans="1:4">
      <c r="A38" s="48"/>
      <c r="B38" s="234"/>
      <c r="C38" s="234"/>
      <c r="D38" s="234"/>
    </row>
    <row r="39" spans="1:4" ht="31.5">
      <c r="A39" s="232" t="s">
        <v>437</v>
      </c>
      <c r="B39" s="233">
        <v>10000</v>
      </c>
      <c r="C39" s="233">
        <v>20000</v>
      </c>
      <c r="D39" s="233">
        <v>30000</v>
      </c>
    </row>
    <row r="40" spans="1:4">
      <c r="A40" s="232" t="s">
        <v>438</v>
      </c>
      <c r="B40" s="233">
        <v>5000</v>
      </c>
      <c r="C40" s="233">
        <v>10000</v>
      </c>
      <c r="D40" s="233">
        <v>15000</v>
      </c>
    </row>
    <row r="41" spans="1:4">
      <c r="A41" s="232" t="s">
        <v>439</v>
      </c>
      <c r="B41" s="235">
        <v>10</v>
      </c>
      <c r="C41" s="235">
        <v>20</v>
      </c>
      <c r="D41" s="235">
        <v>30</v>
      </c>
    </row>
    <row r="42" spans="1:4">
      <c r="A42" s="232" t="s">
        <v>440</v>
      </c>
      <c r="B42" s="235">
        <v>60</v>
      </c>
      <c r="C42" s="235">
        <v>30</v>
      </c>
      <c r="D42" s="235">
        <v>90</v>
      </c>
    </row>
    <row r="43" spans="1:4">
      <c r="A43" s="243"/>
      <c r="B43" s="471" t="s">
        <v>441</v>
      </c>
      <c r="C43" s="471"/>
      <c r="D43" s="471"/>
    </row>
    <row r="44" spans="1:4">
      <c r="A44" s="243"/>
      <c r="B44" s="244" t="s">
        <v>442</v>
      </c>
      <c r="C44" s="244" t="s">
        <v>443</v>
      </c>
      <c r="D44" s="244" t="s">
        <v>95</v>
      </c>
    </row>
    <row r="45" spans="1:4" ht="31.5">
      <c r="A45" s="236" t="s">
        <v>437</v>
      </c>
      <c r="B45" s="234"/>
      <c r="C45" s="234"/>
      <c r="D45" s="234"/>
    </row>
    <row r="46" spans="1:4">
      <c r="A46" s="232" t="s">
        <v>433</v>
      </c>
      <c r="B46" s="233">
        <v>3000</v>
      </c>
      <c r="C46" s="233">
        <v>7000</v>
      </c>
      <c r="D46" s="233">
        <v>10000</v>
      </c>
    </row>
    <row r="47" spans="1:4">
      <c r="A47" s="232" t="s">
        <v>434</v>
      </c>
      <c r="B47" s="233">
        <v>5000</v>
      </c>
      <c r="C47" s="233">
        <v>15000</v>
      </c>
      <c r="D47" s="233">
        <v>20000</v>
      </c>
    </row>
    <row r="48" spans="1:4">
      <c r="A48" s="232" t="s">
        <v>95</v>
      </c>
      <c r="B48" s="233">
        <v>8000</v>
      </c>
      <c r="C48" s="233">
        <v>22000</v>
      </c>
      <c r="D48" s="233">
        <v>30000</v>
      </c>
    </row>
    <row r="49" spans="1:4">
      <c r="A49" s="48"/>
      <c r="B49" s="234"/>
      <c r="C49" s="234"/>
      <c r="D49" s="234"/>
    </row>
    <row r="50" spans="1:4">
      <c r="A50" s="236" t="s">
        <v>438</v>
      </c>
      <c r="B50" s="234"/>
      <c r="C50" s="234"/>
      <c r="D50" s="234"/>
    </row>
    <row r="51" spans="1:4">
      <c r="A51" s="232" t="s">
        <v>433</v>
      </c>
      <c r="B51" s="233">
        <v>1000</v>
      </c>
      <c r="C51" s="233">
        <v>4000</v>
      </c>
      <c r="D51" s="233">
        <v>5000</v>
      </c>
    </row>
    <row r="52" spans="1:4">
      <c r="A52" s="232" t="s">
        <v>434</v>
      </c>
      <c r="B52" s="233">
        <v>2000</v>
      </c>
      <c r="C52" s="233">
        <v>8000</v>
      </c>
      <c r="D52" s="233">
        <v>10000</v>
      </c>
    </row>
    <row r="53" spans="1:4">
      <c r="A53" s="232" t="s">
        <v>95</v>
      </c>
      <c r="B53" s="233">
        <v>3000</v>
      </c>
      <c r="C53" s="233">
        <v>12000</v>
      </c>
      <c r="D53" s="233">
        <v>15000</v>
      </c>
    </row>
    <row r="54" spans="1:4">
      <c r="A54" s="243"/>
      <c r="B54" s="244" t="s">
        <v>442</v>
      </c>
      <c r="C54" s="244" t="s">
        <v>443</v>
      </c>
      <c r="D54" s="244" t="s">
        <v>95</v>
      </c>
    </row>
    <row r="55" spans="1:4">
      <c r="A55" s="236" t="s">
        <v>444</v>
      </c>
      <c r="B55" s="234"/>
      <c r="C55" s="234"/>
      <c r="D55" s="234"/>
    </row>
    <row r="56" spans="1:4">
      <c r="A56" s="232" t="s">
        <v>445</v>
      </c>
      <c r="B56" s="233">
        <v>10000000</v>
      </c>
      <c r="C56" s="233">
        <v>90000000</v>
      </c>
      <c r="D56" s="233">
        <v>100000000</v>
      </c>
    </row>
    <row r="57" spans="1:4" ht="31.5">
      <c r="A57" s="232" t="s">
        <v>446</v>
      </c>
      <c r="B57" s="233">
        <v>8000000</v>
      </c>
      <c r="C57" s="233">
        <v>72000000</v>
      </c>
      <c r="D57" s="233">
        <v>80000000</v>
      </c>
    </row>
    <row r="58" spans="1:4">
      <c r="A58" s="232" t="s">
        <v>447</v>
      </c>
      <c r="B58" s="233">
        <v>60000000</v>
      </c>
      <c r="C58" s="233">
        <v>60000000</v>
      </c>
      <c r="D58" s="233">
        <v>120000000</v>
      </c>
    </row>
    <row r="59" spans="1:4">
      <c r="A59" s="232" t="s">
        <v>448</v>
      </c>
      <c r="B59" s="233">
        <v>30000000</v>
      </c>
      <c r="C59" s="233">
        <v>30000000</v>
      </c>
      <c r="D59" s="233">
        <v>60000000</v>
      </c>
    </row>
    <row r="60" spans="1:4">
      <c r="A60" s="236" t="s">
        <v>95</v>
      </c>
      <c r="B60" s="233">
        <v>108000000</v>
      </c>
      <c r="C60" s="233">
        <v>252000000</v>
      </c>
      <c r="D60" s="233">
        <v>360000000</v>
      </c>
    </row>
  </sheetData>
  <mergeCells count="1">
    <mergeCell ref="B43:D43"/>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222E1A-2AF8-48FF-9B35-F9401C18BEF0}">
  <sheetPr>
    <tabColor rgb="FF006666"/>
  </sheetPr>
  <dimension ref="A1:D32"/>
  <sheetViews>
    <sheetView workbookViewId="0">
      <selection activeCell="I1" sqref="I1"/>
    </sheetView>
  </sheetViews>
  <sheetFormatPr defaultRowHeight="15"/>
  <cols>
    <col min="1" max="1" width="24.28515625" style="120" customWidth="1"/>
    <col min="2" max="2" width="20.42578125" style="120" customWidth="1"/>
    <col min="3" max="3" width="29" style="120" customWidth="1"/>
    <col min="4" max="4" width="20.140625" style="120" customWidth="1"/>
    <col min="5" max="16384" width="9.140625" style="120"/>
  </cols>
  <sheetData>
    <row r="1" spans="1:4" ht="15.75">
      <c r="A1" s="473" t="s">
        <v>473</v>
      </c>
      <c r="B1" s="473"/>
      <c r="C1" s="473"/>
      <c r="D1" s="241"/>
    </row>
    <row r="2" spans="1:4">
      <c r="A2" s="242" t="s">
        <v>449</v>
      </c>
      <c r="B2" s="242" t="s">
        <v>450</v>
      </c>
      <c r="C2" s="242" t="s">
        <v>451</v>
      </c>
      <c r="D2" s="237"/>
    </row>
    <row r="3" spans="1:4">
      <c r="A3" s="222" t="s">
        <v>452</v>
      </c>
      <c r="B3" s="240">
        <f>'Kasus 15.1'!D56</f>
        <v>100000000</v>
      </c>
      <c r="C3" s="222" t="s">
        <v>453</v>
      </c>
      <c r="D3" s="237"/>
    </row>
    <row r="4" spans="1:4">
      <c r="A4" s="222" t="s">
        <v>454</v>
      </c>
      <c r="B4" s="240">
        <f>'Kasus 15.1'!B57</f>
        <v>8000000</v>
      </c>
      <c r="C4" s="222" t="s">
        <v>453</v>
      </c>
      <c r="D4" s="237"/>
    </row>
    <row r="5" spans="1:4">
      <c r="A5" s="222" t="s">
        <v>455</v>
      </c>
      <c r="B5" s="240">
        <v>180000000</v>
      </c>
      <c r="C5" s="222"/>
      <c r="D5" s="237"/>
    </row>
    <row r="6" spans="1:4">
      <c r="A6" s="222" t="s">
        <v>456</v>
      </c>
      <c r="B6" s="240">
        <f>'Kasus 15.1'!B58</f>
        <v>60000000</v>
      </c>
      <c r="C6" s="222" t="s">
        <v>457</v>
      </c>
      <c r="D6" s="237"/>
    </row>
    <row r="7" spans="1:4">
      <c r="A7" s="222" t="s">
        <v>458</v>
      </c>
      <c r="B7" s="240">
        <f>'Kasus 15.1'!B59</f>
        <v>30000000</v>
      </c>
      <c r="C7" s="222" t="s">
        <v>459</v>
      </c>
      <c r="D7" s="237"/>
    </row>
    <row r="8" spans="1:4">
      <c r="A8" s="222" t="s">
        <v>455</v>
      </c>
      <c r="B8" s="240">
        <v>180000000</v>
      </c>
      <c r="C8" s="222"/>
      <c r="D8" s="237"/>
    </row>
    <row r="9" spans="1:4">
      <c r="A9" s="237"/>
      <c r="B9" s="238"/>
      <c r="C9" s="237"/>
      <c r="D9" s="237"/>
    </row>
    <row r="10" spans="1:4" ht="15.75">
      <c r="A10" s="472" t="s">
        <v>474</v>
      </c>
      <c r="B10" s="472"/>
      <c r="C10" s="472"/>
      <c r="D10" s="472"/>
    </row>
    <row r="11" spans="1:4">
      <c r="A11" s="242" t="s">
        <v>451</v>
      </c>
      <c r="B11" s="242" t="s">
        <v>455</v>
      </c>
      <c r="C11" s="242" t="s">
        <v>460</v>
      </c>
      <c r="D11" s="242" t="s">
        <v>461</v>
      </c>
    </row>
    <row r="12" spans="1:4">
      <c r="A12" s="222" t="s">
        <v>462</v>
      </c>
      <c r="B12" s="240">
        <f>B5</f>
        <v>180000000</v>
      </c>
      <c r="C12" s="240">
        <f>'Kasus 15.1'!D41</f>
        <v>30</v>
      </c>
      <c r="D12" s="240">
        <v>6000000</v>
      </c>
    </row>
    <row r="13" spans="1:4">
      <c r="A13" s="222" t="s">
        <v>463</v>
      </c>
      <c r="B13" s="240">
        <f>B8</f>
        <v>180000000</v>
      </c>
      <c r="C13" s="240">
        <f>'Kasus 15.1'!D40</f>
        <v>15000</v>
      </c>
      <c r="D13" s="240">
        <f>B13/C13</f>
        <v>12000</v>
      </c>
    </row>
    <row r="14" spans="1:4">
      <c r="A14" s="237"/>
      <c r="B14" s="238"/>
      <c r="C14" s="237"/>
      <c r="D14" s="237"/>
    </row>
    <row r="15" spans="1:4" ht="15.75">
      <c r="A15" s="474" t="s">
        <v>475</v>
      </c>
      <c r="B15" s="474"/>
      <c r="C15" s="474"/>
      <c r="D15" s="474"/>
    </row>
    <row r="16" spans="1:4">
      <c r="A16" s="239" t="s">
        <v>451</v>
      </c>
      <c r="B16" s="239" t="s">
        <v>461</v>
      </c>
      <c r="C16" s="239" t="s">
        <v>464</v>
      </c>
      <c r="D16" s="239" t="s">
        <v>465</v>
      </c>
    </row>
    <row r="17" spans="1:4">
      <c r="A17" s="240" t="s">
        <v>462</v>
      </c>
      <c r="B17" s="240"/>
      <c r="C17" s="240"/>
      <c r="D17" s="240"/>
    </row>
    <row r="18" spans="1:4">
      <c r="A18" s="240" t="s">
        <v>433</v>
      </c>
      <c r="B18" s="240">
        <f>D12</f>
        <v>6000000</v>
      </c>
      <c r="C18" s="240">
        <f>'Kasus 15.1'!B41</f>
        <v>10</v>
      </c>
      <c r="D18" s="240">
        <f>B18*C18</f>
        <v>60000000</v>
      </c>
    </row>
    <row r="19" spans="1:4">
      <c r="A19" s="238" t="s">
        <v>466</v>
      </c>
      <c r="B19" s="238">
        <f>D12</f>
        <v>6000000</v>
      </c>
      <c r="C19" s="238">
        <f>'Kasus 15.1'!C41</f>
        <v>20</v>
      </c>
      <c r="D19" s="238">
        <f t="shared" ref="D19:D22" si="0">B19*C19</f>
        <v>120000000</v>
      </c>
    </row>
    <row r="20" spans="1:4">
      <c r="A20" s="239" t="s">
        <v>463</v>
      </c>
      <c r="B20" s="239"/>
      <c r="C20" s="239"/>
      <c r="D20" s="239"/>
    </row>
    <row r="21" spans="1:4">
      <c r="A21" s="240" t="s">
        <v>433</v>
      </c>
      <c r="B21" s="240">
        <f>D13</f>
        <v>12000</v>
      </c>
      <c r="C21" s="240">
        <f>'Kasus 15.1'!B40</f>
        <v>5000</v>
      </c>
      <c r="D21" s="240">
        <f t="shared" si="0"/>
        <v>60000000</v>
      </c>
    </row>
    <row r="22" spans="1:4">
      <c r="A22" s="240" t="s">
        <v>466</v>
      </c>
      <c r="B22" s="240">
        <f>D13</f>
        <v>12000</v>
      </c>
      <c r="C22" s="240">
        <f>'Kasus 15.1'!C40</f>
        <v>10000</v>
      </c>
      <c r="D22" s="240">
        <f t="shared" si="0"/>
        <v>120000000</v>
      </c>
    </row>
    <row r="23" spans="1:4">
      <c r="A23" s="238"/>
      <c r="B23" s="238"/>
      <c r="C23" s="238"/>
      <c r="D23" s="238"/>
    </row>
    <row r="24" spans="1:4" ht="15.75">
      <c r="A24" s="472" t="s">
        <v>476</v>
      </c>
      <c r="B24" s="472"/>
      <c r="C24" s="472"/>
      <c r="D24" s="237"/>
    </row>
    <row r="25" spans="1:4" ht="15.75" customHeight="1">
      <c r="A25" s="242" t="s">
        <v>3</v>
      </c>
      <c r="B25" s="242" t="s">
        <v>433</v>
      </c>
      <c r="C25" s="242" t="s">
        <v>434</v>
      </c>
      <c r="D25" s="237"/>
    </row>
    <row r="26" spans="1:4">
      <c r="A26" s="222" t="s">
        <v>467</v>
      </c>
      <c r="B26" s="240">
        <f>'Kasus 15.1'!B37</f>
        <v>80000000</v>
      </c>
      <c r="C26" s="240">
        <f>'Kasus 15.1'!C37</f>
        <v>120000000</v>
      </c>
      <c r="D26" s="237"/>
    </row>
    <row r="27" spans="1:4" ht="15" customHeight="1">
      <c r="A27" s="222" t="s">
        <v>468</v>
      </c>
      <c r="B27" s="240"/>
      <c r="C27" s="240"/>
      <c r="D27" s="237"/>
    </row>
    <row r="28" spans="1:4">
      <c r="A28" s="222" t="s">
        <v>469</v>
      </c>
      <c r="B28" s="240">
        <f>D18</f>
        <v>60000000</v>
      </c>
      <c r="C28" s="240">
        <f>D19</f>
        <v>120000000</v>
      </c>
      <c r="D28" s="237"/>
    </row>
    <row r="29" spans="1:4">
      <c r="A29" s="222" t="s">
        <v>459</v>
      </c>
      <c r="B29" s="240">
        <f>D21</f>
        <v>60000000</v>
      </c>
      <c r="C29" s="240">
        <f>D22</f>
        <v>120000000</v>
      </c>
      <c r="D29" s="237"/>
    </row>
    <row r="30" spans="1:4">
      <c r="A30" s="222" t="s">
        <v>470</v>
      </c>
      <c r="B30" s="240">
        <f>SUM(B26:B29)</f>
        <v>200000000</v>
      </c>
      <c r="C30" s="240">
        <f>SUM(C26:C29)</f>
        <v>360000000</v>
      </c>
      <c r="D30" s="237"/>
    </row>
    <row r="31" spans="1:4">
      <c r="A31" s="222" t="s">
        <v>471</v>
      </c>
      <c r="B31" s="240">
        <f>'Kasus 15.1'!B36</f>
        <v>10000</v>
      </c>
      <c r="C31" s="240">
        <f>'Kasus 15.1'!C36</f>
        <v>20000</v>
      </c>
      <c r="D31" s="237"/>
    </row>
    <row r="32" spans="1:4">
      <c r="A32" s="222" t="s">
        <v>472</v>
      </c>
      <c r="B32" s="240">
        <f>B30/B31</f>
        <v>20000</v>
      </c>
      <c r="C32" s="240">
        <f>C30/C31</f>
        <v>18000</v>
      </c>
      <c r="D32" s="237"/>
    </row>
  </sheetData>
  <mergeCells count="4">
    <mergeCell ref="A24:C24"/>
    <mergeCell ref="A1:C1"/>
    <mergeCell ref="A10:D10"/>
    <mergeCell ref="A15:D15"/>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5238FD-EBA7-4831-BA15-628B62F91390}">
  <sheetPr>
    <tabColor theme="8" tint="0.39997558519241921"/>
  </sheetPr>
  <dimension ref="A47:D92"/>
  <sheetViews>
    <sheetView zoomScale="87" workbookViewId="0">
      <selection activeCell="B1" sqref="B1"/>
    </sheetView>
  </sheetViews>
  <sheetFormatPr defaultColWidth="29.5703125" defaultRowHeight="15"/>
  <cols>
    <col min="1" max="1" width="59.28515625" customWidth="1"/>
  </cols>
  <sheetData>
    <row r="47" spans="1:3" ht="15.75">
      <c r="A47" s="475" t="s">
        <v>3</v>
      </c>
      <c r="B47" s="475" t="s">
        <v>477</v>
      </c>
      <c r="C47" s="245" t="s">
        <v>478</v>
      </c>
    </row>
    <row r="48" spans="1:3" ht="15.75">
      <c r="A48" s="475"/>
      <c r="B48" s="475"/>
      <c r="C48" s="245" t="s">
        <v>479</v>
      </c>
    </row>
    <row r="49" spans="1:4" ht="15.75">
      <c r="A49" s="109" t="s">
        <v>480</v>
      </c>
      <c r="B49" s="225">
        <f>(850000-900000)*280</f>
        <v>-14000000</v>
      </c>
      <c r="C49" s="203" t="str">
        <f>IF(B49&lt;0,"F (Menguntungkan)",IF(B49&gt;0,"U (Rugi)","Varian Tidak Muncul"))</f>
        <v>F (Menguntungkan)</v>
      </c>
    </row>
    <row r="50" spans="1:4">
      <c r="A50" s="109" t="s">
        <v>481</v>
      </c>
      <c r="B50" s="203">
        <f>((0.3*800)-240)*900000</f>
        <v>0</v>
      </c>
      <c r="C50" s="203" t="str">
        <f t="shared" ref="C50:C53" si="0">IF(B50&lt;0,"F (Menguntungkan)",IF(B50&gt;0,"U (Rugi)","Varian Tidak Muncul"))</f>
        <v>Varian Tidak Muncul</v>
      </c>
    </row>
    <row r="51" spans="1:4">
      <c r="A51" s="109" t="s">
        <v>482</v>
      </c>
      <c r="B51" s="111">
        <f>(60000-55000)*2000</f>
        <v>10000000</v>
      </c>
      <c r="C51" s="203" t="str">
        <f t="shared" si="0"/>
        <v>U (Rugi)</v>
      </c>
    </row>
    <row r="52" spans="1:4">
      <c r="A52" s="109" t="s">
        <v>483</v>
      </c>
      <c r="B52" s="203">
        <f>((2.5*800)-2000)*5500</f>
        <v>0</v>
      </c>
      <c r="C52" s="203" t="str">
        <f t="shared" si="0"/>
        <v>Varian Tidak Muncul</v>
      </c>
    </row>
    <row r="53" spans="1:4" ht="15.75">
      <c r="A53" s="109" t="s">
        <v>484</v>
      </c>
      <c r="B53" s="225">
        <f>(180000000+90000000+120000000+35000000)-(18*800*18000)</f>
        <v>165800000</v>
      </c>
      <c r="C53" s="203" t="str">
        <f t="shared" si="0"/>
        <v>U (Rugi)</v>
      </c>
    </row>
    <row r="55" spans="1:4" ht="15.75">
      <c r="A55" s="248" t="s">
        <v>3</v>
      </c>
      <c r="B55" s="248" t="s">
        <v>5</v>
      </c>
      <c r="C55" s="248" t="s">
        <v>5</v>
      </c>
    </row>
    <row r="56" spans="1:4" s="308" customFormat="1" ht="26.25" customHeight="1">
      <c r="A56" s="309" t="s">
        <v>599</v>
      </c>
      <c r="B56" s="307"/>
      <c r="C56" s="307"/>
    </row>
    <row r="57" spans="1:4">
      <c r="A57" s="109" t="s">
        <v>485</v>
      </c>
      <c r="B57" s="111">
        <f>900000*280</f>
        <v>252000000</v>
      </c>
      <c r="C57" s="111"/>
    </row>
    <row r="58" spans="1:4">
      <c r="A58" s="109" t="s">
        <v>486</v>
      </c>
      <c r="B58" s="111"/>
      <c r="C58" s="111">
        <f>B57-C59</f>
        <v>14000000</v>
      </c>
    </row>
    <row r="59" spans="1:4">
      <c r="A59" s="109" t="s">
        <v>487</v>
      </c>
      <c r="B59" s="111"/>
      <c r="C59" s="247">
        <f>850000*280</f>
        <v>238000000</v>
      </c>
    </row>
    <row r="60" spans="1:4" ht="22.5" customHeight="1">
      <c r="A60" s="309" t="s">
        <v>600</v>
      </c>
      <c r="B60" s="307"/>
      <c r="C60" s="307"/>
      <c r="D60" s="69"/>
    </row>
    <row r="61" spans="1:4">
      <c r="A61" s="109" t="s">
        <v>488</v>
      </c>
      <c r="B61" s="111">
        <f>(0.3*800*900000)</f>
        <v>216000000</v>
      </c>
      <c r="C61" s="111"/>
    </row>
    <row r="62" spans="1:4">
      <c r="A62" s="109" t="s">
        <v>491</v>
      </c>
      <c r="B62" s="111"/>
      <c r="C62" s="111">
        <f>240*900000</f>
        <v>216000000</v>
      </c>
    </row>
    <row r="63" spans="1:4" ht="31.5" customHeight="1">
      <c r="A63" s="260" t="s">
        <v>601</v>
      </c>
      <c r="B63" s="111"/>
      <c r="C63" s="111"/>
    </row>
    <row r="64" spans="1:4">
      <c r="A64" s="109" t="s">
        <v>489</v>
      </c>
      <c r="B64" s="111">
        <f>2000*55000</f>
        <v>110000000</v>
      </c>
      <c r="C64" s="111"/>
    </row>
    <row r="65" spans="1:3">
      <c r="A65" s="109" t="s">
        <v>490</v>
      </c>
      <c r="B65" s="111">
        <f>ABS(B64-C66)</f>
        <v>10000000</v>
      </c>
      <c r="C65" s="111"/>
    </row>
    <row r="66" spans="1:3" ht="23.25">
      <c r="A66" s="109" t="s">
        <v>7</v>
      </c>
      <c r="B66" s="116"/>
      <c r="C66" s="246">
        <f>2000*60000</f>
        <v>120000000</v>
      </c>
    </row>
    <row r="67" spans="1:3" ht="23.25">
      <c r="A67" s="260" t="s">
        <v>602</v>
      </c>
      <c r="B67" s="116"/>
      <c r="C67" s="246"/>
    </row>
    <row r="68" spans="1:3">
      <c r="A68" s="52" t="s">
        <v>499</v>
      </c>
      <c r="B68" s="111">
        <f>18*800*18000</f>
        <v>259200000</v>
      </c>
      <c r="C68" s="111"/>
    </row>
    <row r="69" spans="1:3">
      <c r="A69" s="52" t="s">
        <v>492</v>
      </c>
      <c r="B69" s="111"/>
      <c r="C69" s="250">
        <f>B68</f>
        <v>259200000</v>
      </c>
    </row>
    <row r="70" spans="1:3">
      <c r="A70" s="52"/>
      <c r="B70" s="111"/>
      <c r="C70" s="250"/>
    </row>
    <row r="71" spans="1:3">
      <c r="A71" s="52" t="s">
        <v>494</v>
      </c>
      <c r="B71" s="111">
        <f>+SUM(C72:C75)</f>
        <v>425000000</v>
      </c>
      <c r="C71" s="111"/>
    </row>
    <row r="72" spans="1:3">
      <c r="A72" s="52" t="s">
        <v>505</v>
      </c>
      <c r="B72" s="115"/>
      <c r="C72" s="111">
        <v>120000000</v>
      </c>
    </row>
    <row r="73" spans="1:3">
      <c r="A73" s="52" t="s">
        <v>399</v>
      </c>
      <c r="B73" s="111"/>
      <c r="C73" s="111">
        <v>180000000</v>
      </c>
    </row>
    <row r="74" spans="1:3">
      <c r="A74" s="52" t="s">
        <v>504</v>
      </c>
      <c r="B74" s="111"/>
      <c r="C74" s="111">
        <v>90000000</v>
      </c>
    </row>
    <row r="75" spans="1:3" ht="30">
      <c r="A75" s="52" t="s">
        <v>503</v>
      </c>
      <c r="B75" s="249"/>
      <c r="C75" s="111">
        <v>35000000</v>
      </c>
    </row>
    <row r="76" spans="1:3">
      <c r="A76" s="52"/>
      <c r="B76" s="249"/>
      <c r="C76" s="111"/>
    </row>
    <row r="77" spans="1:3">
      <c r="A77" s="52" t="s">
        <v>492</v>
      </c>
      <c r="B77" s="111">
        <f>18*800*18000</f>
        <v>259200000</v>
      </c>
      <c r="C77" s="111"/>
    </row>
    <row r="78" spans="1:3">
      <c r="A78" s="52" t="s">
        <v>484</v>
      </c>
      <c r="B78" s="111">
        <f>ABS(B77-C79)</f>
        <v>165800000</v>
      </c>
      <c r="C78" s="111"/>
    </row>
    <row r="79" spans="1:3">
      <c r="A79" s="52" t="s">
        <v>494</v>
      </c>
      <c r="B79" s="111"/>
      <c r="C79" s="247">
        <f>180000000+90000000+120000000+35000000</f>
        <v>425000000</v>
      </c>
    </row>
    <row r="80" spans="1:3" ht="15.75">
      <c r="A80" s="260" t="s">
        <v>605</v>
      </c>
      <c r="B80" s="111"/>
      <c r="C80" s="247"/>
    </row>
    <row r="81" spans="1:4">
      <c r="A81" s="52" t="s">
        <v>500</v>
      </c>
      <c r="B81" s="111">
        <f>B64</f>
        <v>110000000</v>
      </c>
      <c r="C81" s="247"/>
    </row>
    <row r="82" spans="1:4">
      <c r="A82" s="52" t="s">
        <v>501</v>
      </c>
      <c r="B82" s="111"/>
      <c r="C82" s="247">
        <f>B64</f>
        <v>110000000</v>
      </c>
    </row>
    <row r="83" spans="1:4" ht="15.75">
      <c r="A83" s="260" t="s">
        <v>603</v>
      </c>
      <c r="B83" s="111"/>
      <c r="C83" s="247"/>
    </row>
    <row r="84" spans="1:4">
      <c r="A84" s="52" t="s">
        <v>495</v>
      </c>
      <c r="B84" s="111">
        <f>C58</f>
        <v>14000000</v>
      </c>
      <c r="C84" s="111"/>
    </row>
    <row r="85" spans="1:4" ht="30">
      <c r="A85" s="52" t="s">
        <v>502</v>
      </c>
      <c r="B85" s="115">
        <f>ABS(B84-SUM(C86:C87))</f>
        <v>161800000</v>
      </c>
      <c r="C85" s="111"/>
    </row>
    <row r="86" spans="1:4">
      <c r="A86" s="52" t="s">
        <v>496</v>
      </c>
      <c r="B86" s="111"/>
      <c r="C86" s="111">
        <f>B65</f>
        <v>10000000</v>
      </c>
      <c r="D86" s="69"/>
    </row>
    <row r="87" spans="1:4">
      <c r="A87" s="52" t="s">
        <v>497</v>
      </c>
      <c r="B87" s="111"/>
      <c r="C87" s="111">
        <f>B78</f>
        <v>165800000</v>
      </c>
    </row>
    <row r="88" spans="1:4" ht="15.75">
      <c r="A88" s="260" t="s">
        <v>604</v>
      </c>
      <c r="B88" s="111"/>
      <c r="C88" s="111"/>
    </row>
    <row r="89" spans="1:4">
      <c r="A89" s="52" t="s">
        <v>493</v>
      </c>
      <c r="B89" s="111">
        <f>B61+B64+B77</f>
        <v>585200000</v>
      </c>
      <c r="C89" s="111"/>
    </row>
    <row r="90" spans="1:4">
      <c r="A90" s="52" t="s">
        <v>498</v>
      </c>
      <c r="B90" s="206"/>
      <c r="C90" s="115">
        <f>B89</f>
        <v>585200000</v>
      </c>
    </row>
    <row r="91" spans="1:4">
      <c r="A91" s="52"/>
      <c r="B91" s="206"/>
      <c r="C91" s="115"/>
    </row>
    <row r="92" spans="1:4" ht="15.75">
      <c r="A92" s="260" t="s">
        <v>95</v>
      </c>
      <c r="B92" s="115">
        <f>SUM(B56:B90)</f>
        <v>2568200000</v>
      </c>
      <c r="C92" s="115">
        <f>SUM(C56:C90)</f>
        <v>2568200000</v>
      </c>
    </row>
  </sheetData>
  <mergeCells count="2">
    <mergeCell ref="A47:A48"/>
    <mergeCell ref="B47:B48"/>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6E5117-A7F2-434B-93A9-CC0FB635C0B8}">
  <sheetPr>
    <tabColor rgb="FF006666"/>
  </sheetPr>
  <dimension ref="A9:M45"/>
  <sheetViews>
    <sheetView topLeftCell="A15" workbookViewId="0">
      <selection activeCell="B37" sqref="B37"/>
    </sheetView>
  </sheetViews>
  <sheetFormatPr defaultRowHeight="15"/>
  <cols>
    <col min="1" max="1" width="13" customWidth="1"/>
    <col min="2" max="2" width="16.5703125" customWidth="1"/>
    <col min="3" max="3" width="20.85546875" customWidth="1"/>
    <col min="4" max="4" width="19.140625" customWidth="1"/>
    <col min="5" max="5" width="18.28515625" customWidth="1"/>
    <col min="6" max="6" width="23" customWidth="1"/>
  </cols>
  <sheetData>
    <row r="9" spans="1:2" ht="15.75">
      <c r="A9" s="255" t="s">
        <v>506</v>
      </c>
      <c r="B9" s="255" t="s">
        <v>27</v>
      </c>
    </row>
    <row r="10" spans="1:2" ht="15.75">
      <c r="A10" s="119" t="s">
        <v>507</v>
      </c>
      <c r="B10" s="119">
        <v>70000</v>
      </c>
    </row>
    <row r="11" spans="1:2" ht="15.75">
      <c r="A11" s="119" t="s">
        <v>508</v>
      </c>
      <c r="B11" s="119">
        <v>120000</v>
      </c>
    </row>
    <row r="12" spans="1:2" ht="15.75">
      <c r="A12" s="119" t="s">
        <v>509</v>
      </c>
      <c r="B12" s="119">
        <v>140000</v>
      </c>
    </row>
    <row r="13" spans="1:2" ht="15.75">
      <c r="A13" s="119" t="s">
        <v>510</v>
      </c>
      <c r="B13" s="119">
        <v>140000</v>
      </c>
    </row>
    <row r="14" spans="1:2" ht="15.75">
      <c r="A14" s="119" t="s">
        <v>511</v>
      </c>
      <c r="B14" s="119">
        <v>40000</v>
      </c>
    </row>
    <row r="24" spans="1:6" ht="15.75">
      <c r="A24" s="256" t="s">
        <v>506</v>
      </c>
      <c r="B24" s="256" t="s">
        <v>512</v>
      </c>
      <c r="C24" s="256" t="s">
        <v>513</v>
      </c>
      <c r="D24" s="256" t="s">
        <v>515</v>
      </c>
      <c r="E24" s="256" t="s">
        <v>513</v>
      </c>
      <c r="F24" s="256" t="s">
        <v>514</v>
      </c>
    </row>
    <row r="25" spans="1:6" ht="15.75">
      <c r="A25" s="119"/>
      <c r="B25" s="225">
        <v>-400000</v>
      </c>
      <c r="C25" s="146">
        <v>0.09</v>
      </c>
      <c r="D25" s="119"/>
      <c r="E25" s="146">
        <v>0.08</v>
      </c>
      <c r="F25" s="119"/>
    </row>
    <row r="26" spans="1:6" ht="15.75">
      <c r="A26" s="119" cm="1">
        <f t="array" ref="A26:A30">_xlfn.SEQUENCE(ROWS(B26:B30))</f>
        <v>1</v>
      </c>
      <c r="B26" s="119">
        <f>B10</f>
        <v>70000</v>
      </c>
      <c r="C26" s="252">
        <f>(1/(1+9%)^A26)</f>
        <v>0.9174311926605504</v>
      </c>
      <c r="D26" s="119">
        <f>(B26*C26)</f>
        <v>64220.183486238529</v>
      </c>
      <c r="E26" s="253">
        <f>(1/(1+E25))^A26</f>
        <v>0.92592592592592582</v>
      </c>
      <c r="F26" s="119">
        <f>(B26*E26)</f>
        <v>64814.81481481481</v>
      </c>
    </row>
    <row r="27" spans="1:6" ht="15.75">
      <c r="A27" s="119">
        <v>2</v>
      </c>
      <c r="B27" s="119">
        <f t="shared" ref="B27:B30" si="0">B11</f>
        <v>120000</v>
      </c>
      <c r="C27" s="252">
        <f t="shared" ref="C27:C30" si="1">(1/(1+9%)^A27)</f>
        <v>0.84167999326655996</v>
      </c>
      <c r="D27" s="119">
        <f t="shared" ref="D27:D30" si="2">(B27*C27)</f>
        <v>101001.59919198719</v>
      </c>
      <c r="E27" s="253">
        <f t="shared" ref="E27:E30" si="3">(1/(1+8%))^A27</f>
        <v>0.8573388203017831</v>
      </c>
      <c r="F27" s="119">
        <f t="shared" ref="F27:F30" si="4">(B27*E27)</f>
        <v>102880.65843621397</v>
      </c>
    </row>
    <row r="28" spans="1:6" ht="15.75">
      <c r="A28" s="119">
        <v>3</v>
      </c>
      <c r="B28" s="119">
        <f t="shared" si="0"/>
        <v>140000</v>
      </c>
      <c r="C28" s="252">
        <f t="shared" si="1"/>
        <v>0.77218348006106419</v>
      </c>
      <c r="D28" s="119">
        <f t="shared" si="2"/>
        <v>108105.68720854899</v>
      </c>
      <c r="E28" s="253">
        <f t="shared" si="3"/>
        <v>0.79383224102016947</v>
      </c>
      <c r="F28" s="119">
        <f t="shared" si="4"/>
        <v>111136.51374282372</v>
      </c>
    </row>
    <row r="29" spans="1:6" ht="15.75">
      <c r="A29" s="119">
        <v>4</v>
      </c>
      <c r="B29" s="119">
        <f t="shared" si="0"/>
        <v>140000</v>
      </c>
      <c r="C29" s="252">
        <f t="shared" si="1"/>
        <v>0.7084252110651964</v>
      </c>
      <c r="D29" s="119">
        <f t="shared" si="2"/>
        <v>99179.529549127503</v>
      </c>
      <c r="E29" s="253">
        <f t="shared" si="3"/>
        <v>0.73502985279645316</v>
      </c>
      <c r="F29" s="119">
        <f t="shared" si="4"/>
        <v>102904.17939150344</v>
      </c>
    </row>
    <row r="30" spans="1:6" ht="15.75">
      <c r="A30" s="119">
        <v>5</v>
      </c>
      <c r="B30" s="119">
        <f t="shared" si="0"/>
        <v>40000</v>
      </c>
      <c r="C30" s="252">
        <f t="shared" si="1"/>
        <v>0.64993138629834524</v>
      </c>
      <c r="D30" s="119">
        <f t="shared" si="2"/>
        <v>25997.255451933808</v>
      </c>
      <c r="E30" s="253">
        <f t="shared" si="3"/>
        <v>0.68058319703375281</v>
      </c>
      <c r="F30" s="119">
        <f t="shared" si="4"/>
        <v>27223.327881350113</v>
      </c>
    </row>
    <row r="31" spans="1:6" ht="15.75">
      <c r="A31" s="476" t="s">
        <v>516</v>
      </c>
      <c r="B31" s="476"/>
      <c r="C31" s="476"/>
      <c r="D31" s="119">
        <f>SUM(D26:D30)</f>
        <v>398504.25488783605</v>
      </c>
      <c r="E31" s="119"/>
      <c r="F31" s="119">
        <f>SUM(F26:F30)</f>
        <v>408959.49426670605</v>
      </c>
    </row>
    <row r="32" spans="1:6" ht="15.75">
      <c r="A32" s="476" t="s">
        <v>517</v>
      </c>
      <c r="B32" s="476"/>
      <c r="C32" s="476"/>
      <c r="D32" s="119">
        <f>ABS($B$25)</f>
        <v>400000</v>
      </c>
      <c r="E32" s="119"/>
      <c r="F32" s="119">
        <f>ABS($B$25)</f>
        <v>400000</v>
      </c>
    </row>
    <row r="33" spans="1:13" ht="15.75">
      <c r="A33" s="476" t="s">
        <v>518</v>
      </c>
      <c r="B33" s="476"/>
      <c r="C33" s="476"/>
      <c r="D33" s="225">
        <f>D31-D32</f>
        <v>-1495.745112163946</v>
      </c>
      <c r="E33" s="47"/>
      <c r="F33" s="119">
        <f>F31-F32</f>
        <v>8959.4942667060532</v>
      </c>
    </row>
    <row r="34" spans="1:13" ht="15.75">
      <c r="A34" s="13"/>
      <c r="B34" s="13"/>
      <c r="C34" s="13"/>
      <c r="D34" s="13"/>
      <c r="E34" s="13"/>
      <c r="F34" s="13"/>
      <c r="M34" s="168"/>
    </row>
    <row r="35" spans="1:13" ht="15.75">
      <c r="A35" s="47" t="s">
        <v>519</v>
      </c>
      <c r="B35" s="119">
        <f>ABS(D31-F31)</f>
        <v>10455.239378869999</v>
      </c>
      <c r="F35" s="13"/>
      <c r="H35" s="168"/>
    </row>
    <row r="36" spans="1:13" ht="15.75">
      <c r="A36" s="47" t="s">
        <v>522</v>
      </c>
      <c r="B36" s="254">
        <f>8%+(F33/B35)*1%</f>
        <v>8.8569382241800373E-2</v>
      </c>
      <c r="D36" s="168"/>
      <c r="F36" s="13"/>
    </row>
    <row r="37" spans="1:13" ht="15.75">
      <c r="A37" s="47" t="s">
        <v>520</v>
      </c>
      <c r="B37" s="176">
        <f>9%+(D33/B35)*1%</f>
        <v>8.8569382241800373E-2</v>
      </c>
      <c r="F37" s="13"/>
    </row>
    <row r="38" spans="1:13" ht="15.75">
      <c r="A38" s="13"/>
      <c r="B38" s="13"/>
      <c r="C38" s="13"/>
      <c r="D38" s="13"/>
      <c r="E38" s="13"/>
      <c r="F38" s="13"/>
    </row>
    <row r="39" spans="1:13" ht="15.75">
      <c r="A39" s="13"/>
      <c r="B39" s="13"/>
      <c r="C39" s="13"/>
      <c r="D39" s="13"/>
      <c r="E39" s="13"/>
      <c r="F39" s="13"/>
    </row>
    <row r="40" spans="1:13">
      <c r="C40" s="168"/>
    </row>
    <row r="45" spans="1:13">
      <c r="D45" s="69"/>
    </row>
  </sheetData>
  <mergeCells count="3">
    <mergeCell ref="A31:C31"/>
    <mergeCell ref="A32:C32"/>
    <mergeCell ref="A33:C3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E1D70A-B6A8-4F61-8F05-2D6826870F4E}">
  <sheetPr>
    <tabColor theme="8" tint="0.39997558519241921"/>
  </sheetPr>
  <dimension ref="A25:D35"/>
  <sheetViews>
    <sheetView topLeftCell="A14" workbookViewId="0">
      <selection activeCell="C28" sqref="C28"/>
    </sheetView>
  </sheetViews>
  <sheetFormatPr defaultRowHeight="15"/>
  <cols>
    <col min="1" max="1" width="12.28515625" bestFit="1" customWidth="1"/>
    <col min="2" max="2" width="11.28515625" bestFit="1" customWidth="1"/>
    <col min="3" max="3" width="21.140625" bestFit="1" customWidth="1"/>
    <col min="4" max="4" width="22.85546875" customWidth="1"/>
    <col min="5" max="5" width="18" bestFit="1" customWidth="1"/>
    <col min="6" max="6" width="22.5703125" bestFit="1" customWidth="1"/>
  </cols>
  <sheetData>
    <row r="25" spans="1:4" ht="15.75">
      <c r="A25" s="257" t="s">
        <v>506</v>
      </c>
      <c r="B25" s="257" t="s">
        <v>521</v>
      </c>
      <c r="C25" s="257" t="s">
        <v>513</v>
      </c>
      <c r="D25" s="257" t="s">
        <v>514</v>
      </c>
    </row>
    <row r="26" spans="1:4" ht="15.75">
      <c r="A26" s="119"/>
      <c r="B26" s="225">
        <v>-150000</v>
      </c>
      <c r="C26" s="146">
        <v>0.1</v>
      </c>
      <c r="D26" s="119"/>
    </row>
    <row r="27" spans="1:4" ht="15.75">
      <c r="A27" s="119" cm="1">
        <f t="array" ref="A27:A31">_xlfn.SEQUENCE(ROWS(B27:B31))</f>
        <v>1</v>
      </c>
      <c r="B27" s="119" cm="1">
        <f t="array" ref="B27:B30">_xlfn.SEQUENCE(4,,40000,10000)</f>
        <v>40000</v>
      </c>
      <c r="C27" s="252">
        <f>(1/(1+10%)^A27)</f>
        <v>0.90909090909090906</v>
      </c>
      <c r="D27" s="119">
        <f>(B27*C27)</f>
        <v>36363.63636363636</v>
      </c>
    </row>
    <row r="28" spans="1:4" ht="15.75">
      <c r="A28" s="119">
        <v>2</v>
      </c>
      <c r="B28" s="119">
        <v>50000</v>
      </c>
      <c r="C28" s="252">
        <f t="shared" ref="C28:C31" si="0">(1/(1+10%)^A28)</f>
        <v>0.82644628099173545</v>
      </c>
      <c r="D28" s="119">
        <f t="shared" ref="D28:D31" si="1">(B28*C28)</f>
        <v>41322.31404958677</v>
      </c>
    </row>
    <row r="29" spans="1:4" ht="15.75">
      <c r="A29" s="119">
        <v>3</v>
      </c>
      <c r="B29" s="119">
        <v>60000</v>
      </c>
      <c r="C29" s="252">
        <f t="shared" si="0"/>
        <v>0.75131480090157754</v>
      </c>
      <c r="D29" s="119">
        <f t="shared" si="1"/>
        <v>45078.888054094656</v>
      </c>
    </row>
    <row r="30" spans="1:4" ht="15.75">
      <c r="A30" s="119">
        <v>4</v>
      </c>
      <c r="B30" s="119">
        <v>70000</v>
      </c>
      <c r="C30" s="252">
        <f t="shared" si="0"/>
        <v>0.68301345536507052</v>
      </c>
      <c r="D30" s="119">
        <f t="shared" si="1"/>
        <v>47810.941875554934</v>
      </c>
    </row>
    <row r="31" spans="1:4" ht="15.75">
      <c r="A31" s="119">
        <v>5</v>
      </c>
      <c r="B31" s="119"/>
      <c r="C31" s="252">
        <f t="shared" si="0"/>
        <v>0.62092132305915493</v>
      </c>
      <c r="D31" s="119">
        <f t="shared" si="1"/>
        <v>0</v>
      </c>
    </row>
    <row r="32" spans="1:4" ht="15.75">
      <c r="A32" s="476" t="s">
        <v>516</v>
      </c>
      <c r="B32" s="476"/>
      <c r="C32" s="476"/>
      <c r="D32" s="119">
        <f>SUM(D27:D31)</f>
        <v>170575.78034287272</v>
      </c>
    </row>
    <row r="33" spans="1:4" ht="15.75">
      <c r="A33" s="476" t="s">
        <v>517</v>
      </c>
      <c r="B33" s="476"/>
      <c r="C33" s="476"/>
      <c r="D33" s="119">
        <f>ABS(B26)</f>
        <v>150000</v>
      </c>
    </row>
    <row r="34" spans="1:4" ht="15.75">
      <c r="A34" s="476" t="s">
        <v>518</v>
      </c>
      <c r="B34" s="476"/>
      <c r="C34" s="476"/>
      <c r="D34" s="119">
        <f>D32-D33</f>
        <v>20575.78034287272</v>
      </c>
    </row>
    <row r="35" spans="1:4" ht="37.5" customHeight="1"/>
  </sheetData>
  <mergeCells count="3">
    <mergeCell ref="A32:C32"/>
    <mergeCell ref="A33:C33"/>
    <mergeCell ref="A34:C34"/>
  </mergeCells>
  <phoneticPr fontId="50" type="noConversion"/>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15EBA2-7EE9-4AE4-B58D-EEE85AFAFAF3}">
  <sheetPr>
    <tabColor theme="8" tint="0.39997558519241921"/>
  </sheetPr>
  <dimension ref="A23:F36"/>
  <sheetViews>
    <sheetView topLeftCell="A11" workbookViewId="0">
      <selection activeCell="B36" sqref="B36"/>
    </sheetView>
  </sheetViews>
  <sheetFormatPr defaultRowHeight="15"/>
  <cols>
    <col min="1" max="1" width="17" customWidth="1"/>
    <col min="2" max="2" width="9.85546875" bestFit="1" customWidth="1"/>
    <col min="3" max="3" width="17.5703125" bestFit="1" customWidth="1"/>
    <col min="4" max="4" width="17.140625" bestFit="1" customWidth="1"/>
    <col min="5" max="5" width="17.5703125" bestFit="1" customWidth="1"/>
    <col min="6" max="6" width="22.5703125" bestFit="1" customWidth="1"/>
  </cols>
  <sheetData>
    <row r="23" spans="1:6" ht="15.75">
      <c r="A23" s="256" t="s">
        <v>506</v>
      </c>
      <c r="B23" s="256" t="s">
        <v>512</v>
      </c>
      <c r="C23" s="256" t="s">
        <v>513</v>
      </c>
      <c r="D23" s="256" t="s">
        <v>515</v>
      </c>
      <c r="E23" s="256" t="s">
        <v>513</v>
      </c>
      <c r="F23" s="256" t="s">
        <v>514</v>
      </c>
    </row>
    <row r="24" spans="1:6" ht="15.75">
      <c r="A24" s="119"/>
      <c r="B24" s="225">
        <v>-150000</v>
      </c>
      <c r="C24" s="146">
        <v>0.16</v>
      </c>
      <c r="D24" s="119"/>
      <c r="E24" s="146">
        <v>0.15</v>
      </c>
      <c r="F24" s="119"/>
    </row>
    <row r="25" spans="1:6" ht="15.75">
      <c r="A25" s="119" cm="1">
        <f t="array" ref="A25:A29">_xlfn.SEQUENCE(ROWS(B25:B29))</f>
        <v>1</v>
      </c>
      <c r="B25" s="119">
        <v>40000</v>
      </c>
      <c r="C25" s="252">
        <f>(1/(1+$C$24)^A25)</f>
        <v>0.86206896551724144</v>
      </c>
      <c r="D25" s="119">
        <f>(B25*C25)</f>
        <v>34482.758620689659</v>
      </c>
      <c r="E25" s="253">
        <f>(1/(1+$E$24))^A25</f>
        <v>0.86956521739130443</v>
      </c>
      <c r="F25" s="119">
        <f>(B25*E25)</f>
        <v>34782.608695652176</v>
      </c>
    </row>
    <row r="26" spans="1:6" ht="15.75">
      <c r="A26" s="119">
        <v>2</v>
      </c>
      <c r="B26" s="119">
        <v>50000</v>
      </c>
      <c r="C26" s="252">
        <f t="shared" ref="C26:C28" si="0">(1/(1+$C$24)^A26)</f>
        <v>0.74316290130796681</v>
      </c>
      <c r="D26" s="119">
        <f t="shared" ref="D26:D28" si="1">(B26*C26)</f>
        <v>37158.145065398341</v>
      </c>
      <c r="E26" s="253">
        <f t="shared" ref="E26:E28" si="2">(1/(1+$E$24))^A26</f>
        <v>0.7561436672967865</v>
      </c>
      <c r="F26" s="119">
        <f t="shared" ref="F26:F28" si="3">(B26*E26)</f>
        <v>37807.183364839322</v>
      </c>
    </row>
    <row r="27" spans="1:6" ht="15.75">
      <c r="A27" s="119">
        <v>3</v>
      </c>
      <c r="B27" s="119">
        <v>60000</v>
      </c>
      <c r="C27" s="252">
        <f t="shared" si="0"/>
        <v>0.64065767354135073</v>
      </c>
      <c r="D27" s="119">
        <f t="shared" si="1"/>
        <v>38439.460412481043</v>
      </c>
      <c r="E27" s="253">
        <f t="shared" si="2"/>
        <v>0.65751623243198831</v>
      </c>
      <c r="F27" s="119">
        <f t="shared" si="3"/>
        <v>39450.973945919301</v>
      </c>
    </row>
    <row r="28" spans="1:6" ht="15.75">
      <c r="A28" s="119">
        <v>4</v>
      </c>
      <c r="B28" s="119">
        <v>70000</v>
      </c>
      <c r="C28" s="252">
        <f t="shared" si="0"/>
        <v>0.5522910978804747</v>
      </c>
      <c r="D28" s="119">
        <f t="shared" si="1"/>
        <v>38660.376851633227</v>
      </c>
      <c r="E28" s="253">
        <f t="shared" si="2"/>
        <v>0.57175324559303331</v>
      </c>
      <c r="F28" s="119">
        <f t="shared" si="3"/>
        <v>40022.727191512335</v>
      </c>
    </row>
    <row r="29" spans="1:6" ht="15.75">
      <c r="A29" s="119">
        <v>5</v>
      </c>
      <c r="B29" s="119"/>
      <c r="C29" s="252"/>
      <c r="D29" s="119"/>
      <c r="E29" s="253"/>
      <c r="F29" s="119"/>
    </row>
    <row r="30" spans="1:6" ht="15.75">
      <c r="A30" s="477" t="s">
        <v>516</v>
      </c>
      <c r="B30" s="478"/>
      <c r="C30" s="479"/>
      <c r="D30" s="119">
        <f>SUM(D25:D29)</f>
        <v>148740.74095020228</v>
      </c>
      <c r="E30" s="119"/>
      <c r="F30" s="119">
        <f>SUM(F25:F29)</f>
        <v>152063.49319792312</v>
      </c>
    </row>
    <row r="31" spans="1:6" ht="15.75">
      <c r="A31" s="477" t="s">
        <v>517</v>
      </c>
      <c r="B31" s="478"/>
      <c r="C31" s="479"/>
      <c r="D31" s="119">
        <f>ABS($B$24)</f>
        <v>150000</v>
      </c>
      <c r="E31" s="119"/>
      <c r="F31" s="119">
        <f>ABS($B$24)</f>
        <v>150000</v>
      </c>
    </row>
    <row r="32" spans="1:6" ht="15.75">
      <c r="A32" s="477" t="s">
        <v>518</v>
      </c>
      <c r="B32" s="478"/>
      <c r="C32" s="479"/>
      <c r="D32" s="225">
        <f>D30-D31</f>
        <v>-1259.2590497977217</v>
      </c>
      <c r="E32" s="47"/>
      <c r="F32" s="119">
        <f>F30-F31</f>
        <v>2063.4931979231187</v>
      </c>
    </row>
    <row r="33" spans="1:6" ht="15.75">
      <c r="A33" s="13"/>
      <c r="B33" s="13"/>
      <c r="C33" s="13"/>
      <c r="D33" s="13"/>
      <c r="E33" s="13"/>
      <c r="F33" s="13"/>
    </row>
    <row r="34" spans="1:6" ht="15.75">
      <c r="A34" s="47" t="s">
        <v>519</v>
      </c>
      <c r="B34" s="119">
        <f>ABS(D30-F30)</f>
        <v>3322.7522477208404</v>
      </c>
      <c r="F34" s="13"/>
    </row>
    <row r="35" spans="1:6" ht="15.75">
      <c r="A35" s="47" t="str">
        <f>"Nilai IRR  "&amp;E24*100&amp;"%"</f>
        <v>Nilai IRR  15%</v>
      </c>
      <c r="B35" s="254">
        <f>(15%+(F32/B34)*1%)</f>
        <v>0.15621019276817438</v>
      </c>
      <c r="D35" s="168"/>
      <c r="F35" s="13"/>
    </row>
    <row r="36" spans="1:6" ht="15.75">
      <c r="A36" s="146" t="str">
        <f>"Nilai IRR "&amp;C24*100&amp;"%"</f>
        <v>Nilai IRR 16%</v>
      </c>
      <c r="B36" s="176">
        <f>(16%+(D32/B34)*1%)</f>
        <v>0.15621019276817441</v>
      </c>
      <c r="F36" s="13"/>
    </row>
  </sheetData>
  <mergeCells count="3">
    <mergeCell ref="A30:C30"/>
    <mergeCell ref="A31:C31"/>
    <mergeCell ref="A32:C32"/>
  </mergeCells>
  <phoneticPr fontId="50" type="noConversion"/>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AF1F32-9382-4FFC-B1B0-DEA76E0F08A2}">
  <sheetPr>
    <tabColor theme="8" tint="0.39997558519241921"/>
  </sheetPr>
  <dimension ref="A16:C20"/>
  <sheetViews>
    <sheetView topLeftCell="B1" workbookViewId="0">
      <selection activeCell="C20" sqref="C20"/>
    </sheetView>
  </sheetViews>
  <sheetFormatPr defaultRowHeight="15"/>
  <cols>
    <col min="2" max="3" width="9.85546875" bestFit="1" customWidth="1"/>
  </cols>
  <sheetData>
    <row r="16" spans="1:3" ht="15.75">
      <c r="A16" s="251"/>
      <c r="B16" s="209">
        <f>-'Kasus 18.1'!B26</f>
        <v>150000</v>
      </c>
      <c r="C16" s="225">
        <f>-B16</f>
        <v>-150000</v>
      </c>
    </row>
    <row r="17" spans="1:3" ht="15.75">
      <c r="A17" s="251" t="s">
        <v>507</v>
      </c>
      <c r="B17" s="209">
        <f>'Kasus 18.1'!B27</f>
        <v>40000</v>
      </c>
      <c r="C17" s="225">
        <f>C16+B17</f>
        <v>-110000</v>
      </c>
    </row>
    <row r="18" spans="1:3" ht="15.75">
      <c r="A18" s="251" t="s">
        <v>508</v>
      </c>
      <c r="B18" s="209">
        <f>'Kasus 18.1'!B28</f>
        <v>50000</v>
      </c>
      <c r="C18" s="225">
        <f t="shared" ref="C18:C20" si="0">C17+B18</f>
        <v>-60000</v>
      </c>
    </row>
    <row r="19" spans="1:3" ht="15.75">
      <c r="A19" s="251" t="s">
        <v>509</v>
      </c>
      <c r="B19" s="209">
        <f>'Kasus 18.1'!B29</f>
        <v>60000</v>
      </c>
      <c r="C19" s="225">
        <f t="shared" si="0"/>
        <v>0</v>
      </c>
    </row>
    <row r="20" spans="1:3" ht="15.75">
      <c r="A20" s="251" t="s">
        <v>510</v>
      </c>
      <c r="B20" s="209">
        <f>'Kasus 18.1'!B30</f>
        <v>70000</v>
      </c>
      <c r="C20" s="225">
        <f t="shared" si="0"/>
        <v>70000</v>
      </c>
    </row>
  </sheetData>
  <phoneticPr fontId="50" type="noConversion"/>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212115-5CAB-4097-A125-B92430501CB1}">
  <sheetPr>
    <tabColor rgb="FF006666"/>
  </sheetPr>
  <dimension ref="A24:H154"/>
  <sheetViews>
    <sheetView topLeftCell="A46" zoomScale="76" zoomScaleNormal="76" workbookViewId="0">
      <selection activeCell="C81" sqref="C81"/>
    </sheetView>
  </sheetViews>
  <sheetFormatPr defaultRowHeight="15"/>
  <cols>
    <col min="1" max="1" width="32.140625" customWidth="1"/>
    <col min="2" max="2" width="19.85546875" customWidth="1"/>
    <col min="3" max="3" width="15.85546875" customWidth="1"/>
    <col min="4" max="4" width="19.28515625" customWidth="1"/>
    <col min="5" max="5" width="17.28515625" customWidth="1"/>
    <col min="6" max="6" width="17.42578125" customWidth="1"/>
    <col min="7" max="7" width="14.140625" bestFit="1" customWidth="1"/>
    <col min="8" max="8" width="10.28515625" bestFit="1" customWidth="1"/>
  </cols>
  <sheetData>
    <row r="24" spans="1:6" ht="15.75">
      <c r="A24" s="499" t="s">
        <v>523</v>
      </c>
      <c r="B24" s="500"/>
      <c r="C24" s="500"/>
      <c r="D24" s="500"/>
      <c r="E24" s="500"/>
      <c r="F24" s="501"/>
    </row>
    <row r="25" spans="1:6" ht="15.75">
      <c r="A25" s="502" t="s">
        <v>524</v>
      </c>
      <c r="B25" s="503"/>
      <c r="C25" s="503"/>
      <c r="D25" s="503"/>
      <c r="E25" s="503"/>
      <c r="F25" s="504"/>
    </row>
    <row r="26" spans="1:6" ht="15.75">
      <c r="A26" s="508" t="s">
        <v>525</v>
      </c>
      <c r="B26" s="509"/>
      <c r="C26" s="509"/>
      <c r="D26" s="509"/>
      <c r="E26" s="509"/>
      <c r="F26" s="510"/>
    </row>
    <row r="27" spans="1:6" ht="15.75">
      <c r="A27" s="511"/>
      <c r="B27" s="513" t="s">
        <v>526</v>
      </c>
      <c r="C27" s="514"/>
      <c r="D27" s="514"/>
      <c r="E27" s="515"/>
      <c r="F27" s="499" t="s">
        <v>527</v>
      </c>
    </row>
    <row r="28" spans="1:6" ht="15.75">
      <c r="A28" s="512"/>
      <c r="B28" s="258">
        <v>1</v>
      </c>
      <c r="C28" s="258">
        <v>2</v>
      </c>
      <c r="D28" s="258">
        <v>3</v>
      </c>
      <c r="E28" s="258">
        <v>4</v>
      </c>
      <c r="F28" s="502"/>
    </row>
    <row r="29" spans="1:6">
      <c r="A29" s="52" t="s">
        <v>528</v>
      </c>
      <c r="B29" s="51">
        <v>5000</v>
      </c>
      <c r="C29" s="51">
        <v>7000</v>
      </c>
      <c r="D29" s="51">
        <v>6500</v>
      </c>
      <c r="E29" s="51">
        <v>8000</v>
      </c>
      <c r="F29" s="291">
        <f>SUM(B29:E29)</f>
        <v>26500</v>
      </c>
    </row>
    <row r="30" spans="1:6">
      <c r="A30" s="52" t="s">
        <v>529</v>
      </c>
      <c r="B30" s="259">
        <v>20</v>
      </c>
      <c r="C30" s="259">
        <v>20</v>
      </c>
      <c r="D30" s="259">
        <v>20</v>
      </c>
      <c r="E30" s="259">
        <v>20</v>
      </c>
      <c r="F30" s="292">
        <v>20</v>
      </c>
    </row>
    <row r="31" spans="1:6" ht="15.75">
      <c r="A31" s="260" t="s">
        <v>530</v>
      </c>
      <c r="B31" s="51">
        <f>B29*B30</f>
        <v>100000</v>
      </c>
      <c r="C31" s="51">
        <f t="shared" ref="C31:F31" si="0">C29*C30</f>
        <v>140000</v>
      </c>
      <c r="D31" s="51">
        <f t="shared" si="0"/>
        <v>130000</v>
      </c>
      <c r="E31" s="51">
        <f t="shared" si="0"/>
        <v>160000</v>
      </c>
      <c r="F31" s="291">
        <f t="shared" si="0"/>
        <v>530000</v>
      </c>
    </row>
    <row r="39" spans="1:6" ht="15.75">
      <c r="A39" s="499" t="s">
        <v>531</v>
      </c>
      <c r="B39" s="500"/>
      <c r="C39" s="500"/>
      <c r="D39" s="500"/>
      <c r="E39" s="500"/>
      <c r="F39" s="501"/>
    </row>
    <row r="40" spans="1:6" ht="15.75">
      <c r="A40" s="499" t="s">
        <v>532</v>
      </c>
      <c r="B40" s="500"/>
      <c r="C40" s="500"/>
      <c r="D40" s="500"/>
      <c r="E40" s="500"/>
      <c r="F40" s="501"/>
    </row>
    <row r="41" spans="1:6" ht="15.75">
      <c r="A41" s="502" t="s">
        <v>525</v>
      </c>
      <c r="B41" s="503"/>
      <c r="C41" s="503"/>
      <c r="D41" s="503"/>
      <c r="E41" s="503"/>
      <c r="F41" s="504"/>
    </row>
    <row r="42" spans="1:6" ht="15.75">
      <c r="A42" s="505"/>
      <c r="B42" s="506" t="s">
        <v>526</v>
      </c>
      <c r="C42" s="506"/>
      <c r="D42" s="506"/>
      <c r="E42" s="506"/>
      <c r="F42" s="507" t="s">
        <v>527</v>
      </c>
    </row>
    <row r="43" spans="1:6" ht="15.75">
      <c r="A43" s="265"/>
      <c r="B43" s="262">
        <v>1</v>
      </c>
      <c r="C43" s="263">
        <v>2</v>
      </c>
      <c r="D43" s="263">
        <v>3</v>
      </c>
      <c r="E43" s="264">
        <v>4</v>
      </c>
      <c r="F43" s="295" t="s">
        <v>527</v>
      </c>
    </row>
    <row r="44" spans="1:6" ht="15.75">
      <c r="A44" s="266" t="s">
        <v>22</v>
      </c>
      <c r="B44" s="258">
        <v>5000</v>
      </c>
      <c r="C44" s="258">
        <v>7000</v>
      </c>
      <c r="D44" s="258">
        <v>6500</v>
      </c>
      <c r="E44" s="258">
        <v>8000</v>
      </c>
      <c r="F44" s="293">
        <v>26500</v>
      </c>
    </row>
    <row r="45" spans="1:6" ht="30">
      <c r="A45" s="52" t="s">
        <v>533</v>
      </c>
      <c r="B45" s="51">
        <f>C44*20%</f>
        <v>1400</v>
      </c>
      <c r="C45" s="51">
        <f>D44*20%</f>
        <v>1300</v>
      </c>
      <c r="D45" s="51">
        <f>E44*20%</f>
        <v>1600</v>
      </c>
      <c r="E45" s="51">
        <v>1000</v>
      </c>
      <c r="F45" s="291">
        <f>SUM(B45:E45)</f>
        <v>5300</v>
      </c>
    </row>
    <row r="46" spans="1:6">
      <c r="A46" s="52" t="s">
        <v>534</v>
      </c>
      <c r="B46" s="259">
        <v>6400</v>
      </c>
      <c r="C46" s="259">
        <v>8300</v>
      </c>
      <c r="D46" s="259">
        <v>8100</v>
      </c>
      <c r="E46" s="259">
        <v>9000</v>
      </c>
      <c r="F46" s="291">
        <f>F44+F45</f>
        <v>31800</v>
      </c>
    </row>
    <row r="47" spans="1:6" ht="31.5">
      <c r="A47" s="260" t="s">
        <v>535</v>
      </c>
      <c r="B47" s="51">
        <f>E45</f>
        <v>1000</v>
      </c>
      <c r="C47" s="51">
        <f>B45</f>
        <v>1400</v>
      </c>
      <c r="D47" s="51">
        <f t="shared" ref="D47:E47" si="1">C45</f>
        <v>1300</v>
      </c>
      <c r="E47" s="51">
        <f t="shared" si="1"/>
        <v>1600</v>
      </c>
      <c r="F47" s="291">
        <f>SUM(B47:E47)</f>
        <v>5300</v>
      </c>
    </row>
    <row r="48" spans="1:6" ht="15" customHeight="1">
      <c r="A48" s="270" t="s">
        <v>536</v>
      </c>
      <c r="B48" s="271">
        <v>5400</v>
      </c>
      <c r="C48" s="271">
        <v>6900</v>
      </c>
      <c r="D48" s="271">
        <v>6800</v>
      </c>
      <c r="E48" s="271">
        <v>7400</v>
      </c>
      <c r="F48" s="296">
        <f>F46-F47</f>
        <v>26500</v>
      </c>
    </row>
    <row r="61" spans="1:6" ht="15.75" customHeight="1">
      <c r="A61" s="480" t="s">
        <v>531</v>
      </c>
      <c r="B61" s="481"/>
      <c r="C61" s="481"/>
      <c r="D61" s="481"/>
      <c r="E61" s="481"/>
      <c r="F61" s="497"/>
    </row>
    <row r="62" spans="1:6" ht="15.75" customHeight="1">
      <c r="A62" s="482" t="s">
        <v>597</v>
      </c>
      <c r="B62" s="483"/>
      <c r="C62" s="483"/>
      <c r="D62" s="483"/>
      <c r="E62" s="483"/>
      <c r="F62" s="498"/>
    </row>
    <row r="63" spans="1:6" ht="15.75" customHeight="1">
      <c r="A63" s="484" t="s">
        <v>537</v>
      </c>
      <c r="B63" s="486" t="s">
        <v>526</v>
      </c>
      <c r="C63" s="487"/>
      <c r="D63" s="487"/>
      <c r="E63" s="488"/>
      <c r="F63" s="480" t="s">
        <v>527</v>
      </c>
    </row>
    <row r="64" spans="1:6" ht="15.75">
      <c r="A64" s="485"/>
      <c r="B64" s="261">
        <v>1</v>
      </c>
      <c r="C64" s="261">
        <v>2</v>
      </c>
      <c r="D64" s="261">
        <v>3</v>
      </c>
      <c r="E64" s="261">
        <v>4</v>
      </c>
      <c r="F64" s="489"/>
    </row>
    <row r="65" spans="1:8" ht="31.5">
      <c r="A65" s="2" t="s">
        <v>538</v>
      </c>
      <c r="B65" s="3">
        <f>B48</f>
        <v>5400</v>
      </c>
      <c r="C65" s="3">
        <f>C48</f>
        <v>6900</v>
      </c>
      <c r="D65" s="3">
        <f>D48</f>
        <v>6800</v>
      </c>
      <c r="E65" s="3">
        <f>E48</f>
        <v>7400</v>
      </c>
      <c r="F65" s="3">
        <f>SUM(B65:E65)</f>
        <v>26500</v>
      </c>
    </row>
    <row r="66" spans="1:8" ht="31.5">
      <c r="A66" s="2" t="s">
        <v>539</v>
      </c>
      <c r="B66" s="267">
        <v>120</v>
      </c>
      <c r="C66" s="267">
        <v>120</v>
      </c>
      <c r="D66" s="267">
        <v>120</v>
      </c>
      <c r="E66" s="267">
        <v>120</v>
      </c>
      <c r="F66" s="267">
        <v>120</v>
      </c>
    </row>
    <row r="67" spans="1:8" ht="15.75">
      <c r="A67" s="2" t="s">
        <v>540</v>
      </c>
      <c r="B67" s="3">
        <f>B65*B66</f>
        <v>648000</v>
      </c>
      <c r="C67" s="3">
        <f t="shared" ref="C67:E67" si="2">C65*C66</f>
        <v>828000</v>
      </c>
      <c r="D67" s="3">
        <f t="shared" si="2"/>
        <v>816000</v>
      </c>
      <c r="E67" s="3">
        <f t="shared" si="2"/>
        <v>888000</v>
      </c>
      <c r="F67" s="3">
        <f>F65*F66</f>
        <v>3180000</v>
      </c>
      <c r="G67" s="34">
        <f>SUM(B67:E67)-F67</f>
        <v>0</v>
      </c>
    </row>
    <row r="68" spans="1:8" ht="31.5">
      <c r="A68" s="2" t="s">
        <v>541</v>
      </c>
      <c r="B68" s="272">
        <f>(C65*C66)*10%</f>
        <v>82800</v>
      </c>
      <c r="C68" s="272">
        <f t="shared" ref="C68:D68" si="3">D65*D66*10%</f>
        <v>81600</v>
      </c>
      <c r="D68" s="272">
        <f t="shared" si="3"/>
        <v>88800</v>
      </c>
      <c r="E68" s="272">
        <f>$B$65*125*10%</f>
        <v>67500</v>
      </c>
      <c r="F68" s="272">
        <f>E68</f>
        <v>67500</v>
      </c>
      <c r="G68" s="69"/>
    </row>
    <row r="69" spans="1:8" ht="15.75">
      <c r="A69" s="24" t="s">
        <v>542</v>
      </c>
      <c r="B69" s="268">
        <f>B67+B68</f>
        <v>730800</v>
      </c>
      <c r="C69" s="268">
        <f t="shared" ref="C69:E69" si="4">C67+C68</f>
        <v>909600</v>
      </c>
      <c r="D69" s="268">
        <f t="shared" si="4"/>
        <v>904800</v>
      </c>
      <c r="E69" s="268">
        <f t="shared" si="4"/>
        <v>955500</v>
      </c>
      <c r="F69" s="268">
        <f>F67+F68</f>
        <v>3247500</v>
      </c>
      <c r="G69" s="34"/>
      <c r="H69" s="34"/>
    </row>
    <row r="70" spans="1:8" ht="15.75">
      <c r="A70" s="2" t="s">
        <v>535</v>
      </c>
      <c r="B70" s="269">
        <v>100000</v>
      </c>
      <c r="C70" s="269">
        <f>B68</f>
        <v>82800</v>
      </c>
      <c r="D70" s="269">
        <f t="shared" ref="D70:E70" si="5">C68</f>
        <v>81600</v>
      </c>
      <c r="E70" s="269">
        <f t="shared" si="5"/>
        <v>88800</v>
      </c>
      <c r="F70" s="269">
        <f>B70</f>
        <v>100000</v>
      </c>
    </row>
    <row r="71" spans="1:8" ht="31.5">
      <c r="A71" s="2" t="s">
        <v>543</v>
      </c>
      <c r="B71" s="269">
        <f>B69-B70</f>
        <v>630800</v>
      </c>
      <c r="C71" s="269">
        <f t="shared" ref="C71:E71" si="6">C69-C70</f>
        <v>826800</v>
      </c>
      <c r="D71" s="269">
        <f t="shared" si="6"/>
        <v>823200</v>
      </c>
      <c r="E71" s="269">
        <f t="shared" si="6"/>
        <v>866700</v>
      </c>
      <c r="F71" s="269">
        <f>F69-F70</f>
        <v>3147500</v>
      </c>
      <c r="G71" s="34">
        <f>SUM(B71:E71)-F71</f>
        <v>0</v>
      </c>
    </row>
    <row r="72" spans="1:8" ht="15.75">
      <c r="A72" s="2" t="s">
        <v>544</v>
      </c>
      <c r="B72" s="269">
        <v>5</v>
      </c>
      <c r="C72" s="269">
        <v>5</v>
      </c>
      <c r="D72" s="269">
        <v>5</v>
      </c>
      <c r="E72" s="269">
        <v>5</v>
      </c>
      <c r="F72" s="269">
        <v>5</v>
      </c>
    </row>
    <row r="73" spans="1:8" ht="31.5">
      <c r="A73" s="24" t="s">
        <v>545</v>
      </c>
      <c r="B73" s="269">
        <f>(B71/B66)*B72</f>
        <v>26283.333333333336</v>
      </c>
      <c r="C73" s="269">
        <f t="shared" ref="C73:E73" si="7">(C71/C66)*C72</f>
        <v>34450</v>
      </c>
      <c r="D73" s="269">
        <f t="shared" si="7"/>
        <v>34300</v>
      </c>
      <c r="E73" s="269">
        <f t="shared" si="7"/>
        <v>36112.5</v>
      </c>
      <c r="F73" s="269">
        <f>SUM(B73:E73)</f>
        <v>131145.83333333334</v>
      </c>
      <c r="G73" s="34">
        <f>SUM(B73:E73)-F73</f>
        <v>0</v>
      </c>
    </row>
    <row r="74" spans="1:8" ht="15.75">
      <c r="A74" s="287"/>
      <c r="B74" s="288"/>
      <c r="C74" s="288"/>
      <c r="D74" s="288"/>
      <c r="E74" s="288"/>
      <c r="F74" s="288"/>
    </row>
    <row r="75" spans="1:8" ht="15.75">
      <c r="A75" s="480" t="s">
        <v>531</v>
      </c>
      <c r="B75" s="481"/>
      <c r="C75" s="481"/>
      <c r="D75" s="481"/>
      <c r="E75" s="481"/>
      <c r="F75" s="481"/>
    </row>
    <row r="76" spans="1:8" ht="15.75" customHeight="1">
      <c r="A76" s="482" t="s">
        <v>596</v>
      </c>
      <c r="B76" s="483"/>
      <c r="C76" s="483"/>
      <c r="D76" s="483"/>
      <c r="E76" s="483"/>
      <c r="F76" s="483"/>
    </row>
    <row r="77" spans="1:8" ht="15.75">
      <c r="A77" s="484" t="s">
        <v>537</v>
      </c>
      <c r="B77" s="486" t="s">
        <v>526</v>
      </c>
      <c r="C77" s="487"/>
      <c r="D77" s="487"/>
      <c r="E77" s="488"/>
      <c r="F77" s="480" t="s">
        <v>527</v>
      </c>
    </row>
    <row r="78" spans="1:8" ht="15.75">
      <c r="A78" s="485"/>
      <c r="B78" s="261">
        <v>1</v>
      </c>
      <c r="C78" s="261">
        <v>2</v>
      </c>
      <c r="D78" s="261">
        <v>3</v>
      </c>
      <c r="E78" s="261">
        <v>4</v>
      </c>
      <c r="F78" s="489"/>
    </row>
    <row r="79" spans="1:8" ht="31.5">
      <c r="A79" s="2" t="s">
        <v>538</v>
      </c>
      <c r="B79" s="3">
        <f>B65</f>
        <v>5400</v>
      </c>
      <c r="C79" s="3">
        <f t="shared" ref="C79:E79" si="8">C65</f>
        <v>6900</v>
      </c>
      <c r="D79" s="3">
        <f t="shared" si="8"/>
        <v>6800</v>
      </c>
      <c r="E79" s="3">
        <f t="shared" si="8"/>
        <v>7400</v>
      </c>
      <c r="F79" s="3">
        <f>SUM(B79:E79)</f>
        <v>26500</v>
      </c>
    </row>
    <row r="80" spans="1:8" ht="31.5">
      <c r="A80" s="2" t="s">
        <v>539</v>
      </c>
      <c r="B80" s="267">
        <v>1</v>
      </c>
      <c r="C80" s="267">
        <v>1</v>
      </c>
      <c r="D80" s="267">
        <v>1</v>
      </c>
      <c r="E80" s="267">
        <v>1</v>
      </c>
      <c r="F80" s="267">
        <v>1</v>
      </c>
    </row>
    <row r="81" spans="1:7" ht="15.75">
      <c r="A81" s="2" t="s">
        <v>540</v>
      </c>
      <c r="B81" s="3">
        <f>B79*B80</f>
        <v>5400</v>
      </c>
      <c r="C81" s="3">
        <f t="shared" ref="C81:E81" si="9">C79*C80</f>
        <v>6900</v>
      </c>
      <c r="D81" s="3">
        <f t="shared" si="9"/>
        <v>6800</v>
      </c>
      <c r="E81" s="3">
        <f t="shared" si="9"/>
        <v>7400</v>
      </c>
      <c r="F81" s="3">
        <f>SUM(B81:E81)</f>
        <v>26500</v>
      </c>
      <c r="G81" s="34">
        <f>SUM(B81:E81)-F81</f>
        <v>0</v>
      </c>
    </row>
    <row r="82" spans="1:7" ht="31.5">
      <c r="A82" s="2" t="s">
        <v>541</v>
      </c>
      <c r="B82" s="272">
        <f>C81*C80*10%</f>
        <v>690</v>
      </c>
      <c r="C82" s="272">
        <f t="shared" ref="C82:D82" si="10">D81*D80*10%</f>
        <v>680</v>
      </c>
      <c r="D82" s="272">
        <f t="shared" si="10"/>
        <v>740</v>
      </c>
      <c r="E82" s="272">
        <f>$B$79*$B$80*10%</f>
        <v>540</v>
      </c>
      <c r="F82" s="272">
        <f>E82</f>
        <v>540</v>
      </c>
    </row>
    <row r="83" spans="1:7" ht="15.75">
      <c r="A83" s="24" t="s">
        <v>542</v>
      </c>
      <c r="B83" s="268">
        <f>B81+B82</f>
        <v>6090</v>
      </c>
      <c r="C83" s="268">
        <f t="shared" ref="C83:E83" si="11">C81+C82</f>
        <v>7580</v>
      </c>
      <c r="D83" s="268">
        <f t="shared" si="11"/>
        <v>7540</v>
      </c>
      <c r="E83" s="268">
        <f t="shared" si="11"/>
        <v>7940</v>
      </c>
      <c r="F83" s="268">
        <f>F81+F82</f>
        <v>27040</v>
      </c>
      <c r="G83" s="34"/>
    </row>
    <row r="84" spans="1:7" ht="15.75">
      <c r="A84" s="2" t="s">
        <v>535</v>
      </c>
      <c r="B84" s="269">
        <v>100</v>
      </c>
      <c r="C84" s="269">
        <f>B82</f>
        <v>690</v>
      </c>
      <c r="D84" s="269">
        <f t="shared" ref="D84:E84" si="12">C82</f>
        <v>680</v>
      </c>
      <c r="E84" s="269">
        <f t="shared" si="12"/>
        <v>740</v>
      </c>
      <c r="F84" s="269">
        <f>B84</f>
        <v>100</v>
      </c>
    </row>
    <row r="85" spans="1:7" ht="31.5">
      <c r="A85" s="2" t="s">
        <v>543</v>
      </c>
      <c r="B85" s="269">
        <f>B83-B84</f>
        <v>5990</v>
      </c>
      <c r="C85" s="269">
        <f t="shared" ref="C85:E85" si="13">C83-C84</f>
        <v>6890</v>
      </c>
      <c r="D85" s="269">
        <f t="shared" si="13"/>
        <v>6860</v>
      </c>
      <c r="E85" s="269">
        <f t="shared" si="13"/>
        <v>7200</v>
      </c>
      <c r="F85" s="269">
        <f>F83-F84</f>
        <v>26940</v>
      </c>
      <c r="G85" s="34">
        <f>SUM(B85:E85)-F85</f>
        <v>0</v>
      </c>
    </row>
    <row r="86" spans="1:7" ht="15.75">
      <c r="A86" s="2" t="s">
        <v>544</v>
      </c>
      <c r="B86" s="290">
        <v>0.2</v>
      </c>
      <c r="C86" s="290">
        <v>0.2</v>
      </c>
      <c r="D86" s="290">
        <v>0.2</v>
      </c>
      <c r="E86" s="290">
        <v>0.2</v>
      </c>
      <c r="F86" s="290">
        <v>0.2</v>
      </c>
    </row>
    <row r="87" spans="1:7" ht="31.5">
      <c r="A87" s="24" t="s">
        <v>545</v>
      </c>
      <c r="B87" s="269">
        <f>B85*B86</f>
        <v>1198</v>
      </c>
      <c r="C87" s="269">
        <f t="shared" ref="C87:E87" si="14">C85*C86</f>
        <v>1378</v>
      </c>
      <c r="D87" s="269">
        <f t="shared" si="14"/>
        <v>1372</v>
      </c>
      <c r="E87" s="269">
        <f t="shared" si="14"/>
        <v>1440</v>
      </c>
      <c r="F87" s="269">
        <f>SUM(B87:E87)</f>
        <v>5388</v>
      </c>
      <c r="G87" s="34">
        <f>SUM(B87:E87)-F87</f>
        <v>0</v>
      </c>
    </row>
    <row r="88" spans="1:7" ht="10.5" customHeight="1">
      <c r="A88" s="287"/>
      <c r="B88" s="288"/>
      <c r="C88" s="288"/>
      <c r="D88" s="288"/>
      <c r="E88" s="288"/>
      <c r="F88" s="288"/>
    </row>
    <row r="89" spans="1:7" ht="42.75" customHeight="1">
      <c r="A89" s="289" t="s">
        <v>598</v>
      </c>
      <c r="B89" s="269">
        <f>B73+B87</f>
        <v>27481.333333333336</v>
      </c>
      <c r="C89" s="269">
        <f t="shared" ref="C89:F89" si="15">C73+C87</f>
        <v>35828</v>
      </c>
      <c r="D89" s="269">
        <f t="shared" si="15"/>
        <v>35672</v>
      </c>
      <c r="E89" s="269">
        <f t="shared" si="15"/>
        <v>37552.5</v>
      </c>
      <c r="F89" s="269">
        <f t="shared" si="15"/>
        <v>136533.83333333334</v>
      </c>
      <c r="G89" s="34">
        <f>SUM(B89:E89)-F89</f>
        <v>0</v>
      </c>
    </row>
    <row r="96" spans="1:7" ht="15.75">
      <c r="A96" s="493" t="s">
        <v>531</v>
      </c>
      <c r="B96" s="493"/>
      <c r="C96" s="493"/>
      <c r="D96" s="493"/>
      <c r="E96" s="493"/>
      <c r="F96" s="493"/>
    </row>
    <row r="97" spans="1:6" ht="15.75">
      <c r="A97" s="493" t="s">
        <v>546</v>
      </c>
      <c r="B97" s="493"/>
      <c r="C97" s="493"/>
      <c r="D97" s="493"/>
      <c r="E97" s="493"/>
      <c r="F97" s="493"/>
    </row>
    <row r="98" spans="1:6" ht="15.75">
      <c r="A98" s="493" t="s">
        <v>525</v>
      </c>
      <c r="B98" s="493"/>
      <c r="C98" s="493"/>
      <c r="D98" s="493"/>
      <c r="E98" s="493"/>
      <c r="F98" s="493"/>
    </row>
    <row r="99" spans="1:6" ht="15.75">
      <c r="A99" s="491"/>
      <c r="B99" s="493" t="s">
        <v>526</v>
      </c>
      <c r="C99" s="493"/>
      <c r="D99" s="493"/>
      <c r="E99" s="493"/>
      <c r="F99" s="494" t="s">
        <v>527</v>
      </c>
    </row>
    <row r="100" spans="1:6" ht="15.75">
      <c r="A100" s="491"/>
      <c r="B100" s="273">
        <v>1</v>
      </c>
      <c r="C100" s="273">
        <v>2</v>
      </c>
      <c r="D100" s="273">
        <v>3</v>
      </c>
      <c r="E100" s="273">
        <v>4</v>
      </c>
      <c r="F100" s="494"/>
    </row>
    <row r="101" spans="1:6" ht="30">
      <c r="A101" s="52" t="s">
        <v>547</v>
      </c>
      <c r="B101" s="51">
        <f>B65</f>
        <v>5400</v>
      </c>
      <c r="C101" s="51">
        <f>C65</f>
        <v>6900</v>
      </c>
      <c r="D101" s="51">
        <f>D65</f>
        <v>6800</v>
      </c>
      <c r="E101" s="51">
        <f>E65</f>
        <v>7400</v>
      </c>
      <c r="F101" s="291">
        <f>SUM(B101:E101)</f>
        <v>26500</v>
      </c>
    </row>
    <row r="102" spans="1:6">
      <c r="A102" s="52" t="s">
        <v>548</v>
      </c>
      <c r="B102" s="259">
        <v>0.12</v>
      </c>
      <c r="C102" s="259">
        <v>0.12</v>
      </c>
      <c r="D102" s="259">
        <v>0.12</v>
      </c>
      <c r="E102" s="259">
        <v>0.12</v>
      </c>
      <c r="F102" s="292">
        <v>0.12</v>
      </c>
    </row>
    <row r="103" spans="1:6" ht="31.5">
      <c r="A103" s="260" t="s">
        <v>549</v>
      </c>
      <c r="B103" s="259">
        <f>B101*B102</f>
        <v>648</v>
      </c>
      <c r="C103" s="259">
        <f t="shared" ref="C103:E103" si="16">C101*C102</f>
        <v>828</v>
      </c>
      <c r="D103" s="259">
        <f t="shared" si="16"/>
        <v>816</v>
      </c>
      <c r="E103" s="259">
        <f t="shared" si="16"/>
        <v>888</v>
      </c>
      <c r="F103" s="291">
        <f>SUM(B103:E103)</f>
        <v>3180</v>
      </c>
    </row>
    <row r="104" spans="1:6">
      <c r="A104" s="52" t="s">
        <v>550</v>
      </c>
      <c r="B104" s="259">
        <v>12</v>
      </c>
      <c r="C104" s="259">
        <v>12</v>
      </c>
      <c r="D104" s="259">
        <v>12</v>
      </c>
      <c r="E104" s="259">
        <v>12</v>
      </c>
      <c r="F104" s="292">
        <v>12</v>
      </c>
    </row>
    <row r="105" spans="1:6" ht="31.5">
      <c r="A105" s="260" t="s">
        <v>551</v>
      </c>
      <c r="B105" s="51">
        <f>B103*B104</f>
        <v>7776</v>
      </c>
      <c r="C105" s="51">
        <f t="shared" ref="C105:F105" si="17">C103*C104</f>
        <v>9936</v>
      </c>
      <c r="D105" s="51">
        <f t="shared" si="17"/>
        <v>9792</v>
      </c>
      <c r="E105" s="51">
        <f t="shared" si="17"/>
        <v>10656</v>
      </c>
      <c r="F105" s="291">
        <f t="shared" si="17"/>
        <v>38160</v>
      </c>
    </row>
    <row r="112" spans="1:6" ht="15.75">
      <c r="A112" s="493" t="s">
        <v>531</v>
      </c>
      <c r="B112" s="493"/>
      <c r="C112" s="493"/>
      <c r="D112" s="493"/>
      <c r="E112" s="493"/>
      <c r="F112" s="493"/>
    </row>
    <row r="113" spans="1:6" ht="15.75">
      <c r="A113" s="493" t="s">
        <v>552</v>
      </c>
      <c r="B113" s="493"/>
      <c r="C113" s="493"/>
      <c r="D113" s="493"/>
      <c r="E113" s="493"/>
      <c r="F113" s="493"/>
    </row>
    <row r="114" spans="1:6" ht="15" customHeight="1">
      <c r="A114" s="493" t="s">
        <v>525</v>
      </c>
      <c r="B114" s="493"/>
      <c r="C114" s="493"/>
      <c r="D114" s="493"/>
      <c r="E114" s="493"/>
      <c r="F114" s="493"/>
    </row>
    <row r="115" spans="1:6" ht="15" customHeight="1">
      <c r="A115" s="491"/>
      <c r="B115" s="493" t="s">
        <v>526</v>
      </c>
      <c r="C115" s="493"/>
      <c r="D115" s="493"/>
      <c r="E115" s="493"/>
      <c r="F115" s="494" t="s">
        <v>527</v>
      </c>
    </row>
    <row r="116" spans="1:6" ht="15.75" customHeight="1">
      <c r="A116" s="491"/>
      <c r="B116" s="273">
        <v>1</v>
      </c>
      <c r="C116" s="273">
        <v>2</v>
      </c>
      <c r="D116" s="273">
        <v>3</v>
      </c>
      <c r="E116" s="273">
        <v>4</v>
      </c>
      <c r="F116" s="494"/>
    </row>
    <row r="117" spans="1:6" ht="30">
      <c r="A117" s="52" t="s">
        <v>553</v>
      </c>
      <c r="B117" s="115">
        <f>B103</f>
        <v>648</v>
      </c>
      <c r="C117" s="115">
        <f t="shared" ref="C117:E117" si="18">C103</f>
        <v>828</v>
      </c>
      <c r="D117" s="115">
        <f t="shared" si="18"/>
        <v>816</v>
      </c>
      <c r="E117" s="115">
        <f t="shared" si="18"/>
        <v>888</v>
      </c>
      <c r="F117" s="294">
        <v>3180</v>
      </c>
    </row>
    <row r="118" spans="1:6">
      <c r="A118" s="52" t="s">
        <v>554</v>
      </c>
      <c r="B118" s="115">
        <v>7</v>
      </c>
      <c r="C118" s="115">
        <v>7</v>
      </c>
      <c r="D118" s="115">
        <v>7</v>
      </c>
      <c r="E118" s="115">
        <v>7</v>
      </c>
      <c r="F118" s="294">
        <v>7</v>
      </c>
    </row>
    <row r="119" spans="1:6" ht="15.75">
      <c r="A119" s="274" t="s">
        <v>556</v>
      </c>
      <c r="B119" s="115">
        <f>B117*B118</f>
        <v>4536</v>
      </c>
      <c r="C119" s="115">
        <f t="shared" ref="C119:F119" si="19">C117*C118</f>
        <v>5796</v>
      </c>
      <c r="D119" s="115">
        <f t="shared" si="19"/>
        <v>5712</v>
      </c>
      <c r="E119" s="115">
        <f t="shared" si="19"/>
        <v>6216</v>
      </c>
      <c r="F119" s="294">
        <f t="shared" si="19"/>
        <v>22260</v>
      </c>
    </row>
    <row r="120" spans="1:6">
      <c r="A120" s="52" t="s">
        <v>555</v>
      </c>
      <c r="B120" s="115">
        <v>1000</v>
      </c>
      <c r="C120" s="115">
        <v>1000</v>
      </c>
      <c r="D120" s="115">
        <v>1000</v>
      </c>
      <c r="E120" s="115">
        <v>1000</v>
      </c>
      <c r="F120" s="294">
        <v>4000</v>
      </c>
    </row>
    <row r="121" spans="1:6" ht="15.75">
      <c r="A121" s="260" t="s">
        <v>557</v>
      </c>
      <c r="B121" s="115">
        <f>SUM(B119:B120)</f>
        <v>5536</v>
      </c>
      <c r="C121" s="115">
        <f t="shared" ref="C121:F121" si="20">SUM(C119:C120)</f>
        <v>6796</v>
      </c>
      <c r="D121" s="115">
        <f t="shared" si="20"/>
        <v>6712</v>
      </c>
      <c r="E121" s="115">
        <f t="shared" si="20"/>
        <v>7216</v>
      </c>
      <c r="F121" s="294">
        <f t="shared" si="20"/>
        <v>26260</v>
      </c>
    </row>
    <row r="126" spans="1:6" ht="15" customHeight="1">
      <c r="A126" s="495" t="s">
        <v>531</v>
      </c>
      <c r="B126" s="495"/>
    </row>
    <row r="127" spans="1:6" ht="15" customHeight="1">
      <c r="A127" s="495" t="s">
        <v>558</v>
      </c>
      <c r="B127" s="495"/>
    </row>
    <row r="128" spans="1:6" ht="30" customHeight="1">
      <c r="A128" s="495" t="s">
        <v>525</v>
      </c>
      <c r="B128" s="495"/>
    </row>
    <row r="129" spans="1:6">
      <c r="A129" s="496" t="s">
        <v>559</v>
      </c>
      <c r="B129" s="495" t="s">
        <v>527</v>
      </c>
    </row>
    <row r="130" spans="1:6">
      <c r="A130" s="496"/>
      <c r="B130" s="495"/>
    </row>
    <row r="131" spans="1:6" ht="47.25">
      <c r="A131" s="275" t="s">
        <v>560</v>
      </c>
      <c r="B131" s="276">
        <f>5+0.2</f>
        <v>5.2</v>
      </c>
    </row>
    <row r="132" spans="1:6" ht="31.5">
      <c r="A132" s="275" t="s">
        <v>561</v>
      </c>
      <c r="B132" s="276">
        <f>0.12*12</f>
        <v>1.44</v>
      </c>
    </row>
    <row r="133" spans="1:6" ht="15.75">
      <c r="A133" s="492" t="s">
        <v>562</v>
      </c>
      <c r="B133" s="492"/>
    </row>
    <row r="134" spans="1:6" ht="31.5">
      <c r="A134" s="275" t="s">
        <v>563</v>
      </c>
      <c r="B134" s="276">
        <f>0.12*7</f>
        <v>0.84</v>
      </c>
    </row>
    <row r="135" spans="1:6" ht="15.75">
      <c r="A135" s="277" t="s">
        <v>565</v>
      </c>
      <c r="B135" s="276">
        <f>0.12*(4000/3180)</f>
        <v>0.15094339622641509</v>
      </c>
    </row>
    <row r="136" spans="1:6" ht="15.75">
      <c r="A136" s="277" t="s">
        <v>564</v>
      </c>
      <c r="B136" s="276">
        <f>SUM(B131:B132,B134:B135)</f>
        <v>7.6309433962264155</v>
      </c>
    </row>
    <row r="139" spans="1:6" ht="15.75">
      <c r="A139" s="490" t="s">
        <v>566</v>
      </c>
      <c r="B139" s="490"/>
      <c r="C139" s="490"/>
      <c r="D139" s="490"/>
      <c r="E139" s="490"/>
      <c r="F139" s="490"/>
    </row>
    <row r="140" spans="1:6" ht="15" customHeight="1">
      <c r="A140" s="490" t="s">
        <v>567</v>
      </c>
      <c r="B140" s="490"/>
      <c r="C140" s="490"/>
      <c r="D140" s="490"/>
      <c r="E140" s="490"/>
      <c r="F140" s="490"/>
    </row>
    <row r="141" spans="1:6" ht="15" customHeight="1">
      <c r="A141" s="490" t="s">
        <v>525</v>
      </c>
      <c r="B141" s="490"/>
      <c r="C141" s="490"/>
      <c r="D141" s="490"/>
      <c r="E141" s="490"/>
      <c r="F141" s="490"/>
    </row>
    <row r="142" spans="1:6" ht="15" customHeight="1">
      <c r="A142" s="491"/>
      <c r="B142" s="490" t="s">
        <v>526</v>
      </c>
      <c r="C142" s="490"/>
      <c r="D142" s="490"/>
      <c r="E142" s="490"/>
      <c r="F142" s="490" t="s">
        <v>527</v>
      </c>
    </row>
    <row r="143" spans="1:6" ht="15.75" customHeight="1">
      <c r="A143" s="491"/>
      <c r="B143" s="297">
        <v>1</v>
      </c>
      <c r="C143" s="297">
        <v>2</v>
      </c>
      <c r="D143" s="297">
        <v>3</v>
      </c>
      <c r="E143" s="297">
        <v>4</v>
      </c>
      <c r="F143" s="490"/>
    </row>
    <row r="144" spans="1:6" ht="31.5">
      <c r="A144" s="2" t="s">
        <v>568</v>
      </c>
      <c r="B144" s="278">
        <f>B29</f>
        <v>5000</v>
      </c>
      <c r="C144" s="278">
        <f>C29</f>
        <v>7000</v>
      </c>
      <c r="D144" s="278">
        <f>D29</f>
        <v>6500</v>
      </c>
      <c r="E144" s="278">
        <f>E29</f>
        <v>8000</v>
      </c>
      <c r="F144" s="278">
        <f>SUM(B144:E144)</f>
        <v>26500</v>
      </c>
    </row>
    <row r="145" spans="1:6" ht="31.5">
      <c r="A145" s="2" t="s">
        <v>569</v>
      </c>
      <c r="B145" s="298">
        <v>0.1</v>
      </c>
      <c r="C145" s="298">
        <v>0.1</v>
      </c>
      <c r="D145" s="298">
        <v>0.1</v>
      </c>
      <c r="E145" s="298">
        <v>0.1</v>
      </c>
      <c r="F145" s="298">
        <v>0.1</v>
      </c>
    </row>
    <row r="146" spans="1:6" ht="15.75">
      <c r="A146" s="2" t="s">
        <v>570</v>
      </c>
      <c r="B146" s="115">
        <f>B144*B145</f>
        <v>500</v>
      </c>
      <c r="C146" s="115">
        <f t="shared" ref="C146:F146" si="21">C144*C145</f>
        <v>700</v>
      </c>
      <c r="D146" s="115">
        <f t="shared" si="21"/>
        <v>650</v>
      </c>
      <c r="E146" s="115">
        <f t="shared" si="21"/>
        <v>800</v>
      </c>
      <c r="F146" s="115">
        <f t="shared" si="21"/>
        <v>2650</v>
      </c>
    </row>
    <row r="147" spans="1:6" ht="31.5">
      <c r="A147" s="2" t="s">
        <v>571</v>
      </c>
      <c r="B147" s="280"/>
      <c r="C147" s="280"/>
      <c r="D147" s="280"/>
      <c r="E147" s="280"/>
      <c r="F147" s="280"/>
    </row>
    <row r="148" spans="1:6" ht="15.75">
      <c r="A148" s="24" t="s">
        <v>572</v>
      </c>
      <c r="B148" s="115">
        <v>2000</v>
      </c>
      <c r="C148" s="115">
        <v>2000</v>
      </c>
      <c r="D148" s="115">
        <v>2000</v>
      </c>
      <c r="E148" s="115">
        <v>2000</v>
      </c>
      <c r="F148" s="115">
        <v>8000</v>
      </c>
    </row>
    <row r="149" spans="1:6" ht="15" customHeight="1">
      <c r="A149" s="2" t="s">
        <v>573</v>
      </c>
      <c r="B149" s="115">
        <v>100</v>
      </c>
      <c r="C149" s="115">
        <v>100</v>
      </c>
      <c r="D149" s="115">
        <v>100</v>
      </c>
      <c r="E149" s="115">
        <v>100</v>
      </c>
      <c r="F149" s="115">
        <v>400</v>
      </c>
    </row>
    <row r="150" spans="1:6" ht="15" customHeight="1">
      <c r="A150" s="2" t="s">
        <v>574</v>
      </c>
      <c r="B150" s="115">
        <v>500</v>
      </c>
      <c r="C150" s="115">
        <v>500</v>
      </c>
      <c r="D150" s="115">
        <v>500</v>
      </c>
      <c r="E150" s="115">
        <v>500</v>
      </c>
      <c r="F150" s="115">
        <v>2000</v>
      </c>
    </row>
    <row r="151" spans="1:6" ht="15" customHeight="1">
      <c r="A151" s="2" t="s">
        <v>575</v>
      </c>
      <c r="B151" s="115">
        <v>300</v>
      </c>
      <c r="C151" s="115">
        <v>300</v>
      </c>
      <c r="D151" s="115">
        <v>300</v>
      </c>
      <c r="E151" s="115">
        <v>300</v>
      </c>
      <c r="F151" s="115">
        <v>1200</v>
      </c>
    </row>
    <row r="152" spans="1:6" ht="15" customHeight="1">
      <c r="A152" s="24" t="s">
        <v>576</v>
      </c>
      <c r="B152" s="115">
        <v>100</v>
      </c>
      <c r="C152" s="115">
        <v>100</v>
      </c>
      <c r="D152" s="115">
        <v>100</v>
      </c>
      <c r="E152" s="115">
        <v>100</v>
      </c>
      <c r="F152" s="115">
        <v>100</v>
      </c>
    </row>
    <row r="153" spans="1:6" ht="15.75">
      <c r="A153" s="24" t="s">
        <v>577</v>
      </c>
      <c r="B153" s="115">
        <f>SUM(B148:B152)</f>
        <v>3000</v>
      </c>
      <c r="C153" s="115">
        <f t="shared" ref="C153:E153" si="22">SUM(C148:C152)</f>
        <v>3000</v>
      </c>
      <c r="D153" s="115">
        <f t="shared" si="22"/>
        <v>3000</v>
      </c>
      <c r="E153" s="115">
        <f t="shared" si="22"/>
        <v>3000</v>
      </c>
      <c r="F153" s="115">
        <f>SUM(F148:F152)</f>
        <v>11700</v>
      </c>
    </row>
    <row r="154" spans="1:6" ht="31.5">
      <c r="A154" s="24" t="s">
        <v>578</v>
      </c>
      <c r="B154" s="115">
        <f>SUM(B153,B146)</f>
        <v>3500</v>
      </c>
      <c r="C154" s="115">
        <f t="shared" ref="C154:E154" si="23">SUM(C153,C146)</f>
        <v>3700</v>
      </c>
      <c r="D154" s="115">
        <f t="shared" si="23"/>
        <v>3650</v>
      </c>
      <c r="E154" s="115">
        <f t="shared" si="23"/>
        <v>3800</v>
      </c>
      <c r="F154" s="115">
        <f>SUM(F153,F146)</f>
        <v>14350</v>
      </c>
    </row>
  </sheetData>
  <mergeCells count="44">
    <mergeCell ref="A39:F39"/>
    <mergeCell ref="A40:F40"/>
    <mergeCell ref="A41:F41"/>
    <mergeCell ref="A42:F42"/>
    <mergeCell ref="A24:F24"/>
    <mergeCell ref="A25:F25"/>
    <mergeCell ref="A26:F26"/>
    <mergeCell ref="A27:A28"/>
    <mergeCell ref="B27:E27"/>
    <mergeCell ref="F27:F28"/>
    <mergeCell ref="A61:F61"/>
    <mergeCell ref="A62:F62"/>
    <mergeCell ref="A63:A64"/>
    <mergeCell ref="B63:E63"/>
    <mergeCell ref="F63:F64"/>
    <mergeCell ref="A96:F96"/>
    <mergeCell ref="A97:F97"/>
    <mergeCell ref="A98:F98"/>
    <mergeCell ref="A99:A100"/>
    <mergeCell ref="B99:E99"/>
    <mergeCell ref="F99:F100"/>
    <mergeCell ref="A133:B133"/>
    <mergeCell ref="A112:F112"/>
    <mergeCell ref="A113:F113"/>
    <mergeCell ref="A114:F114"/>
    <mergeCell ref="A115:A116"/>
    <mergeCell ref="B115:E115"/>
    <mergeCell ref="F115:F116"/>
    <mergeCell ref="A126:B126"/>
    <mergeCell ref="A127:B127"/>
    <mergeCell ref="A128:B128"/>
    <mergeCell ref="A129:A130"/>
    <mergeCell ref="B129:B130"/>
    <mergeCell ref="A139:F139"/>
    <mergeCell ref="A140:F140"/>
    <mergeCell ref="A141:F141"/>
    <mergeCell ref="A142:A143"/>
    <mergeCell ref="B142:E142"/>
    <mergeCell ref="F142:F143"/>
    <mergeCell ref="A75:F75"/>
    <mergeCell ref="A76:F76"/>
    <mergeCell ref="A77:A78"/>
    <mergeCell ref="B77:E77"/>
    <mergeCell ref="F77:F78"/>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EB7FA1-6F08-479E-9FE6-7F9E42CCA527}">
  <sheetPr>
    <tabColor theme="8" tint="0.39997558519241921"/>
  </sheetPr>
  <dimension ref="A9:E40"/>
  <sheetViews>
    <sheetView topLeftCell="A17" zoomScale="96" workbookViewId="0">
      <selection activeCell="H49" sqref="H49"/>
    </sheetView>
  </sheetViews>
  <sheetFormatPr defaultRowHeight="15"/>
  <cols>
    <col min="1" max="1" width="31.7109375" customWidth="1"/>
    <col min="2" max="2" width="12.28515625" customWidth="1"/>
    <col min="3" max="4" width="11" bestFit="1" customWidth="1"/>
    <col min="5" max="5" width="15.140625" bestFit="1" customWidth="1"/>
  </cols>
  <sheetData>
    <row r="9" spans="1:5" ht="15.75">
      <c r="A9" s="282" t="s">
        <v>3</v>
      </c>
      <c r="B9" s="282" t="s">
        <v>579</v>
      </c>
      <c r="C9" s="282" t="s">
        <v>580</v>
      </c>
      <c r="D9" s="282" t="s">
        <v>581</v>
      </c>
      <c r="E9" s="282" t="s">
        <v>582</v>
      </c>
    </row>
    <row r="10" spans="1:5" ht="15.75">
      <c r="A10" s="2" t="s">
        <v>583</v>
      </c>
      <c r="B10" s="272">
        <v>40</v>
      </c>
      <c r="C10" s="272">
        <v>35</v>
      </c>
      <c r="D10" s="272">
        <v>25</v>
      </c>
      <c r="E10" s="272">
        <v>100000</v>
      </c>
    </row>
    <row r="11" spans="1:5" ht="15.75">
      <c r="A11" s="2" t="s">
        <v>584</v>
      </c>
      <c r="B11" s="272">
        <v>30</v>
      </c>
      <c r="C11" s="272">
        <v>25</v>
      </c>
      <c r="D11" s="272">
        <v>20</v>
      </c>
      <c r="E11" s="272">
        <v>75</v>
      </c>
    </row>
    <row r="12" spans="1:5" ht="15.75">
      <c r="A12" s="133"/>
      <c r="B12" s="285"/>
      <c r="C12" s="285"/>
      <c r="D12" s="285"/>
      <c r="E12" s="285"/>
    </row>
    <row r="13" spans="1:5" ht="15.75">
      <c r="A13" s="133"/>
      <c r="B13" s="285"/>
      <c r="C13" s="285"/>
      <c r="D13" s="285"/>
      <c r="E13" s="285"/>
    </row>
    <row r="25" spans="1:5" ht="15.75">
      <c r="A25" s="516" t="s">
        <v>585</v>
      </c>
      <c r="B25" s="516"/>
      <c r="C25" s="516"/>
      <c r="D25" s="516"/>
      <c r="E25" s="516"/>
    </row>
    <row r="26" spans="1:5" ht="15.75">
      <c r="A26" s="516" t="s">
        <v>586</v>
      </c>
      <c r="B26" s="516"/>
      <c r="C26" s="516"/>
      <c r="D26" s="516"/>
      <c r="E26" s="516"/>
    </row>
    <row r="27" spans="1:5" ht="15.75">
      <c r="A27" s="283"/>
      <c r="B27" s="284" t="s">
        <v>579</v>
      </c>
      <c r="C27" s="284" t="s">
        <v>580</v>
      </c>
      <c r="D27" s="284" t="s">
        <v>581</v>
      </c>
      <c r="E27" s="284" t="s">
        <v>582</v>
      </c>
    </row>
    <row r="28" spans="1:5" ht="15.75">
      <c r="A28" s="24" t="s">
        <v>587</v>
      </c>
      <c r="B28" s="278">
        <v>10000</v>
      </c>
      <c r="C28" s="272">
        <f>B33</f>
        <v>20000</v>
      </c>
      <c r="D28" s="272">
        <f>C33</f>
        <v>30000</v>
      </c>
      <c r="E28" s="272">
        <v>10000</v>
      </c>
    </row>
    <row r="29" spans="1:5" ht="15.75">
      <c r="A29" s="2" t="s">
        <v>583</v>
      </c>
      <c r="B29" s="278">
        <v>40000</v>
      </c>
      <c r="C29" s="272">
        <v>35000</v>
      </c>
      <c r="D29" s="272">
        <v>25000</v>
      </c>
      <c r="E29" s="272">
        <f>SUM(B29:D29)</f>
        <v>100000</v>
      </c>
    </row>
    <row r="30" spans="1:5" ht="15.75">
      <c r="A30" s="24" t="s">
        <v>590</v>
      </c>
      <c r="B30" s="278">
        <f>SUM(B28:B29)</f>
        <v>50000</v>
      </c>
      <c r="C30" s="272">
        <f>SUM(C28:C29)</f>
        <v>55000</v>
      </c>
      <c r="D30" s="272">
        <f>SUM(D28:D29)</f>
        <v>55000</v>
      </c>
      <c r="E30" s="272">
        <f>SUM(E28:E29)</f>
        <v>110000</v>
      </c>
    </row>
    <row r="31" spans="1:5" ht="15.75">
      <c r="A31" s="48"/>
      <c r="B31" s="279"/>
      <c r="C31" s="280"/>
      <c r="D31" s="280"/>
      <c r="E31" s="272"/>
    </row>
    <row r="32" spans="1:5" ht="15.75">
      <c r="A32" s="2" t="s">
        <v>584</v>
      </c>
      <c r="B32" s="281">
        <v>-30000</v>
      </c>
      <c r="C32" s="281">
        <v>-25000</v>
      </c>
      <c r="D32" s="281">
        <v>-20000</v>
      </c>
      <c r="E32" s="281">
        <f t="shared" ref="E32" si="0">SUM(B32:D32)</f>
        <v>-75000</v>
      </c>
    </row>
    <row r="33" spans="1:5" ht="15.75">
      <c r="A33" s="24" t="s">
        <v>591</v>
      </c>
      <c r="B33" s="281">
        <f>B30+B32</f>
        <v>20000</v>
      </c>
      <c r="C33" s="281">
        <f>C30+C32</f>
        <v>30000</v>
      </c>
      <c r="D33" s="281">
        <f>D30+D32</f>
        <v>35000</v>
      </c>
      <c r="E33" s="281">
        <f>E30+E32</f>
        <v>35000</v>
      </c>
    </row>
    <row r="34" spans="1:5">
      <c r="A34" s="48"/>
      <c r="B34" s="279"/>
      <c r="C34" s="280"/>
      <c r="D34" s="280"/>
      <c r="E34" s="280"/>
    </row>
    <row r="35" spans="1:5" ht="15.75">
      <c r="A35" s="24" t="s">
        <v>588</v>
      </c>
      <c r="B35" s="279"/>
      <c r="C35" s="280"/>
      <c r="D35" s="280"/>
      <c r="E35" s="280"/>
    </row>
    <row r="36" spans="1:5" ht="15.75">
      <c r="A36" s="2" t="s">
        <v>592</v>
      </c>
      <c r="B36" s="279"/>
      <c r="C36" s="280"/>
      <c r="D36" s="280"/>
      <c r="E36" s="280"/>
    </row>
    <row r="37" spans="1:5" ht="31.5">
      <c r="A37" s="2" t="s">
        <v>593</v>
      </c>
      <c r="B37" s="279"/>
      <c r="C37" s="280"/>
      <c r="D37" s="280"/>
      <c r="E37" s="280"/>
    </row>
    <row r="38" spans="1:5" ht="31.5">
      <c r="A38" s="2" t="s">
        <v>594</v>
      </c>
      <c r="B38" s="279"/>
      <c r="C38" s="280"/>
      <c r="D38" s="280"/>
      <c r="E38" s="280"/>
    </row>
    <row r="39" spans="1:5" ht="15.75">
      <c r="A39" s="24" t="s">
        <v>595</v>
      </c>
      <c r="B39" s="279"/>
      <c r="C39" s="280"/>
      <c r="D39" s="280"/>
      <c r="E39" s="280"/>
    </row>
    <row r="40" spans="1:5" ht="15.75">
      <c r="A40" s="24" t="s">
        <v>589</v>
      </c>
      <c r="B40" s="278">
        <v>20000</v>
      </c>
      <c r="C40" s="272">
        <v>30000</v>
      </c>
      <c r="D40" s="272">
        <v>35000</v>
      </c>
      <c r="E40" s="272">
        <f>E33</f>
        <v>35000</v>
      </c>
    </row>
  </sheetData>
  <mergeCells count="2">
    <mergeCell ref="A25:E25"/>
    <mergeCell ref="A26:E26"/>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C14793-5AC6-474D-A618-666506AFD9B6}">
  <sheetPr>
    <tabColor rgb="FF006666"/>
  </sheetPr>
  <dimension ref="A24:H57"/>
  <sheetViews>
    <sheetView tabSelected="1" topLeftCell="A18" zoomScale="72" workbookViewId="0">
      <selection activeCell="J59" sqref="J59"/>
    </sheetView>
  </sheetViews>
  <sheetFormatPr defaultRowHeight="15"/>
  <cols>
    <col min="1" max="1" width="32.85546875" style="333" customWidth="1"/>
    <col min="2" max="2" width="14.28515625" style="333" bestFit="1" customWidth="1"/>
    <col min="3" max="3" width="24.42578125" style="333" customWidth="1"/>
    <col min="4" max="4" width="14.140625" style="333" bestFit="1" customWidth="1"/>
    <col min="5" max="5" width="19.140625" style="333" customWidth="1"/>
    <col min="6" max="6" width="14.140625" style="333" bestFit="1" customWidth="1"/>
    <col min="7" max="7" width="9.28515625" style="333" bestFit="1" customWidth="1"/>
    <col min="8" max="8" width="25.5703125" style="333" customWidth="1"/>
    <col min="9" max="16384" width="9.140625" style="333"/>
  </cols>
  <sheetData>
    <row r="24" spans="1:8" ht="31.5">
      <c r="A24" s="328" t="s">
        <v>606</v>
      </c>
      <c r="B24" s="329" t="s">
        <v>75</v>
      </c>
      <c r="C24" s="329" t="s">
        <v>607</v>
      </c>
      <c r="D24" s="329" t="s">
        <v>608</v>
      </c>
      <c r="E24" s="329" t="s">
        <v>609</v>
      </c>
      <c r="F24" s="329" t="s">
        <v>610</v>
      </c>
      <c r="G24" s="329" t="s">
        <v>611</v>
      </c>
      <c r="H24" s="330" t="s">
        <v>612</v>
      </c>
    </row>
    <row r="25" spans="1:8" ht="15.75">
      <c r="A25" s="232" t="s">
        <v>579</v>
      </c>
      <c r="B25" s="233">
        <v>15000000</v>
      </c>
      <c r="C25" s="235"/>
      <c r="D25" s="235"/>
      <c r="E25" s="233">
        <v>120000</v>
      </c>
      <c r="F25" s="233">
        <f>C25+D25+E25+15000000</f>
        <v>15120000</v>
      </c>
      <c r="G25" s="331">
        <v>0.06</v>
      </c>
      <c r="H25" s="233">
        <f>F25*G25</f>
        <v>907200</v>
      </c>
    </row>
    <row r="26" spans="1:8" ht="15.75">
      <c r="A26" s="232" t="s">
        <v>580</v>
      </c>
      <c r="B26" s="233">
        <v>15000000</v>
      </c>
      <c r="C26" s="235"/>
      <c r="D26" s="235"/>
      <c r="E26" s="233">
        <v>120000</v>
      </c>
      <c r="F26" s="233">
        <f t="shared" ref="F26:F36" si="0">C26+D26+E26+15000000</f>
        <v>15120000</v>
      </c>
      <c r="G26" s="331">
        <v>0.06</v>
      </c>
      <c r="H26" s="233">
        <f t="shared" ref="H26:H35" si="1">F26*G26</f>
        <v>907200</v>
      </c>
    </row>
    <row r="27" spans="1:8" ht="15.75">
      <c r="A27" s="232" t="s">
        <v>581</v>
      </c>
      <c r="B27" s="233">
        <v>15000000</v>
      </c>
      <c r="C27" s="235"/>
      <c r="D27" s="235"/>
      <c r="E27" s="233">
        <v>120000</v>
      </c>
      <c r="F27" s="233">
        <f t="shared" si="0"/>
        <v>15120000</v>
      </c>
      <c r="G27" s="331">
        <v>0.06</v>
      </c>
      <c r="H27" s="233">
        <f t="shared" si="1"/>
        <v>907200</v>
      </c>
    </row>
    <row r="28" spans="1:8" ht="15.75">
      <c r="A28" s="232" t="s">
        <v>613</v>
      </c>
      <c r="B28" s="233">
        <v>15000000</v>
      </c>
      <c r="C28" s="233">
        <v>15000000</v>
      </c>
      <c r="D28" s="235"/>
      <c r="E28" s="233">
        <v>120000</v>
      </c>
      <c r="F28" s="233">
        <f t="shared" si="0"/>
        <v>30120000</v>
      </c>
      <c r="G28" s="331">
        <v>0.12</v>
      </c>
      <c r="H28" s="233">
        <f t="shared" si="1"/>
        <v>3614400</v>
      </c>
    </row>
    <row r="29" spans="1:8" ht="15.75">
      <c r="A29" s="232" t="s">
        <v>614</v>
      </c>
      <c r="B29" s="233">
        <v>15000000</v>
      </c>
      <c r="C29" s="235"/>
      <c r="D29" s="235"/>
      <c r="E29" s="233">
        <v>120000</v>
      </c>
      <c r="F29" s="233">
        <f t="shared" si="0"/>
        <v>15120000</v>
      </c>
      <c r="G29" s="331">
        <v>0.06</v>
      </c>
      <c r="H29" s="233">
        <f t="shared" si="1"/>
        <v>907200</v>
      </c>
    </row>
    <row r="30" spans="1:8" ht="15.75">
      <c r="A30" s="232" t="s">
        <v>615</v>
      </c>
      <c r="B30" s="233">
        <v>15000000</v>
      </c>
      <c r="C30" s="235"/>
      <c r="D30" s="235"/>
      <c r="E30" s="233">
        <v>120000</v>
      </c>
      <c r="F30" s="233">
        <f t="shared" si="0"/>
        <v>15120000</v>
      </c>
      <c r="G30" s="331">
        <v>0.06</v>
      </c>
      <c r="H30" s="233">
        <f t="shared" si="1"/>
        <v>907200</v>
      </c>
    </row>
    <row r="31" spans="1:8" ht="15.75">
      <c r="A31" s="232" t="s">
        <v>616</v>
      </c>
      <c r="B31" s="233">
        <v>15000000</v>
      </c>
      <c r="C31" s="235"/>
      <c r="D31" s="235"/>
      <c r="E31" s="233">
        <v>120000</v>
      </c>
      <c r="F31" s="233">
        <f t="shared" si="0"/>
        <v>15120000</v>
      </c>
      <c r="G31" s="331">
        <v>0.06</v>
      </c>
      <c r="H31" s="233">
        <f t="shared" si="1"/>
        <v>907200</v>
      </c>
    </row>
    <row r="32" spans="1:8" ht="15.75">
      <c r="A32" s="232" t="s">
        <v>617</v>
      </c>
      <c r="B32" s="233">
        <v>15000000</v>
      </c>
      <c r="C32" s="235"/>
      <c r="D32" s="235"/>
      <c r="E32" s="233">
        <v>120000</v>
      </c>
      <c r="F32" s="233">
        <f t="shared" si="0"/>
        <v>15120000</v>
      </c>
      <c r="G32" s="331">
        <v>0.06</v>
      </c>
      <c r="H32" s="233">
        <f t="shared" si="1"/>
        <v>907200</v>
      </c>
    </row>
    <row r="33" spans="1:8" ht="15.75">
      <c r="A33" s="232" t="s">
        <v>618</v>
      </c>
      <c r="B33" s="233">
        <v>15000000</v>
      </c>
      <c r="C33" s="235"/>
      <c r="D33" s="235"/>
      <c r="E33" s="233">
        <v>120000</v>
      </c>
      <c r="F33" s="233">
        <f t="shared" si="0"/>
        <v>15120000</v>
      </c>
      <c r="G33" s="331">
        <v>0.06</v>
      </c>
      <c r="H33" s="233">
        <f t="shared" si="1"/>
        <v>907200</v>
      </c>
    </row>
    <row r="34" spans="1:8" ht="15.75">
      <c r="A34" s="232" t="s">
        <v>619</v>
      </c>
      <c r="B34" s="233">
        <v>15000000</v>
      </c>
      <c r="C34" s="235"/>
      <c r="D34" s="235"/>
      <c r="E34" s="233">
        <v>120000</v>
      </c>
      <c r="F34" s="233">
        <f t="shared" si="0"/>
        <v>15120000</v>
      </c>
      <c r="G34" s="331">
        <v>0.06</v>
      </c>
      <c r="H34" s="233">
        <f t="shared" si="1"/>
        <v>907200</v>
      </c>
    </row>
    <row r="35" spans="1:8" ht="15.75">
      <c r="A35" s="232" t="s">
        <v>620</v>
      </c>
      <c r="B35" s="233">
        <v>15000000</v>
      </c>
      <c r="C35" s="235"/>
      <c r="D35" s="233">
        <v>15000000</v>
      </c>
      <c r="E35" s="233">
        <v>120000</v>
      </c>
      <c r="F35" s="233">
        <f t="shared" si="0"/>
        <v>30120000</v>
      </c>
      <c r="G35" s="331">
        <v>0.12</v>
      </c>
      <c r="H35" s="233">
        <f t="shared" si="1"/>
        <v>3614400</v>
      </c>
    </row>
    <row r="36" spans="1:8" ht="17.25" customHeight="1">
      <c r="A36" s="338" t="s">
        <v>621</v>
      </c>
      <c r="B36" s="332">
        <v>15000000</v>
      </c>
      <c r="C36" s="339"/>
      <c r="D36" s="339"/>
      <c r="E36" s="332">
        <v>120000</v>
      </c>
      <c r="F36" s="332">
        <f t="shared" si="0"/>
        <v>15120000</v>
      </c>
      <c r="G36" s="339"/>
      <c r="H36" s="332">
        <f>_xlfn.NUMBERVALUE(LEFT(C55,FIND(" ",C55)-1))</f>
        <v>-207600</v>
      </c>
    </row>
    <row r="37" spans="1:8" ht="15.75">
      <c r="A37" s="232" t="s">
        <v>27</v>
      </c>
      <c r="B37" s="233">
        <f t="shared" ref="B37:D37" si="2">SUM(B25:B36)</f>
        <v>180000000</v>
      </c>
      <c r="C37" s="233">
        <f t="shared" si="2"/>
        <v>15000000</v>
      </c>
      <c r="D37" s="233">
        <f t="shared" si="2"/>
        <v>15000000</v>
      </c>
      <c r="E37" s="233">
        <f>SUM(E25:E36)</f>
        <v>1440000</v>
      </c>
      <c r="F37" s="233">
        <f>SUM(F25:F36)</f>
        <v>211440000</v>
      </c>
      <c r="G37" s="235"/>
      <c r="H37" s="233">
        <v>15393600</v>
      </c>
    </row>
    <row r="39" spans="1:8" ht="15.75">
      <c r="A39" s="334" t="s">
        <v>622</v>
      </c>
      <c r="B39" s="340"/>
      <c r="C39" s="344">
        <f>F37</f>
        <v>211440000</v>
      </c>
      <c r="D39"/>
    </row>
    <row r="40" spans="1:8" ht="15.75">
      <c r="A40" s="335" t="s">
        <v>623</v>
      </c>
      <c r="B40" s="342"/>
      <c r="C40" s="345"/>
      <c r="D40"/>
    </row>
    <row r="41" spans="1:8" ht="15.75">
      <c r="A41" s="335" t="s">
        <v>624</v>
      </c>
      <c r="B41" s="341">
        <v>6000000</v>
      </c>
      <c r="C41" s="345"/>
      <c r="D41"/>
    </row>
    <row r="42" spans="1:8" ht="15.75">
      <c r="A42" s="335" t="s">
        <v>625</v>
      </c>
      <c r="B42" s="341">
        <v>1200000</v>
      </c>
      <c r="C42" s="345"/>
      <c r="D42"/>
    </row>
    <row r="43" spans="1:8" ht="15.75">
      <c r="A43" s="335"/>
      <c r="B43" s="342"/>
      <c r="C43" s="344">
        <f>SUM(B41:B42)</f>
        <v>7200000</v>
      </c>
      <c r="D43"/>
    </row>
    <row r="44" spans="1:8" ht="15.75">
      <c r="A44" s="334" t="s">
        <v>626</v>
      </c>
      <c r="B44" s="340"/>
      <c r="C44" s="344">
        <f>C39-C43</f>
        <v>204240000</v>
      </c>
      <c r="D44"/>
    </row>
    <row r="45" spans="1:8" ht="15.75" customHeight="1">
      <c r="A45" s="334" t="s">
        <v>627</v>
      </c>
      <c r="B45" s="340"/>
      <c r="C45" s="345"/>
      <c r="D45"/>
    </row>
    <row r="46" spans="1:8" ht="15.75">
      <c r="A46" s="335" t="s">
        <v>628</v>
      </c>
      <c r="B46" s="341">
        <v>54000000</v>
      </c>
      <c r="C46" s="345"/>
      <c r="D46"/>
    </row>
    <row r="47" spans="1:8" ht="15.75">
      <c r="A47" s="335" t="s">
        <v>629</v>
      </c>
      <c r="B47" s="341">
        <v>9000000</v>
      </c>
      <c r="C47" s="345"/>
      <c r="D47"/>
    </row>
    <row r="48" spans="1:8" ht="15.75">
      <c r="A48" s="335"/>
      <c r="B48" s="342"/>
      <c r="C48" s="344">
        <f>SUM(B46:B47)</f>
        <v>63000000</v>
      </c>
      <c r="D48"/>
    </row>
    <row r="49" spans="1:4" ht="15.75">
      <c r="A49" s="335"/>
      <c r="B49" s="342"/>
      <c r="C49" s="344">
        <f>C44-C48</f>
        <v>141240000</v>
      </c>
      <c r="D49"/>
    </row>
    <row r="50" spans="1:4" ht="15.75">
      <c r="A50" s="334" t="s">
        <v>630</v>
      </c>
      <c r="B50" s="340"/>
      <c r="C50" s="345"/>
      <c r="D50"/>
    </row>
    <row r="51" spans="1:4" ht="15.75">
      <c r="A51" s="347">
        <v>60000000</v>
      </c>
      <c r="B51" s="341">
        <f>A51*5%</f>
        <v>3000000</v>
      </c>
      <c r="C51" s="345"/>
      <c r="D51"/>
    </row>
    <row r="52" spans="1:4" ht="15.75">
      <c r="A52" s="347">
        <f>C49-A51</f>
        <v>81240000</v>
      </c>
      <c r="B52" s="341">
        <f>A52*15%</f>
        <v>12186000</v>
      </c>
      <c r="C52" s="345"/>
      <c r="D52"/>
    </row>
    <row r="53" spans="1:4" ht="15.75">
      <c r="A53" s="335"/>
      <c r="B53" s="342"/>
      <c r="C53" s="344">
        <f>B51+B52</f>
        <v>15186000</v>
      </c>
      <c r="D53"/>
    </row>
    <row r="54" spans="1:4" ht="15.75" customHeight="1">
      <c r="A54" s="334" t="s">
        <v>631</v>
      </c>
      <c r="B54" s="340"/>
      <c r="C54" s="344">
        <f>H37</f>
        <v>15393600</v>
      </c>
      <c r="D54"/>
    </row>
    <row r="55" spans="1:4" ht="15.75" customHeight="1">
      <c r="A55" s="336" t="s">
        <v>632</v>
      </c>
      <c r="B55" s="343"/>
      <c r="C55" s="346" t="str">
        <f>IF(C53-C54&lt;0,_xlfn.CONCAT(TEXT(C53-C54,"#.##0")," ","(Lebih Bayar)"),IF(C53-C54&gt;0,_xlfn.CONCAT(TEXT(C53-C54,"#.##0")," ","(Kurang Bayar)"),_xlfn.CONCAT(TEXT(C53-C54,"#.##0")," ","(Tidak Bayar)")))</f>
        <v>-207.600 (Lebih Bayar)</v>
      </c>
      <c r="D55"/>
    </row>
    <row r="57" spans="1:4">
      <c r="B57" s="337"/>
    </row>
  </sheetData>
  <pageMargins left="0.7" right="0.7" top="0.75" bottom="0.75" header="0.3" footer="0.3"/>
  <drawing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3D20C8-5B9A-4EE5-B377-93DD264B346D}">
  <sheetPr>
    <tabColor theme="8" tint="0.59999389629810485"/>
  </sheetPr>
  <dimension ref="A23:E49"/>
  <sheetViews>
    <sheetView topLeftCell="A26" workbookViewId="0">
      <selection activeCell="E46" sqref="E46"/>
    </sheetView>
  </sheetViews>
  <sheetFormatPr defaultColWidth="22.140625" defaultRowHeight="15"/>
  <cols>
    <col min="1" max="1" width="27.28515625" style="333" customWidth="1"/>
    <col min="2" max="16384" width="22.140625" style="333"/>
  </cols>
  <sheetData>
    <row r="23" spans="1:2" ht="16.5">
      <c r="A23" s="348" t="s">
        <v>3</v>
      </c>
      <c r="B23" s="348" t="s">
        <v>27</v>
      </c>
    </row>
    <row r="24" spans="1:2" ht="15.75">
      <c r="A24" s="2" t="s">
        <v>22</v>
      </c>
      <c r="B24" s="353">
        <v>2000000</v>
      </c>
    </row>
    <row r="25" spans="1:2" ht="31.5">
      <c r="A25" s="2" t="s">
        <v>635</v>
      </c>
      <c r="B25" s="353">
        <v>700000</v>
      </c>
    </row>
    <row r="26" spans="1:2" ht="15.75">
      <c r="A26" s="2" t="s">
        <v>638</v>
      </c>
      <c r="B26" s="353">
        <f>B24-B25</f>
        <v>1300000</v>
      </c>
    </row>
    <row r="27" spans="1:2" ht="15.75">
      <c r="A27" s="2" t="s">
        <v>636</v>
      </c>
      <c r="B27" s="353">
        <v>100000</v>
      </c>
    </row>
    <row r="28" spans="1:2" ht="15.75">
      <c r="A28" s="2" t="s">
        <v>637</v>
      </c>
      <c r="B28" s="354">
        <f>B26-B27</f>
        <v>1200000</v>
      </c>
    </row>
    <row r="30" spans="1:2" ht="15.75">
      <c r="A30" s="350" t="s">
        <v>645</v>
      </c>
      <c r="B30" s="352">
        <v>100</v>
      </c>
    </row>
    <row r="31" spans="1:2" ht="15.75">
      <c r="A31" s="350" t="s">
        <v>640</v>
      </c>
      <c r="B31" s="351">
        <f>B27</f>
        <v>100000</v>
      </c>
    </row>
    <row r="32" spans="1:2" ht="15.75">
      <c r="A32" s="350" t="s">
        <v>641</v>
      </c>
      <c r="B32" s="351">
        <v>3000000</v>
      </c>
    </row>
    <row r="33" spans="1:5" ht="15.75">
      <c r="A33" s="350" t="s">
        <v>642</v>
      </c>
      <c r="B33" s="368">
        <v>20000</v>
      </c>
    </row>
    <row r="34" spans="1:5" ht="15.75">
      <c r="A34" s="350" t="s">
        <v>643</v>
      </c>
      <c r="B34" s="368">
        <f>B25/B30</f>
        <v>7000</v>
      </c>
    </row>
    <row r="35" spans="1:5" ht="15.75">
      <c r="A35" s="350" t="s">
        <v>644</v>
      </c>
      <c r="B35" s="352">
        <f>ROUNDUP((B31+B32)/(B33-B34),0)</f>
        <v>239</v>
      </c>
    </row>
    <row r="40" spans="1:5" ht="15.75">
      <c r="A40" s="350" t="s">
        <v>645</v>
      </c>
      <c r="B40" s="352">
        <v>100</v>
      </c>
    </row>
    <row r="41" spans="1:5" ht="15.75">
      <c r="A41" s="350" t="s">
        <v>640</v>
      </c>
      <c r="B41" s="355">
        <f>B31</f>
        <v>100000</v>
      </c>
    </row>
    <row r="42" spans="1:5" ht="15.75">
      <c r="A42" s="350" t="s">
        <v>641</v>
      </c>
      <c r="B42" s="355">
        <f>ROUNDUP((2500000/(1-0.25)),0)</f>
        <v>3333334</v>
      </c>
      <c r="C42" s="349"/>
    </row>
    <row r="43" spans="1:5" ht="15.75">
      <c r="A43" s="350" t="s">
        <v>642</v>
      </c>
      <c r="B43" s="368">
        <f>B33</f>
        <v>20000</v>
      </c>
    </row>
    <row r="44" spans="1:5" ht="15.75">
      <c r="A44" s="350" t="s">
        <v>643</v>
      </c>
      <c r="B44" s="368">
        <f>B34</f>
        <v>7000</v>
      </c>
    </row>
    <row r="45" spans="1:5" ht="15.75">
      <c r="A45" s="350" t="s">
        <v>644</v>
      </c>
      <c r="B45" s="352">
        <f>ROUNDUP((B41+B42)/(B43-B44),0)</f>
        <v>265</v>
      </c>
      <c r="E45"/>
    </row>
    <row r="46" spans="1:5" ht="15.75">
      <c r="A46" s="350" t="s">
        <v>646</v>
      </c>
      <c r="B46" s="355">
        <f>B41+B42</f>
        <v>3433334</v>
      </c>
      <c r="E46"/>
    </row>
    <row r="47" spans="1:5">
      <c r="E47"/>
    </row>
    <row r="48" spans="1:5">
      <c r="E48"/>
    </row>
    <row r="49" spans="5:5">
      <c r="E49"/>
    </row>
  </sheetData>
  <pageMargins left="0.7" right="0.7" top="0.75" bottom="0.75" header="0.3" footer="0.3"/>
  <drawing r:id="rId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A638EA-B47B-4544-B1AE-C9B1B40BE9DB}">
  <sheetPr>
    <tabColor rgb="FF006666"/>
  </sheetPr>
  <dimension ref="A15:C40"/>
  <sheetViews>
    <sheetView workbookViewId="0">
      <selection activeCell="D1" sqref="D1"/>
    </sheetView>
  </sheetViews>
  <sheetFormatPr defaultRowHeight="15"/>
  <cols>
    <col min="1" max="1" width="23.5703125" customWidth="1"/>
    <col min="2" max="2" width="22.140625" bestFit="1" customWidth="1"/>
    <col min="3" max="3" width="11.5703125" bestFit="1" customWidth="1"/>
  </cols>
  <sheetData>
    <row r="15" spans="1:2" ht="15.75">
      <c r="A15" s="359" t="s">
        <v>647</v>
      </c>
      <c r="B15" s="359" t="s">
        <v>27</v>
      </c>
    </row>
    <row r="16" spans="1:2" ht="15.75">
      <c r="A16" s="232" t="s">
        <v>305</v>
      </c>
      <c r="B16" s="361">
        <v>5000</v>
      </c>
    </row>
    <row r="17" spans="1:3" ht="15.75">
      <c r="A17" s="236" t="s">
        <v>648</v>
      </c>
      <c r="B17" s="112"/>
      <c r="C17" s="93"/>
    </row>
    <row r="18" spans="1:3" ht="15.75">
      <c r="A18" s="109" t="s">
        <v>649</v>
      </c>
      <c r="B18" s="362">
        <v>2000</v>
      </c>
      <c r="C18" s="93">
        <f>$B$16*B18</f>
        <v>10000000</v>
      </c>
    </row>
    <row r="19" spans="1:3" ht="15.75">
      <c r="A19" s="109" t="s">
        <v>650</v>
      </c>
      <c r="B19" s="362">
        <v>1500</v>
      </c>
      <c r="C19" s="93">
        <f t="shared" ref="C19:C22" si="0">$B$16*B19</f>
        <v>7500000</v>
      </c>
    </row>
    <row r="20" spans="1:3" ht="15.75">
      <c r="A20" s="109" t="s">
        <v>651</v>
      </c>
      <c r="B20" s="362">
        <v>500</v>
      </c>
      <c r="C20" s="93">
        <f t="shared" si="0"/>
        <v>2500000</v>
      </c>
    </row>
    <row r="21" spans="1:3" ht="15.75">
      <c r="A21" s="109" t="s">
        <v>652</v>
      </c>
      <c r="B21" s="303">
        <v>600</v>
      </c>
      <c r="C21" s="93">
        <f t="shared" si="0"/>
        <v>3000000</v>
      </c>
    </row>
    <row r="22" spans="1:3" ht="15.75">
      <c r="A22" s="109" t="s">
        <v>653</v>
      </c>
      <c r="B22" s="303">
        <v>400</v>
      </c>
      <c r="C22" s="93">
        <f t="shared" si="0"/>
        <v>2000000</v>
      </c>
    </row>
    <row r="23" spans="1:3" ht="15.75">
      <c r="A23" s="109" t="s">
        <v>455</v>
      </c>
      <c r="B23" s="303">
        <f>SUM(C18:C22)</f>
        <v>25000000</v>
      </c>
    </row>
    <row r="24" spans="1:3" ht="15.75">
      <c r="A24" s="356" t="s">
        <v>639</v>
      </c>
      <c r="B24" s="112"/>
    </row>
    <row r="25" spans="1:3" ht="30">
      <c r="A25" s="109" t="s">
        <v>654</v>
      </c>
      <c r="B25" s="303">
        <v>5000000</v>
      </c>
    </row>
    <row r="26" spans="1:3" ht="15.75">
      <c r="A26" s="109" t="s">
        <v>652</v>
      </c>
      <c r="B26" s="303">
        <v>3000000</v>
      </c>
    </row>
    <row r="27" spans="1:3" ht="15.75">
      <c r="A27" s="109" t="s">
        <v>653</v>
      </c>
      <c r="B27" s="303">
        <v>2000000</v>
      </c>
    </row>
    <row r="28" spans="1:3" ht="15.75">
      <c r="A28" s="109" t="str">
        <f>A23</f>
        <v>Total Biaya</v>
      </c>
      <c r="B28" s="303">
        <f>SUM(B25:B26)</f>
        <v>8000000</v>
      </c>
    </row>
    <row r="29" spans="1:3">
      <c r="A29" s="357"/>
      <c r="B29" s="69"/>
      <c r="C29" s="69"/>
    </row>
    <row r="30" spans="1:3" ht="15.75">
      <c r="A30" s="358" t="s">
        <v>655</v>
      </c>
      <c r="B30" s="364">
        <v>0.25</v>
      </c>
    </row>
    <row r="31" spans="1:3" ht="30">
      <c r="A31" s="358" t="s">
        <v>656</v>
      </c>
      <c r="B31" s="365">
        <v>100000000</v>
      </c>
    </row>
    <row r="32" spans="1:3" ht="15.75">
      <c r="A32" s="358" t="s">
        <v>657</v>
      </c>
      <c r="B32" s="363">
        <f>(B23+B28)/B16</f>
        <v>6600</v>
      </c>
    </row>
    <row r="33" spans="1:2" ht="30">
      <c r="A33" s="358" t="s">
        <v>658</v>
      </c>
      <c r="B33" s="366">
        <f>(B30*B31)/(B23+B28)</f>
        <v>0.75757575757575757</v>
      </c>
    </row>
    <row r="34" spans="1:2" ht="15.75">
      <c r="A34" s="358" t="s">
        <v>659</v>
      </c>
      <c r="B34" s="363">
        <f>B33*B32</f>
        <v>5000</v>
      </c>
    </row>
    <row r="35" spans="1:2" ht="15.75">
      <c r="A35" s="358" t="s">
        <v>660</v>
      </c>
      <c r="B35" s="363">
        <f>B32+B34</f>
        <v>11600</v>
      </c>
    </row>
    <row r="37" spans="1:2" ht="15.75">
      <c r="A37" s="360" t="s">
        <v>3</v>
      </c>
      <c r="B37" s="360" t="s">
        <v>27</v>
      </c>
    </row>
    <row r="38" spans="1:2" ht="15.75">
      <c r="A38" s="109" t="s">
        <v>661</v>
      </c>
      <c r="B38" s="362">
        <f>B32</f>
        <v>6600</v>
      </c>
    </row>
    <row r="39" spans="1:2" ht="15.75">
      <c r="A39" s="97" t="s">
        <v>662</v>
      </c>
      <c r="B39" s="367">
        <v>25000000</v>
      </c>
    </row>
    <row r="40" spans="1:2" ht="15.75">
      <c r="A40" s="52" t="s">
        <v>663</v>
      </c>
      <c r="B40" s="362">
        <f>B35</f>
        <v>11600</v>
      </c>
    </row>
  </sheetData>
  <pageMargins left="0.7" right="0.7" top="0.75" bottom="0.75" header="0.3" footer="0.3"/>
  <drawing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1EA2EB-2529-438E-85B5-E674BCCE6383}">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47</vt:i4>
      </vt:variant>
    </vt:vector>
  </HeadingPairs>
  <TitlesOfParts>
    <vt:vector size="47" baseType="lpstr">
      <vt:lpstr>KASUS 1</vt:lpstr>
      <vt:lpstr>KASUS 2</vt:lpstr>
      <vt:lpstr>KASUS 2.2</vt:lpstr>
      <vt:lpstr>KASUS 2.3</vt:lpstr>
      <vt:lpstr>KASUS 3.1</vt:lpstr>
      <vt:lpstr>KAUSUS 3.2</vt:lpstr>
      <vt:lpstr>KAUSUS 3.3</vt:lpstr>
      <vt:lpstr>KASUSS 4.1</vt:lpstr>
      <vt:lpstr>KASUS 4.2</vt:lpstr>
      <vt:lpstr>KASUS 5.1</vt:lpstr>
      <vt:lpstr>KASUS 5.2</vt:lpstr>
      <vt:lpstr>KASUS 6.1</vt:lpstr>
      <vt:lpstr>KASUS 6.2</vt:lpstr>
      <vt:lpstr>KASUS 6.3</vt:lpstr>
      <vt:lpstr>KASUS 7.1</vt:lpstr>
      <vt:lpstr>KASUS 7.2</vt:lpstr>
      <vt:lpstr>KASUS 7.3</vt:lpstr>
      <vt:lpstr>KASUS 8.1</vt:lpstr>
      <vt:lpstr>KASUS 8.2</vt:lpstr>
      <vt:lpstr>KASUS 9</vt:lpstr>
      <vt:lpstr>KASUS 10</vt:lpstr>
      <vt:lpstr>Kasus 11.1</vt:lpstr>
      <vt:lpstr>Kasus 11.2</vt:lpstr>
      <vt:lpstr>Kasus 11.3</vt:lpstr>
      <vt:lpstr>Kasus 11.4</vt:lpstr>
      <vt:lpstr>Kasus12.1</vt:lpstr>
      <vt:lpstr>Kasus 12.2</vt:lpstr>
      <vt:lpstr>Kasus 12.3</vt:lpstr>
      <vt:lpstr>Kasus 13.1</vt:lpstr>
      <vt:lpstr>Kasus 3.2</vt:lpstr>
      <vt:lpstr>Kasus 13.3</vt:lpstr>
      <vt:lpstr>Kasus 13.4</vt:lpstr>
      <vt:lpstr>Kasus 13.5</vt:lpstr>
      <vt:lpstr>Kasus 14.1</vt:lpstr>
      <vt:lpstr>Kasus 15.1</vt:lpstr>
      <vt:lpstr>Kasus.15.2</vt:lpstr>
      <vt:lpstr>Kasus 16</vt:lpstr>
      <vt:lpstr>Kasus 17</vt:lpstr>
      <vt:lpstr>Kasus 18.1</vt:lpstr>
      <vt:lpstr>Kasus 19.2</vt:lpstr>
      <vt:lpstr>Kasus 19.3</vt:lpstr>
      <vt:lpstr>Kasus 20</vt:lpstr>
      <vt:lpstr>Kasus 21</vt:lpstr>
      <vt:lpstr>Kasus 22</vt:lpstr>
      <vt:lpstr>Kasus 23</vt:lpstr>
      <vt:lpstr>Kasus 24</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pakuy kuya</dc:creator>
  <cp:lastModifiedBy>pakuy kuya</cp:lastModifiedBy>
  <dcterms:created xsi:type="dcterms:W3CDTF">2025-10-05T14:38:51Z</dcterms:created>
  <dcterms:modified xsi:type="dcterms:W3CDTF">2025-11-15T00:14:09Z</dcterms:modified>
</cp:coreProperties>
</file>